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D:\Dev\Scheduler\Schedule\backend\data\"/>
    </mc:Choice>
  </mc:AlternateContent>
  <xr:revisionPtr revIDLastSave="0" documentId="13_ncr:1_{578913F0-A131-4F5F-AAF6-7CCAA126A58F}" xr6:coauthVersionLast="47" xr6:coauthVersionMax="47" xr10:uidLastSave="{00000000-0000-0000-0000-000000000000}"/>
  <bookViews>
    <workbookView xWindow="51480" yWindow="-9120" windowWidth="38640" windowHeight="21120" xr2:uid="{00000000-000D-0000-FFFF-FFFF00000000}"/>
  </bookViews>
  <sheets>
    <sheet name="SHIPPED (AA)" sheetId="2" r:id="rId1"/>
    <sheet name="SHIPPED (OTH)"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 i="2" l="1"/>
  <c r="V4" i="2"/>
  <c r="V3" i="2"/>
  <c r="V2" i="2"/>
  <c r="AC6" i="2"/>
  <c r="AC7" i="2"/>
  <c r="V10" i="2"/>
  <c r="AC8" i="2"/>
  <c r="V8" i="2"/>
  <c r="V9" i="2"/>
  <c r="V7" i="2"/>
  <c r="V6" i="2"/>
  <c r="V15" i="2"/>
  <c r="V14" i="2"/>
  <c r="AC13" i="2"/>
  <c r="V13" i="2"/>
  <c r="V12" i="2"/>
  <c r="V11" i="2"/>
  <c r="AC20" i="2"/>
  <c r="V20" i="2"/>
  <c r="V19" i="2"/>
  <c r="V18" i="2"/>
  <c r="V17" i="2"/>
  <c r="AC16" i="2"/>
  <c r="V16" i="2"/>
  <c r="AC25" i="2"/>
  <c r="V25" i="2"/>
  <c r="V24" i="2"/>
  <c r="V23" i="2"/>
  <c r="AC22" i="2"/>
  <c r="V22" i="2"/>
  <c r="V21" i="2"/>
  <c r="V26" i="2"/>
  <c r="V27" i="2"/>
  <c r="V28" i="2"/>
  <c r="V29" i="2"/>
  <c r="V31" i="2"/>
  <c r="AC30" i="2"/>
  <c r="V30" i="2"/>
  <c r="AC35" i="2"/>
  <c r="V35" i="2"/>
  <c r="V34" i="2"/>
  <c r="V33" i="2"/>
  <c r="V32" i="2"/>
  <c r="V36" i="2"/>
  <c r="V2" i="3"/>
  <c r="V37" i="2"/>
  <c r="V38" i="2"/>
  <c r="AC39" i="2"/>
  <c r="V41" i="2"/>
  <c r="V40" i="2"/>
  <c r="V39" i="2"/>
  <c r="V42" i="2"/>
  <c r="V43" i="2"/>
  <c r="V47" i="2"/>
  <c r="V46" i="2"/>
  <c r="AC45" i="2"/>
  <c r="V45" i="2"/>
  <c r="V44" i="2"/>
  <c r="V3" i="3"/>
  <c r="V48" i="2"/>
  <c r="V51" i="2"/>
  <c r="V50" i="2"/>
  <c r="V49" i="2"/>
  <c r="V53" i="2"/>
  <c r="V52" i="2"/>
  <c r="V57" i="2"/>
  <c r="V56" i="2"/>
  <c r="V55" i="2"/>
  <c r="V54" i="2"/>
  <c r="V58" i="2"/>
  <c r="AC59" i="2"/>
  <c r="V59" i="2"/>
  <c r="V60" i="2"/>
  <c r="V65" i="2"/>
  <c r="AC64" i="2"/>
  <c r="V64" i="2"/>
  <c r="AC63" i="2"/>
  <c r="V63" i="2"/>
  <c r="V62" i="2"/>
  <c r="V61" i="2"/>
  <c r="AC71" i="2"/>
  <c r="V69" i="2"/>
  <c r="V68" i="2"/>
  <c r="AC66" i="2"/>
  <c r="V66" i="2"/>
  <c r="V67" i="2"/>
  <c r="V71" i="2"/>
  <c r="AC70" i="2"/>
  <c r="V70" i="2"/>
  <c r="V77" i="2"/>
  <c r="V73" i="2"/>
  <c r="V72" i="2"/>
  <c r="V78" i="2"/>
  <c r="V75" i="2"/>
  <c r="V74" i="2"/>
  <c r="J76" i="2"/>
  <c r="AC79" i="2"/>
  <c r="V79" i="2"/>
  <c r="V80" i="2"/>
  <c r="V82" i="2"/>
  <c r="V81" i="2"/>
  <c r="V84" i="2"/>
  <c r="V83" i="2"/>
  <c r="V88" i="2"/>
  <c r="AC87" i="2"/>
  <c r="V87" i="2"/>
  <c r="V86" i="2"/>
  <c r="AC85" i="2"/>
  <c r="V85" i="2"/>
  <c r="V89" i="2"/>
  <c r="V94" i="2"/>
  <c r="V92" i="2"/>
  <c r="V91" i="2"/>
  <c r="V90" i="2"/>
  <c r="V93" i="2"/>
  <c r="AC95" i="2"/>
  <c r="V95" i="2"/>
  <c r="V97" i="2"/>
  <c r="V96" i="2"/>
  <c r="V98" i="2"/>
  <c r="V100" i="2"/>
  <c r="V99" i="2"/>
  <c r="V101" i="2"/>
  <c r="AF105" i="2"/>
  <c r="V105" i="2"/>
  <c r="V104" i="2"/>
  <c r="V103" i="2"/>
  <c r="V102" i="2"/>
  <c r="V106" i="2"/>
  <c r="V108" i="2"/>
  <c r="V107" i="2"/>
  <c r="V109" i="2"/>
  <c r="V110" i="2"/>
  <c r="V113" i="2"/>
  <c r="V112" i="2"/>
  <c r="V111" i="2"/>
  <c r="V114" i="2"/>
  <c r="V117" i="2"/>
  <c r="V119" i="2"/>
  <c r="V118" i="2"/>
  <c r="V116" i="2"/>
  <c r="AC115" i="2"/>
  <c r="V115" i="2"/>
  <c r="AF120" i="2"/>
  <c r="AC120" i="2"/>
  <c r="V120" i="2"/>
  <c r="V121" i="2"/>
  <c r="V122" i="2"/>
  <c r="V126" i="2"/>
  <c r="V125" i="2"/>
  <c r="V124" i="2"/>
  <c r="V123" i="2"/>
  <c r="V129" i="2"/>
  <c r="V128" i="2"/>
  <c r="V127" i="2"/>
  <c r="AF131" i="2"/>
  <c r="AC131" i="2"/>
  <c r="V131" i="2"/>
  <c r="AC130" i="2"/>
  <c r="V130" i="2"/>
  <c r="V135" i="2"/>
  <c r="AF134" i="2"/>
  <c r="AC134" i="2"/>
  <c r="V134" i="2"/>
  <c r="V133" i="2"/>
  <c r="V137" i="2"/>
  <c r="V136" i="2"/>
  <c r="V132" i="2"/>
  <c r="V140" i="2"/>
  <c r="V139" i="2"/>
  <c r="V141" i="2"/>
  <c r="V142" i="2"/>
  <c r="V138" i="2"/>
  <c r="AC143" i="2"/>
  <c r="AF143" i="2"/>
  <c r="V143" i="2"/>
  <c r="V144" i="2"/>
  <c r="V145" i="2"/>
  <c r="AF146" i="2"/>
  <c r="V146" i="2"/>
  <c r="V147" i="2"/>
  <c r="V148" i="2"/>
  <c r="V149" i="2"/>
  <c r="V4" i="3"/>
  <c r="V151" i="2"/>
  <c r="V152" i="2"/>
  <c r="V153" i="2"/>
  <c r="V156" i="2"/>
  <c r="V155" i="2"/>
  <c r="AF154" i="2"/>
  <c r="V154" i="2"/>
  <c r="V157" i="2"/>
  <c r="AC158" i="2"/>
  <c r="V158" i="2"/>
  <c r="AC184" i="2"/>
  <c r="AC161" i="2"/>
  <c r="V159" i="2"/>
  <c r="V164" i="2"/>
  <c r="V162" i="2"/>
  <c r="V160" i="2"/>
  <c r="V161" i="2"/>
  <c r="V165" i="2"/>
  <c r="V166" i="2"/>
  <c r="V163" i="2"/>
  <c r="V167" i="2"/>
  <c r="AC172" i="2"/>
  <c r="V8" i="3"/>
  <c r="V172" i="2"/>
  <c r="V169" i="2"/>
  <c r="V171" i="2"/>
  <c r="V168" i="2"/>
  <c r="V170" i="2"/>
  <c r="V176" i="2"/>
  <c r="V175" i="2"/>
  <c r="V174" i="2"/>
  <c r="AC173" i="2"/>
  <c r="V173" i="2"/>
  <c r="V177" i="2"/>
  <c r="V178" i="2"/>
  <c r="AC180" i="2"/>
  <c r="V180" i="2"/>
  <c r="V179" i="2"/>
  <c r="V181" i="2"/>
  <c r="V9" i="3"/>
  <c r="AC182" i="2"/>
  <c r="V182" i="2"/>
  <c r="V183" i="2"/>
  <c r="V184" i="2"/>
  <c r="AC185" i="2"/>
  <c r="V185" i="2"/>
  <c r="AC186" i="2"/>
  <c r="V186" i="2"/>
  <c r="V188" i="2"/>
  <c r="V187" i="2"/>
  <c r="V71" i="3"/>
  <c r="V70" i="3"/>
  <c r="V69" i="3"/>
  <c r="V68" i="3"/>
  <c r="V67" i="3"/>
  <c r="V66" i="3"/>
  <c r="V65" i="3"/>
  <c r="V64" i="3"/>
  <c r="V63" i="3"/>
  <c r="V62" i="3"/>
  <c r="AC61" i="3"/>
  <c r="V61" i="3"/>
  <c r="AC60" i="3"/>
  <c r="V60" i="3"/>
  <c r="V59" i="3"/>
  <c r="V58" i="3"/>
  <c r="V57" i="3"/>
  <c r="V56" i="3"/>
  <c r="V55" i="3"/>
  <c r="V54" i="3"/>
  <c r="V53" i="3"/>
  <c r="V52" i="3"/>
  <c r="AC51" i="3"/>
  <c r="V51" i="3"/>
  <c r="V50" i="3"/>
  <c r="V49" i="3"/>
  <c r="V48" i="3"/>
  <c r="V47" i="3"/>
  <c r="V46" i="3"/>
  <c r="V45" i="3"/>
  <c r="V44" i="3"/>
  <c r="V43" i="3"/>
  <c r="V42" i="3"/>
  <c r="V41" i="3"/>
  <c r="V40" i="3"/>
  <c r="V39" i="3"/>
  <c r="V38" i="3"/>
  <c r="V37" i="3"/>
  <c r="AC36" i="3"/>
  <c r="V36" i="3"/>
  <c r="V35" i="3"/>
  <c r="AC34" i="3"/>
  <c r="V34" i="3"/>
  <c r="V33" i="3"/>
  <c r="AC22" i="3"/>
  <c r="V22" i="3"/>
  <c r="V19" i="3"/>
  <c r="V18" i="3"/>
  <c r="V17" i="3"/>
  <c r="V13" i="3"/>
  <c r="V12" i="3"/>
  <c r="AC1207" i="2"/>
  <c r="V1198" i="2"/>
  <c r="V1197" i="2"/>
  <c r="V1196" i="2"/>
  <c r="V1191" i="2"/>
  <c r="V1188" i="2"/>
  <c r="V1185" i="2"/>
  <c r="V1182" i="2"/>
  <c r="AC1181" i="2"/>
  <c r="AC1180" i="2"/>
  <c r="V1179" i="2"/>
  <c r="V1178" i="2"/>
  <c r="V1177" i="2"/>
  <c r="V1176" i="2"/>
  <c r="V1175" i="2"/>
  <c r="AC1174" i="2"/>
  <c r="AC1173" i="2"/>
  <c r="V1172" i="2"/>
  <c r="V1171" i="2"/>
  <c r="V1170" i="2"/>
  <c r="AC1169" i="2"/>
  <c r="V1168" i="2"/>
  <c r="AC1166" i="2"/>
  <c r="V1164" i="2"/>
  <c r="V1163" i="2"/>
  <c r="AC1162" i="2"/>
  <c r="V1161" i="2"/>
  <c r="AC1160" i="2"/>
  <c r="V1159" i="2"/>
  <c r="V1158" i="2"/>
  <c r="V1157" i="2"/>
  <c r="V1156" i="2"/>
  <c r="V1155" i="2"/>
  <c r="V1154" i="2"/>
  <c r="V1153" i="2"/>
  <c r="V1152" i="2"/>
  <c r="V1151" i="2"/>
  <c r="V1150" i="2"/>
  <c r="V1149" i="2"/>
  <c r="V1148" i="2"/>
  <c r="V1147" i="2"/>
  <c r="V1146" i="2"/>
  <c r="V1145" i="2"/>
  <c r="V1144" i="2"/>
  <c r="AC1143" i="2"/>
  <c r="V1142" i="2"/>
  <c r="V1140" i="2"/>
  <c r="V1139" i="2"/>
  <c r="V1138" i="2"/>
  <c r="V1137" i="2"/>
  <c r="AC1136" i="2"/>
  <c r="V1136" i="2"/>
  <c r="V1135" i="2"/>
  <c r="V1134" i="2"/>
  <c r="V1133" i="2"/>
  <c r="V1132" i="2"/>
  <c r="AC1131" i="2"/>
  <c r="V1131" i="2"/>
  <c r="AC1130" i="2"/>
  <c r="V1130" i="2"/>
  <c r="V1129" i="2"/>
  <c r="V1128" i="2"/>
  <c r="V1127" i="2"/>
  <c r="V1126" i="2"/>
  <c r="V1125" i="2"/>
  <c r="V1124" i="2"/>
  <c r="V1123" i="2"/>
  <c r="V1122" i="2"/>
  <c r="V1121" i="2"/>
  <c r="AC1120" i="2"/>
  <c r="V1120" i="2"/>
  <c r="AC1119" i="2"/>
  <c r="V1119" i="2"/>
  <c r="V1118" i="2"/>
  <c r="V1117" i="2"/>
  <c r="AC1116" i="2"/>
  <c r="V1116" i="2"/>
  <c r="V1115" i="2"/>
  <c r="V1114" i="2"/>
  <c r="V1113" i="2"/>
  <c r="V1112" i="2"/>
  <c r="V1111" i="2"/>
  <c r="V1110" i="2"/>
  <c r="V1109" i="2"/>
  <c r="V1108" i="2"/>
  <c r="V1107" i="2"/>
  <c r="AC1106" i="2"/>
  <c r="V1106" i="2"/>
  <c r="AC1105" i="2"/>
  <c r="J1105" i="2"/>
  <c r="V1105" i="2" s="1"/>
  <c r="V1104" i="2"/>
  <c r="J1103" i="2"/>
  <c r="V1103" i="2" s="1"/>
  <c r="V1102" i="2"/>
  <c r="V1101" i="2"/>
  <c r="AC1100" i="2"/>
  <c r="V1100" i="2"/>
  <c r="AC1099" i="2"/>
  <c r="V1099" i="2"/>
  <c r="V1098" i="2"/>
  <c r="AC1097" i="2"/>
  <c r="V1097" i="2"/>
  <c r="V1096" i="2"/>
  <c r="V1095" i="2"/>
  <c r="V1094" i="2"/>
  <c r="V1093" i="2"/>
  <c r="V1092" i="2"/>
  <c r="V1091" i="2"/>
  <c r="V1090" i="2"/>
  <c r="V1089" i="2"/>
  <c r="V1088" i="2"/>
  <c r="V1087" i="2"/>
  <c r="V1086" i="2"/>
  <c r="V1085" i="2"/>
  <c r="V1084" i="2"/>
  <c r="AC1083" i="2"/>
  <c r="V1083" i="2"/>
  <c r="V1082" i="2"/>
  <c r="V1081" i="2"/>
  <c r="V1080" i="2"/>
  <c r="V1079" i="2"/>
  <c r="V1078" i="2"/>
  <c r="V1077" i="2"/>
  <c r="V1076" i="2"/>
  <c r="V1075" i="2"/>
  <c r="AC1074" i="2"/>
  <c r="V1073" i="2"/>
  <c r="V1072" i="2"/>
  <c r="AC1071" i="2"/>
  <c r="V1071" i="2"/>
  <c r="AC1070" i="2"/>
  <c r="V1070" i="2"/>
  <c r="V1069" i="2"/>
  <c r="V1068" i="2"/>
  <c r="V1067" i="2"/>
  <c r="V1066" i="2"/>
  <c r="V1065" i="2"/>
  <c r="V1064" i="2"/>
  <c r="V1063" i="2"/>
  <c r="V1062" i="2"/>
  <c r="V1061" i="2"/>
  <c r="V1060" i="2"/>
  <c r="V1059" i="2"/>
  <c r="V1058" i="2"/>
  <c r="V1057" i="2"/>
  <c r="V1056" i="2"/>
  <c r="V1055" i="2"/>
  <c r="V1054" i="2"/>
  <c r="V1053" i="2"/>
  <c r="V1052" i="2"/>
  <c r="V1051" i="2"/>
  <c r="AC1050" i="2"/>
  <c r="V1050" i="2"/>
  <c r="V1049" i="2"/>
  <c r="V1048" i="2"/>
  <c r="V1047" i="2"/>
  <c r="V1046" i="2"/>
  <c r="V1045" i="2"/>
  <c r="V1044" i="2"/>
  <c r="V1043" i="2"/>
  <c r="V1042" i="2"/>
  <c r="AC1041" i="2"/>
  <c r="V1041" i="2"/>
  <c r="AC1040" i="2"/>
  <c r="V1040" i="2"/>
  <c r="V1039" i="2"/>
  <c r="V1038" i="2"/>
  <c r="V1037" i="2"/>
  <c r="V1036" i="2"/>
  <c r="V1035" i="2"/>
  <c r="V1034" i="2"/>
  <c r="V1033" i="2"/>
  <c r="V1032" i="2"/>
  <c r="AC1031" i="2"/>
  <c r="V1031" i="2"/>
  <c r="V1030" i="2"/>
  <c r="V1029" i="2"/>
  <c r="AC1028" i="2"/>
  <c r="V1028" i="2"/>
  <c r="V1027" i="2"/>
  <c r="AC1026" i="2"/>
  <c r="J1026" i="2"/>
  <c r="V1026" i="2" s="1"/>
  <c r="V1025" i="2"/>
  <c r="V1024" i="2"/>
  <c r="V1023" i="2"/>
  <c r="V1022" i="2"/>
  <c r="V1021" i="2"/>
  <c r="V1020" i="2"/>
  <c r="V1019" i="2"/>
  <c r="V1018" i="2"/>
  <c r="V1017" i="2"/>
  <c r="V1016" i="2"/>
  <c r="V1015" i="2"/>
  <c r="V1014" i="2"/>
  <c r="V1013" i="2"/>
  <c r="V1012" i="2"/>
  <c r="AC1011" i="2"/>
  <c r="V1011" i="2"/>
  <c r="V1010" i="2"/>
  <c r="V1009" i="2"/>
  <c r="V1008" i="2"/>
  <c r="V1007" i="2"/>
  <c r="V1006" i="2"/>
  <c r="AC1005" i="2"/>
  <c r="V1005" i="2"/>
  <c r="V1004" i="2"/>
  <c r="V1003" i="2"/>
  <c r="V1002" i="2"/>
  <c r="V1001" i="2"/>
  <c r="AC1000" i="2"/>
  <c r="V1000" i="2"/>
  <c r="V999" i="2"/>
  <c r="AC998" i="2"/>
  <c r="V998" i="2"/>
  <c r="V997" i="2"/>
  <c r="AC996" i="2"/>
  <c r="V996" i="2"/>
  <c r="V995" i="2"/>
  <c r="AC994" i="2"/>
  <c r="V993" i="2"/>
  <c r="V992" i="2"/>
  <c r="AC991" i="2"/>
  <c r="V991" i="2"/>
  <c r="J991" i="2"/>
  <c r="AC990" i="2"/>
  <c r="V990" i="2"/>
  <c r="V989" i="2"/>
  <c r="V988" i="2"/>
  <c r="V987" i="2"/>
  <c r="V986" i="2"/>
  <c r="AC985" i="2"/>
  <c r="V985" i="2"/>
  <c r="V984" i="2"/>
  <c r="V983" i="2"/>
  <c r="V982" i="2"/>
  <c r="V981" i="2"/>
  <c r="V980" i="2"/>
  <c r="AC979" i="2"/>
  <c r="V979" i="2"/>
  <c r="AC978" i="2"/>
  <c r="V978" i="2"/>
  <c r="V977" i="2"/>
  <c r="AC976" i="2"/>
  <c r="V976" i="2"/>
  <c r="AC975" i="2"/>
  <c r="V975" i="2"/>
  <c r="V974" i="2"/>
  <c r="V973" i="2"/>
  <c r="V972" i="2"/>
  <c r="V971" i="2"/>
  <c r="J970" i="2"/>
  <c r="V969" i="2"/>
  <c r="AC968" i="2"/>
  <c r="V968" i="2"/>
  <c r="V967" i="2"/>
  <c r="V966" i="2"/>
  <c r="V965" i="2"/>
  <c r="V964" i="2"/>
  <c r="V963" i="2"/>
  <c r="V962" i="2"/>
  <c r="V961" i="2"/>
  <c r="AC960" i="2"/>
  <c r="V960" i="2"/>
  <c r="V959" i="2"/>
  <c r="AC958" i="2"/>
  <c r="V958" i="2"/>
  <c r="V957" i="2"/>
  <c r="AC956" i="2"/>
  <c r="V956" i="2"/>
  <c r="V955" i="2"/>
  <c r="V954" i="2"/>
  <c r="V953" i="2"/>
  <c r="AC952" i="2"/>
  <c r="V952" i="2"/>
  <c r="V951" i="2"/>
  <c r="V950" i="2"/>
  <c r="V949" i="2"/>
  <c r="V948" i="2"/>
  <c r="AC947" i="2"/>
  <c r="V947" i="2"/>
  <c r="AC946" i="2"/>
  <c r="V946" i="2"/>
  <c r="V945" i="2"/>
  <c r="V944" i="2"/>
  <c r="V943" i="2"/>
  <c r="AC942" i="2"/>
  <c r="V941" i="2"/>
  <c r="V940" i="2"/>
  <c r="AC939" i="2"/>
  <c r="V938" i="2"/>
  <c r="V937" i="2"/>
  <c r="V936" i="2"/>
  <c r="V935" i="2"/>
  <c r="V934" i="2"/>
  <c r="V933" i="2"/>
  <c r="AC932" i="2"/>
  <c r="V932" i="2"/>
  <c r="AC931" i="2"/>
  <c r="V931" i="2"/>
  <c r="V930" i="2"/>
  <c r="AC929" i="2"/>
  <c r="V929" i="2"/>
  <c r="V928" i="2"/>
  <c r="AC927" i="2"/>
  <c r="V927" i="2"/>
  <c r="AC926" i="2"/>
  <c r="V926" i="2"/>
  <c r="AC925" i="2"/>
  <c r="V925" i="2"/>
  <c r="AC924" i="2"/>
  <c r="V924" i="2"/>
  <c r="V923" i="2"/>
  <c r="V922" i="2"/>
  <c r="V921" i="2"/>
  <c r="AC920" i="2"/>
  <c r="V920" i="2"/>
  <c r="AC919" i="2"/>
  <c r="V919" i="2"/>
  <c r="V918" i="2"/>
  <c r="V917" i="2"/>
  <c r="V916" i="2"/>
  <c r="V915" i="2"/>
  <c r="V914" i="2"/>
  <c r="V913" i="2"/>
  <c r="V912" i="2"/>
  <c r="V911" i="2"/>
  <c r="V910" i="2"/>
  <c r="V909" i="2"/>
  <c r="AC908" i="2"/>
  <c r="V908" i="2"/>
  <c r="V907" i="2"/>
  <c r="AC906" i="2"/>
  <c r="V906" i="2"/>
  <c r="AC905" i="2"/>
  <c r="V905" i="2"/>
  <c r="V904" i="2"/>
  <c r="V903" i="2"/>
  <c r="V902" i="2"/>
  <c r="AC901" i="2"/>
  <c r="V901" i="2"/>
  <c r="V900" i="2"/>
  <c r="V899" i="2"/>
  <c r="V898" i="2"/>
  <c r="V897" i="2"/>
  <c r="V896" i="2"/>
  <c r="J895" i="2"/>
  <c r="V893" i="2"/>
  <c r="V892" i="2"/>
  <c r="AC891" i="2"/>
  <c r="V891" i="2"/>
  <c r="V890" i="2"/>
  <c r="V889" i="2"/>
  <c r="V888" i="2"/>
  <c r="J887" i="2"/>
  <c r="V886" i="2"/>
  <c r="V885" i="2"/>
  <c r="V884" i="2"/>
  <c r="V883" i="2"/>
  <c r="V882" i="2"/>
  <c r="V881" i="2"/>
  <c r="V880" i="2"/>
  <c r="V879" i="2"/>
  <c r="V878" i="2"/>
  <c r="V877" i="2"/>
  <c r="V876" i="2"/>
  <c r="V875" i="2"/>
  <c r="V874" i="2"/>
  <c r="V873" i="2"/>
  <c r="AC872" i="2"/>
  <c r="V872" i="2"/>
  <c r="V871" i="2"/>
  <c r="V870" i="2"/>
  <c r="V869" i="2"/>
  <c r="V868" i="2"/>
  <c r="V867" i="2"/>
  <c r="V866" i="2"/>
  <c r="V865" i="2"/>
  <c r="AC864" i="2"/>
  <c r="V864" i="2"/>
  <c r="AC863" i="2"/>
  <c r="V863" i="2"/>
  <c r="V862" i="2"/>
  <c r="V861" i="2"/>
  <c r="AC860" i="2"/>
  <c r="V860" i="2"/>
  <c r="V859" i="2"/>
  <c r="V858" i="2"/>
  <c r="AC857" i="2"/>
  <c r="V857" i="2"/>
  <c r="V856" i="2"/>
  <c r="AC855" i="2"/>
  <c r="V855" i="2"/>
  <c r="J854" i="2"/>
  <c r="V853" i="2"/>
  <c r="V852" i="2"/>
  <c r="V851" i="2"/>
  <c r="AC850" i="2"/>
  <c r="V850" i="2"/>
  <c r="V849" i="2"/>
  <c r="V848" i="2"/>
  <c r="V847" i="2"/>
  <c r="V846" i="2"/>
  <c r="V845" i="2"/>
  <c r="V844" i="2"/>
  <c r="V843" i="2"/>
  <c r="V842" i="2"/>
  <c r="AC841" i="2"/>
  <c r="V841" i="2"/>
  <c r="V840" i="2"/>
  <c r="V839" i="2"/>
  <c r="V838" i="2"/>
  <c r="V837" i="2"/>
  <c r="AC836" i="2"/>
  <c r="V836" i="2"/>
  <c r="V835" i="2"/>
  <c r="V834" i="2"/>
  <c r="V833" i="2"/>
  <c r="AC832" i="2"/>
  <c r="V832" i="2"/>
  <c r="V831" i="2"/>
  <c r="V830" i="2"/>
  <c r="AC829" i="2"/>
  <c r="V829" i="2"/>
  <c r="V828" i="2"/>
  <c r="V827" i="2"/>
  <c r="V826" i="2"/>
  <c r="V825" i="2"/>
  <c r="V824" i="2"/>
  <c r="V823" i="2"/>
  <c r="V822" i="2"/>
  <c r="V821" i="2"/>
  <c r="V820" i="2"/>
  <c r="V819" i="2"/>
  <c r="V818" i="2"/>
  <c r="V817" i="2"/>
  <c r="V816" i="2"/>
  <c r="V815" i="2"/>
  <c r="V814" i="2"/>
  <c r="V813" i="2"/>
  <c r="V812" i="2"/>
  <c r="AC811" i="2"/>
  <c r="V811" i="2"/>
  <c r="AC810" i="2"/>
  <c r="V810" i="2"/>
  <c r="V808" i="2"/>
  <c r="V807" i="2"/>
  <c r="V806" i="2"/>
  <c r="V805" i="2"/>
  <c r="V804" i="2"/>
  <c r="V803" i="2"/>
  <c r="V802" i="2"/>
  <c r="V801" i="2"/>
  <c r="V800" i="2"/>
  <c r="V799" i="2"/>
  <c r="V798" i="2"/>
  <c r="V797" i="2"/>
  <c r="V796" i="2"/>
  <c r="V795" i="2"/>
  <c r="AC794" i="2"/>
  <c r="V794" i="2"/>
  <c r="AC793" i="2"/>
  <c r="V793" i="2"/>
  <c r="AC792" i="2"/>
  <c r="V792" i="2"/>
  <c r="V791" i="2"/>
  <c r="V790" i="2"/>
  <c r="AC789" i="2"/>
  <c r="V789" i="2"/>
  <c r="AC788" i="2"/>
  <c r="V788" i="2"/>
  <c r="AC787" i="2"/>
  <c r="V787" i="2"/>
  <c r="V786" i="2"/>
  <c r="V785" i="2"/>
  <c r="V784" i="2"/>
  <c r="AC783" i="2"/>
  <c r="V783" i="2"/>
  <c r="V782" i="2"/>
  <c r="V781" i="2"/>
  <c r="V780" i="2"/>
  <c r="V779" i="2"/>
  <c r="V778" i="2"/>
  <c r="V777" i="2"/>
  <c r="V776" i="2"/>
  <c r="V775" i="2"/>
  <c r="V774" i="2"/>
  <c r="V773" i="2"/>
  <c r="V772" i="2"/>
  <c r="V771" i="2"/>
  <c r="V770" i="2"/>
  <c r="V769" i="2"/>
  <c r="V768" i="2"/>
  <c r="V767" i="2"/>
  <c r="V766" i="2"/>
  <c r="V765" i="2"/>
  <c r="V764" i="2"/>
  <c r="V763" i="2"/>
  <c r="AC762" i="2"/>
  <c r="V762" i="2"/>
  <c r="AC761" i="2"/>
  <c r="V761" i="2"/>
  <c r="AC760" i="2"/>
  <c r="V760" i="2"/>
  <c r="V759" i="2"/>
  <c r="V758" i="2"/>
  <c r="AC757" i="2"/>
  <c r="V757" i="2"/>
  <c r="AC756" i="2"/>
  <c r="V756" i="2"/>
  <c r="V755" i="2"/>
  <c r="AC754" i="2"/>
  <c r="V754" i="2"/>
  <c r="V753" i="2"/>
  <c r="V752" i="2"/>
  <c r="V751" i="2"/>
  <c r="AC750" i="2"/>
  <c r="V750" i="2"/>
  <c r="V749" i="2"/>
  <c r="V748" i="2"/>
  <c r="V747" i="2"/>
  <c r="V746" i="2"/>
  <c r="AC745" i="2"/>
  <c r="V745" i="2"/>
  <c r="V744" i="2"/>
  <c r="V743" i="2"/>
  <c r="V742" i="2"/>
  <c r="V741" i="2"/>
  <c r="AC740" i="2"/>
  <c r="V740" i="2"/>
  <c r="AC739" i="2"/>
  <c r="V739" i="2"/>
  <c r="V738" i="2"/>
  <c r="V737" i="2"/>
  <c r="V735" i="2"/>
  <c r="V734" i="2"/>
  <c r="V733" i="2"/>
  <c r="V732" i="2"/>
  <c r="V731" i="2"/>
  <c r="V730" i="2"/>
  <c r="V729" i="2"/>
  <c r="V728" i="2"/>
  <c r="V727" i="2"/>
  <c r="AC726" i="2"/>
  <c r="V726" i="2"/>
  <c r="AC725" i="2"/>
  <c r="V725" i="2"/>
  <c r="AC724" i="2"/>
  <c r="V724" i="2"/>
  <c r="AC723" i="2"/>
  <c r="V723" i="2"/>
  <c r="V722" i="2"/>
  <c r="V721" i="2"/>
  <c r="V720" i="2"/>
  <c r="AC719" i="2"/>
  <c r="V719" i="2"/>
  <c r="V718" i="2"/>
  <c r="V717" i="2"/>
  <c r="V716" i="2"/>
  <c r="AC715" i="2"/>
  <c r="V715" i="2"/>
  <c r="V714" i="2"/>
  <c r="V713" i="2"/>
  <c r="AC712" i="2"/>
  <c r="V712" i="2"/>
  <c r="V711" i="2"/>
  <c r="V710" i="2"/>
  <c r="V709" i="2"/>
  <c r="AC708" i="2"/>
  <c r="V708" i="2"/>
  <c r="V707" i="2"/>
  <c r="AC706" i="2"/>
  <c r="V706" i="2"/>
  <c r="V705" i="2"/>
  <c r="V704" i="2"/>
  <c r="AC703" i="2"/>
  <c r="V703" i="2"/>
  <c r="AC702" i="2"/>
  <c r="V702" i="2"/>
  <c r="V701" i="2"/>
  <c r="V700" i="2"/>
  <c r="V699" i="2"/>
  <c r="V698" i="2"/>
  <c r="V697" i="2"/>
  <c r="V696" i="2"/>
  <c r="V695" i="2"/>
  <c r="AC694" i="2"/>
  <c r="V694" i="2"/>
  <c r="AC693" i="2"/>
  <c r="V693" i="2"/>
  <c r="V692" i="2"/>
  <c r="V691" i="2"/>
  <c r="V690" i="2"/>
  <c r="V689" i="2"/>
  <c r="V688" i="2"/>
  <c r="V687" i="2"/>
  <c r="V686" i="2"/>
  <c r="V685" i="2"/>
  <c r="V684" i="2"/>
  <c r="V683" i="2"/>
  <c r="V682" i="2"/>
  <c r="V681" i="2"/>
  <c r="V680" i="2"/>
  <c r="AC679" i="2"/>
  <c r="V679" i="2"/>
  <c r="V678" i="2"/>
  <c r="AC677" i="2"/>
  <c r="V677" i="2"/>
  <c r="V676" i="2"/>
  <c r="AC675" i="2"/>
  <c r="V675" i="2"/>
  <c r="AC674" i="2"/>
  <c r="V674" i="2"/>
  <c r="V673" i="2"/>
  <c r="V672" i="2"/>
  <c r="V671" i="2"/>
  <c r="V670" i="2"/>
  <c r="V669" i="2"/>
  <c r="V668" i="2"/>
  <c r="AC667" i="2"/>
  <c r="V667" i="2"/>
  <c r="V666" i="2"/>
  <c r="AC665" i="2"/>
  <c r="V665" i="2"/>
  <c r="V664" i="2"/>
  <c r="V663" i="2"/>
  <c r="V662" i="2"/>
  <c r="V661" i="2"/>
  <c r="V660" i="2"/>
  <c r="AC659" i="2"/>
  <c r="V659" i="2"/>
  <c r="V658" i="2"/>
  <c r="J657" i="2"/>
  <c r="AC656" i="2"/>
  <c r="V656" i="2"/>
  <c r="V655" i="2"/>
  <c r="V654" i="2"/>
  <c r="V653" i="2"/>
  <c r="V652" i="2"/>
  <c r="V651" i="2"/>
  <c r="V650" i="2"/>
  <c r="AC649" i="2"/>
  <c r="V649" i="2"/>
  <c r="AC648" i="2"/>
  <c r="V648" i="2"/>
  <c r="V647" i="2"/>
  <c r="AC646" i="2"/>
  <c r="V646" i="2"/>
  <c r="AC645" i="2"/>
  <c r="V645" i="2"/>
  <c r="AC644" i="2"/>
  <c r="V644" i="2"/>
  <c r="V643" i="2"/>
  <c r="V642" i="2"/>
  <c r="AC641" i="2"/>
  <c r="V641" i="2"/>
  <c r="V640" i="2"/>
  <c r="AC639" i="2"/>
  <c r="V639" i="2"/>
  <c r="AC638" i="2"/>
  <c r="V638" i="2"/>
  <c r="V637" i="2"/>
  <c r="V636" i="2"/>
  <c r="V635" i="2"/>
  <c r="V634" i="2"/>
  <c r="AC633" i="2"/>
  <c r="V633" i="2"/>
  <c r="V632" i="2"/>
  <c r="AC631" i="2"/>
  <c r="V631" i="2"/>
  <c r="V630" i="2"/>
  <c r="V629" i="2"/>
  <c r="V628" i="2"/>
  <c r="V627" i="2"/>
  <c r="AC626" i="2"/>
  <c r="V626" i="2"/>
  <c r="AC625" i="2"/>
  <c r="V625" i="2"/>
  <c r="V624" i="2"/>
  <c r="AC623" i="2"/>
  <c r="V623" i="2"/>
  <c r="AC622" i="2"/>
  <c r="V622" i="2"/>
  <c r="V621" i="2"/>
  <c r="V620" i="2"/>
  <c r="AC619" i="2"/>
  <c r="V619" i="2"/>
  <c r="AC618" i="2"/>
  <c r="V618" i="2"/>
  <c r="V617" i="2"/>
  <c r="V616" i="2"/>
  <c r="V615" i="2"/>
  <c r="V614" i="2"/>
  <c r="AC613" i="2"/>
  <c r="V613" i="2"/>
  <c r="AC612" i="2"/>
  <c r="V612" i="2"/>
  <c r="V611" i="2"/>
  <c r="AC610" i="2"/>
  <c r="V610" i="2"/>
  <c r="V609" i="2"/>
  <c r="V608" i="2"/>
  <c r="V607" i="2"/>
  <c r="V606" i="2"/>
  <c r="V605" i="2"/>
  <c r="J604" i="2"/>
  <c r="J603" i="2"/>
  <c r="V602" i="2"/>
  <c r="AC601" i="2"/>
  <c r="V601" i="2"/>
  <c r="V600" i="2"/>
  <c r="V599" i="2"/>
  <c r="V598" i="2"/>
  <c r="V597" i="2"/>
  <c r="V596" i="2"/>
  <c r="V595" i="2"/>
  <c r="V594" i="2"/>
  <c r="V593" i="2"/>
  <c r="V592" i="2"/>
  <c r="V591" i="2"/>
  <c r="V590" i="2"/>
  <c r="V589" i="2"/>
  <c r="V588" i="2"/>
  <c r="AC587" i="2"/>
  <c r="V587" i="2"/>
  <c r="AC586" i="2"/>
  <c r="V586" i="2"/>
  <c r="AC585" i="2"/>
  <c r="V585" i="2"/>
  <c r="AC584" i="2"/>
  <c r="V584" i="2"/>
  <c r="V583" i="2"/>
  <c r="V582" i="2"/>
  <c r="AC581" i="2"/>
  <c r="V581" i="2"/>
  <c r="V580" i="2"/>
  <c r="V579" i="2"/>
  <c r="V578" i="2"/>
  <c r="AC577" i="2"/>
  <c r="V577" i="2"/>
  <c r="AC576" i="2"/>
  <c r="V576" i="2"/>
  <c r="AC575" i="2"/>
  <c r="V575" i="2"/>
  <c r="V574" i="2"/>
  <c r="V573" i="2"/>
  <c r="AC572" i="2"/>
  <c r="V572" i="2"/>
  <c r="V571" i="2"/>
  <c r="V570" i="2"/>
  <c r="AC569" i="2"/>
  <c r="V569" i="2"/>
  <c r="V568" i="2"/>
  <c r="V567" i="2"/>
  <c r="AC566" i="2"/>
  <c r="V566" i="2"/>
  <c r="V565" i="2"/>
  <c r="AC564" i="2"/>
  <c r="V564" i="2"/>
  <c r="V563" i="2"/>
  <c r="V562" i="2"/>
  <c r="AC561" i="2"/>
  <c r="V561" i="2"/>
  <c r="V560" i="2"/>
  <c r="AC559" i="2"/>
  <c r="V559" i="2"/>
  <c r="AC558" i="2"/>
  <c r="V558" i="2"/>
  <c r="AC557" i="2"/>
  <c r="V557" i="2"/>
  <c r="J556" i="2"/>
  <c r="V555" i="2"/>
  <c r="V554" i="2"/>
  <c r="AC553" i="2"/>
  <c r="V553" i="2"/>
  <c r="V552" i="2"/>
  <c r="AC551" i="2"/>
  <c r="V551" i="2"/>
  <c r="V550" i="2"/>
  <c r="V549" i="2"/>
  <c r="V548" i="2"/>
  <c r="V547" i="2"/>
  <c r="V546" i="2"/>
  <c r="V545" i="2"/>
  <c r="AC544" i="2"/>
  <c r="V544" i="2"/>
  <c r="J543" i="2"/>
  <c r="V542" i="2"/>
  <c r="V541" i="2"/>
  <c r="V540" i="2"/>
  <c r="V539" i="2"/>
  <c r="V538" i="2"/>
  <c r="V537" i="2"/>
  <c r="V536" i="2"/>
  <c r="V535" i="2"/>
  <c r="V534" i="2"/>
  <c r="V533" i="2"/>
  <c r="V532" i="2"/>
  <c r="V531" i="2"/>
  <c r="V530" i="2"/>
  <c r="V529" i="2"/>
  <c r="V528" i="2"/>
  <c r="V527" i="2"/>
  <c r="V526" i="2"/>
  <c r="V525" i="2"/>
  <c r="AC524" i="2"/>
  <c r="V524" i="2"/>
  <c r="V523" i="2"/>
  <c r="V522" i="2"/>
  <c r="V521" i="2"/>
  <c r="V520" i="2"/>
  <c r="AC519" i="2"/>
  <c r="V519" i="2"/>
  <c r="V518" i="2"/>
  <c r="V517" i="2"/>
  <c r="V516" i="2"/>
  <c r="AC515" i="2"/>
  <c r="V515" i="2"/>
  <c r="V514" i="2"/>
  <c r="V513" i="2"/>
  <c r="V512" i="2"/>
  <c r="V511" i="2"/>
  <c r="V510" i="2"/>
  <c r="V509" i="2"/>
  <c r="AC508" i="2"/>
  <c r="V508" i="2"/>
  <c r="V507" i="2"/>
  <c r="AC506" i="2"/>
  <c r="V506" i="2"/>
  <c r="V505" i="2"/>
  <c r="V504" i="2"/>
  <c r="V503" i="2"/>
  <c r="V502" i="2"/>
  <c r="V501" i="2"/>
  <c r="V500" i="2"/>
  <c r="V499" i="2"/>
  <c r="V498" i="2"/>
  <c r="V497" i="2"/>
  <c r="V496" i="2"/>
  <c r="V495" i="2"/>
  <c r="V494" i="2"/>
  <c r="J493" i="2"/>
  <c r="V492" i="2"/>
  <c r="V491" i="2"/>
  <c r="AC490" i="2"/>
  <c r="V490" i="2"/>
  <c r="V489" i="2"/>
  <c r="AC488" i="2"/>
  <c r="V488" i="2"/>
  <c r="V487" i="2"/>
  <c r="V486" i="2"/>
  <c r="V485" i="2"/>
  <c r="V484" i="2"/>
  <c r="V483" i="2"/>
  <c r="AC482" i="2"/>
  <c r="V482" i="2"/>
  <c r="V481" i="2"/>
  <c r="V480" i="2"/>
  <c r="V479" i="2"/>
  <c r="V478" i="2"/>
  <c r="AC477" i="2"/>
  <c r="V477" i="2"/>
  <c r="J476" i="2"/>
  <c r="V476" i="2" s="1"/>
  <c r="J475" i="2"/>
  <c r="J474" i="2"/>
  <c r="V473" i="2"/>
  <c r="AC472" i="2"/>
  <c r="V472" i="2"/>
  <c r="V471" i="2"/>
  <c r="V470" i="2"/>
  <c r="V469" i="2"/>
  <c r="V468" i="2"/>
  <c r="V467" i="2"/>
  <c r="AC466" i="2"/>
  <c r="V466" i="2"/>
  <c r="V465" i="2"/>
  <c r="AC464" i="2"/>
  <c r="V464" i="2"/>
  <c r="AC463" i="2"/>
  <c r="V463" i="2"/>
  <c r="AC462" i="2"/>
  <c r="V462" i="2"/>
  <c r="AC461" i="2"/>
  <c r="V461" i="2"/>
  <c r="V460" i="2"/>
  <c r="V459" i="2"/>
  <c r="V458" i="2"/>
  <c r="AC457" i="2"/>
  <c r="V457" i="2"/>
  <c r="V456" i="2"/>
  <c r="V455" i="2"/>
  <c r="V454" i="2"/>
  <c r="AC453" i="2"/>
  <c r="V453" i="2"/>
  <c r="AC452" i="2"/>
  <c r="V452" i="2"/>
  <c r="AC451" i="2"/>
  <c r="V451" i="2"/>
  <c r="V450" i="2"/>
  <c r="V449" i="2"/>
  <c r="V448" i="2"/>
  <c r="AC447" i="2"/>
  <c r="V447" i="2"/>
  <c r="V446" i="2"/>
  <c r="V445" i="2"/>
  <c r="V444" i="2"/>
  <c r="V443" i="2"/>
  <c r="V442" i="2"/>
  <c r="V441" i="2"/>
  <c r="AC440" i="2"/>
  <c r="V440" i="2"/>
  <c r="V439" i="2"/>
  <c r="V438" i="2"/>
  <c r="V437" i="2"/>
  <c r="V436" i="2"/>
  <c r="V435" i="2"/>
  <c r="V434" i="2"/>
  <c r="V433" i="2"/>
  <c r="V432" i="2"/>
  <c r="V431" i="2"/>
  <c r="V430" i="2"/>
  <c r="V429" i="2"/>
  <c r="V428" i="2"/>
  <c r="AC427" i="2"/>
  <c r="V427" i="2"/>
  <c r="V426" i="2"/>
  <c r="AC425" i="2"/>
  <c r="V425" i="2"/>
  <c r="V424" i="2"/>
  <c r="V423" i="2"/>
  <c r="AC422" i="2"/>
  <c r="V422" i="2"/>
  <c r="AC421" i="2"/>
  <c r="V421" i="2"/>
  <c r="V420" i="2"/>
  <c r="V419" i="2"/>
  <c r="V418" i="2"/>
  <c r="V417" i="2"/>
  <c r="V416" i="2"/>
  <c r="AC415" i="2"/>
  <c r="V415" i="2"/>
  <c r="V414" i="2"/>
  <c r="V413" i="2"/>
  <c r="V412" i="2"/>
  <c r="V411" i="2"/>
  <c r="V410" i="2"/>
  <c r="V409" i="2"/>
  <c r="V408" i="2"/>
  <c r="V407" i="2"/>
  <c r="V406" i="2"/>
  <c r="V405" i="2"/>
  <c r="V404" i="2"/>
  <c r="AC403" i="2"/>
  <c r="V403" i="2"/>
  <c r="V402" i="2"/>
  <c r="AC401" i="2"/>
  <c r="V401" i="2"/>
  <c r="V400" i="2"/>
  <c r="V399" i="2"/>
  <c r="V398" i="2"/>
  <c r="V397" i="2"/>
  <c r="AC396" i="2"/>
  <c r="V396" i="2"/>
  <c r="V395" i="2"/>
  <c r="V394" i="2"/>
  <c r="V393" i="2"/>
  <c r="AC392" i="2"/>
  <c r="V392" i="2"/>
  <c r="V391" i="2"/>
  <c r="V390" i="2"/>
  <c r="V389" i="2"/>
  <c r="V388" i="2"/>
  <c r="V387" i="2"/>
  <c r="V386" i="2"/>
  <c r="V385" i="2"/>
  <c r="V384" i="2"/>
  <c r="V383" i="2"/>
  <c r="V382" i="2"/>
  <c r="V381" i="2"/>
  <c r="V380" i="2"/>
  <c r="V379" i="2"/>
  <c r="V378" i="2"/>
  <c r="V377" i="2"/>
  <c r="V376" i="2"/>
  <c r="V375" i="2"/>
  <c r="AC374" i="2"/>
  <c r="V374" i="2"/>
  <c r="V373" i="2"/>
  <c r="AC372" i="2"/>
  <c r="V372" i="2"/>
  <c r="AC371" i="2"/>
  <c r="V371" i="2"/>
  <c r="V370" i="2"/>
  <c r="V369" i="2"/>
  <c r="V368" i="2"/>
  <c r="V367" i="2"/>
  <c r="V366" i="2"/>
  <c r="V365" i="2"/>
  <c r="V364" i="2"/>
  <c r="V363" i="2"/>
  <c r="V362" i="2"/>
  <c r="V361" i="2"/>
  <c r="V360" i="2"/>
  <c r="V359" i="2"/>
  <c r="AC358" i="2"/>
  <c r="V358" i="2"/>
  <c r="V357" i="2"/>
  <c r="V356" i="2"/>
  <c r="V355" i="2"/>
  <c r="V354" i="2"/>
  <c r="AC353" i="2"/>
  <c r="V353" i="2"/>
  <c r="AC352" i="2"/>
  <c r="V352" i="2"/>
  <c r="V351" i="2"/>
  <c r="V350" i="2"/>
  <c r="V349" i="2"/>
  <c r="V348" i="2"/>
  <c r="V347" i="2"/>
  <c r="AC346" i="2"/>
  <c r="V346" i="2"/>
  <c r="V345" i="2"/>
  <c r="V344" i="2"/>
  <c r="AC343" i="2"/>
  <c r="V343" i="2"/>
  <c r="V341" i="2"/>
  <c r="AC340" i="2"/>
  <c r="V340" i="2"/>
  <c r="V339" i="2"/>
  <c r="V338" i="2"/>
  <c r="V337" i="2"/>
  <c r="V336" i="2"/>
  <c r="AC335" i="2"/>
  <c r="V335" i="2"/>
  <c r="V334" i="2"/>
  <c r="AC333" i="2"/>
  <c r="V333" i="2"/>
  <c r="V332" i="2"/>
  <c r="V331" i="2"/>
  <c r="V330" i="2"/>
  <c r="V328" i="2"/>
  <c r="V327" i="2"/>
  <c r="V326" i="2"/>
  <c r="V325" i="2"/>
  <c r="V324" i="2"/>
  <c r="V323" i="2"/>
  <c r="AC322" i="2"/>
  <c r="V322" i="2"/>
  <c r="V321" i="2"/>
  <c r="V320" i="2"/>
  <c r="V319" i="2"/>
  <c r="AC318" i="2"/>
  <c r="V318" i="2"/>
  <c r="V317" i="2"/>
  <c r="V316" i="2"/>
  <c r="V315" i="2"/>
  <c r="V314" i="2"/>
  <c r="AC313" i="2"/>
  <c r="V313" i="2"/>
  <c r="AC312" i="2"/>
  <c r="V312" i="2"/>
  <c r="V311" i="2"/>
  <c r="V310" i="2"/>
  <c r="AC309" i="2"/>
  <c r="V309" i="2"/>
  <c r="V308" i="2"/>
  <c r="V307" i="2"/>
  <c r="V306" i="2"/>
  <c r="V305" i="2"/>
  <c r="J304" i="2"/>
  <c r="V303" i="2"/>
  <c r="V302" i="2"/>
  <c r="V301" i="2"/>
  <c r="V300" i="2"/>
  <c r="V299" i="2"/>
  <c r="AC298" i="2"/>
  <c r="V298" i="2"/>
  <c r="V297" i="2"/>
  <c r="V295" i="2"/>
  <c r="V294" i="2"/>
  <c r="AC293" i="2"/>
  <c r="V293" i="2"/>
  <c r="AC292" i="2"/>
  <c r="V292" i="2"/>
  <c r="V291" i="2"/>
  <c r="V290" i="2"/>
  <c r="V289" i="2"/>
  <c r="AC288" i="2"/>
  <c r="V288" i="2"/>
  <c r="AC287" i="2"/>
  <c r="V287" i="2"/>
  <c r="AC286" i="2"/>
  <c r="V286" i="2"/>
  <c r="V285" i="2"/>
  <c r="V284" i="2"/>
  <c r="AC283" i="2"/>
  <c r="V283" i="2"/>
  <c r="V282" i="2"/>
  <c r="V281" i="2"/>
  <c r="AC280" i="2"/>
  <c r="V280" i="2"/>
  <c r="V279" i="2"/>
  <c r="V278" i="2"/>
  <c r="V277" i="2"/>
  <c r="AC276" i="2"/>
  <c r="V276" i="2"/>
  <c r="V275" i="2"/>
  <c r="V274" i="2"/>
  <c r="V273" i="2"/>
  <c r="V272" i="2"/>
  <c r="V271" i="2"/>
  <c r="V270" i="2"/>
  <c r="V269" i="2"/>
  <c r="V268" i="2"/>
  <c r="V267" i="2"/>
  <c r="V266" i="2"/>
  <c r="V265" i="2"/>
  <c r="V264" i="2"/>
  <c r="V263" i="2"/>
  <c r="V262" i="2"/>
  <c r="V261" i="2"/>
  <c r="V260" i="2"/>
  <c r="AC259" i="2"/>
  <c r="V259" i="2"/>
  <c r="V258" i="2"/>
  <c r="V257" i="2"/>
  <c r="V256" i="2"/>
  <c r="V255" i="2"/>
  <c r="V254" i="2"/>
  <c r="V253" i="2"/>
  <c r="V252" i="2"/>
  <c r="AC251" i="2"/>
  <c r="V251" i="2"/>
  <c r="V250" i="2"/>
  <c r="AC249" i="2"/>
  <c r="V249" i="2"/>
  <c r="V248" i="2"/>
  <c r="V246" i="2"/>
  <c r="V245" i="2"/>
  <c r="V244" i="2"/>
  <c r="V243" i="2"/>
  <c r="AC242" i="2"/>
  <c r="V242" i="2"/>
  <c r="V241" i="2"/>
  <c r="V240" i="2"/>
  <c r="V239" i="2"/>
  <c r="V238" i="2"/>
  <c r="V237" i="2"/>
  <c r="V236" i="2"/>
  <c r="AC235" i="2"/>
  <c r="V235" i="2"/>
  <c r="V234" i="2"/>
  <c r="V233" i="2"/>
  <c r="AC231" i="2"/>
  <c r="V231" i="2"/>
  <c r="V230" i="2"/>
  <c r="V229" i="2"/>
  <c r="AC228" i="2"/>
  <c r="V228" i="2"/>
  <c r="V227" i="2"/>
  <c r="V226" i="2"/>
  <c r="V225" i="2"/>
  <c r="V224" i="2"/>
  <c r="V223" i="2"/>
  <c r="V222" i="2"/>
  <c r="AC221" i="2"/>
  <c r="V221" i="2"/>
  <c r="J220" i="2"/>
  <c r="V219" i="2"/>
  <c r="V218" i="2"/>
  <c r="V217" i="2"/>
  <c r="AC216" i="2"/>
  <c r="V216" i="2"/>
  <c r="V215" i="2"/>
  <c r="V214" i="2"/>
  <c r="V213" i="2"/>
  <c r="AC212" i="2"/>
  <c r="V212" i="2"/>
  <c r="AC211" i="2"/>
  <c r="V211" i="2"/>
  <c r="J210" i="2"/>
  <c r="V209" i="2"/>
  <c r="AC208" i="2"/>
  <c r="V208" i="2"/>
  <c r="AC207" i="2"/>
  <c r="V207" i="2"/>
  <c r="AC206" i="2"/>
  <c r="V206" i="2"/>
  <c r="V205" i="2"/>
  <c r="V204" i="2"/>
  <c r="V203" i="2"/>
  <c r="V202" i="2"/>
  <c r="V201" i="2"/>
  <c r="V200" i="2"/>
  <c r="V199" i="2"/>
  <c r="V198" i="2"/>
  <c r="V197" i="2"/>
  <c r="V196" i="2"/>
  <c r="V195" i="2"/>
  <c r="V194" i="2"/>
  <c r="V193" i="2"/>
  <c r="V192" i="2"/>
  <c r="V191" i="2"/>
  <c r="AC190" i="2"/>
  <c r="V190" i="2"/>
  <c r="AC189" i="2"/>
  <c r="V189" i="2"/>
  <c r="AC76" i="2" l="1"/>
  <c r="V76" i="2"/>
  <c r="V210" i="2"/>
  <c r="AC220" i="2"/>
  <c r="V220" i="2"/>
  <c r="AC304" i="2"/>
  <c r="V304" i="2"/>
  <c r="AC474" i="2"/>
  <c r="V474" i="2"/>
  <c r="AC475" i="2"/>
  <c r="V475" i="2"/>
  <c r="AC493" i="2"/>
  <c r="V493" i="2"/>
  <c r="AC543" i="2"/>
  <c r="V543" i="2"/>
  <c r="AC556" i="2"/>
  <c r="V556" i="2"/>
  <c r="AC603" i="2"/>
  <c r="V603" i="2"/>
  <c r="AC604" i="2"/>
  <c r="V604" i="2"/>
  <c r="AC657" i="2"/>
  <c r="V657" i="2"/>
  <c r="AC854" i="2"/>
  <c r="V854" i="2"/>
  <c r="AC887" i="2"/>
  <c r="V887" i="2"/>
  <c r="AC895" i="2"/>
  <c r="V895" i="2"/>
  <c r="AC970" i="2"/>
  <c r="V97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 Silverio</author>
    <author>tc={56633AEF-B96D-47C9-89AA-FD46FBF312B9}</author>
    <author>Tad Kasai</author>
    <author>tc={2CC6E301-83DF-4621-AB7F-A448D281E3CF}</author>
  </authors>
  <commentList>
    <comment ref="AC151" authorId="0" shapeId="0" xr:uid="{75F73847-E554-4C06-A846-1D442F1E62F7}">
      <text>
        <r>
          <rPr>
            <sz val="11"/>
            <color theme="1"/>
            <rFont val="Calibri"/>
            <family val="2"/>
            <scheme val="minor"/>
          </rPr>
          <t xml:space="preserve">Eric Silverio:
Adding 23pc BGA reworked Shipped to AA On AA Dime 
</t>
        </r>
      </text>
    </comment>
    <comment ref="AC166" authorId="0" shapeId="0" xr:uid="{C54B8E35-D478-4C54-9F11-ADC4B9E9CF9C}">
      <text>
        <r>
          <rPr>
            <sz val="11"/>
            <color theme="1"/>
            <rFont val="Calibri"/>
            <family val="2"/>
            <scheme val="minor"/>
          </rPr>
          <t xml:space="preserve">Eric Silverio:
Removing cost - This is double we shipped 14 and then 16 using the 16 as Total
</t>
        </r>
      </text>
    </comment>
    <comment ref="W293" authorId="0" shapeId="0" xr:uid="{BB5AAA19-6EB9-411E-B2C3-03BE87282637}">
      <text>
        <r>
          <rPr>
            <sz val="11"/>
            <color theme="1"/>
            <rFont val="Calibri"/>
            <family val="2"/>
            <scheme val="minor"/>
          </rPr>
          <t>Eric Silverio:
updated to Fedex P1 11/21/2025</t>
        </r>
      </text>
    </comment>
    <comment ref="AC297" authorId="1" shapeId="0" xr:uid="{56633AEF-B96D-47C9-89AA-FD46FBF312B9}">
      <text>
        <t>[Threaded comment]
Your version of Excel allows you to read this threaded comment; however, any edits to it will get removed if the file is opened in a newer version of Excel. Learn more: https://go.microsoft.com/fwlink/?linkid=870924
Comment:
    REMOVED COST - THIS IS CANCELLED B NUMBER</t>
      </text>
    </comment>
    <comment ref="W318" authorId="0" shapeId="0" xr:uid="{1C36B58E-BC4F-40E5-93AC-DA2767A7CE9B}">
      <text>
        <r>
          <rPr>
            <sz val="11"/>
            <color theme="1"/>
            <rFont val="Calibri"/>
            <family val="2"/>
            <scheme val="minor"/>
          </rPr>
          <t>Eric Silverio:
UPDATED P1 11/21/2025</t>
        </r>
      </text>
    </comment>
    <comment ref="P333" authorId="2" shapeId="0" xr:uid="{A112321E-765E-4ED1-BB3B-EEC765E85CAC}">
      <text>
        <r>
          <rPr>
            <sz val="11"/>
            <color theme="1"/>
            <rFont val="Calibri"/>
            <family val="2"/>
            <scheme val="minor"/>
          </rPr>
          <t>Tad Kasai:
11/21 - SMT ONLY RAN QTY 135 - SMT WILL GO BACK AND RUN QTY 15 MORE ON 11/24</t>
        </r>
      </text>
    </comment>
    <comment ref="J343" authorId="3" shapeId="0" xr:uid="{2CC6E301-83DF-4621-AB7F-A448D281E3CF}">
      <text>
        <t>[Threaded comment]
Your version of Excel allows you to read this threaded comment; however, any edits to it will get removed if the file is opened in a newer version of Excel. Learn more: https://go.microsoft.com/fwlink/?linkid=870924
Comment:
    Was 25 Edited down to 22 due to partial shipment to reflect proper quantity 11/21/2025</t>
      </text>
    </comment>
    <comment ref="I362" authorId="2" shapeId="0" xr:uid="{13D70397-A354-48DA-A8DC-C39B690EC4EE}">
      <text>
        <r>
          <rPr>
            <sz val="11"/>
            <color theme="1"/>
            <rFont val="Calibri"/>
            <family val="2"/>
            <scheme val="minor"/>
          </rPr>
          <t>Tad Kasai:
10/27 - CHECK IF ROBERT FOUND TYPE 5 SOLDER PASTE. ALSO NEED PROFILE DIALED IN BEFORE WE RUN. "U23 &amp; RELATED" AND "U216 &amp; RELATED" MAY BE DIFFICULT TO PLACE (LGA NOT BGA)</t>
        </r>
      </text>
    </comment>
    <comment ref="I364" authorId="2" shapeId="0" xr:uid="{6ACBEABD-387A-4584-940F-4D41B0A1CF03}">
      <text>
        <r>
          <rPr>
            <sz val="11"/>
            <color theme="1"/>
            <rFont val="Calibri"/>
            <family val="2"/>
            <scheme val="minor"/>
          </rPr>
          <t>Tad Kasai:
10/27 - CHECK IF ROBERT FOUND TYPE 5 SOLDER PASTE. ALSO NEED PROFILE DIALED IN BEFORE WE RUN. "U23 &amp; RELATED" AND "U216 &amp; RELATED" MAY BE DIFFICULT TO PLACE (LGA NOT BGA)</t>
        </r>
      </text>
    </comment>
    <comment ref="I400" authorId="2" shapeId="0" xr:uid="{08AE7E22-28CC-4AEB-9FB7-25CE921C55E4}">
      <text>
        <r>
          <rPr>
            <sz val="11"/>
            <color theme="1"/>
            <rFont val="Calibri"/>
            <family val="2"/>
            <scheme val="minor"/>
          </rPr>
          <t>Tad Kasai:
11/3 - CANX &amp; XFER TO B136604 - PCB'S ARE NO GOOD DUE TO REV CHANGE</t>
        </r>
      </text>
    </comment>
  </commentList>
</comments>
</file>

<file path=xl/sharedStrings.xml><?xml version="1.0" encoding="utf-8"?>
<sst xmlns="http://schemas.openxmlformats.org/spreadsheetml/2006/main" count="25615" uniqueCount="10012">
  <si>
    <t>SHIPPED</t>
  </si>
  <si>
    <t>PCB NOTES</t>
  </si>
  <si>
    <t>KIT NOTES</t>
  </si>
  <si>
    <t>SCHEDULING NOTES</t>
  </si>
  <si>
    <t>FEEDER S/U</t>
  </si>
  <si>
    <t>LINE 1</t>
  </si>
  <si>
    <t>LINE 2</t>
  </si>
  <si>
    <t>LINE 3</t>
  </si>
  <si>
    <t>JOB</t>
  </si>
  <si>
    <t>QTY</t>
  </si>
  <si>
    <t>SHIP DATE</t>
  </si>
  <si>
    <t>PROG</t>
  </si>
  <si>
    <t>STENCIL</t>
  </si>
  <si>
    <t>MFG NOTES</t>
  </si>
  <si>
    <t>BOTTOM</t>
  </si>
  <si>
    <t>TOP</t>
  </si>
  <si>
    <t>AOI</t>
  </si>
  <si>
    <t>SMT LINES</t>
  </si>
  <si>
    <t>SMT PLCMNTS</t>
  </si>
  <si>
    <t>MACH</t>
  </si>
  <si>
    <t>T/H</t>
  </si>
  <si>
    <t>T/H EXT</t>
  </si>
  <si>
    <t>SHIP METHOD</t>
  </si>
  <si>
    <t>CUSTOMER</t>
  </si>
  <si>
    <t>SALES P</t>
  </si>
  <si>
    <t>THOMAS NOTES/HISTORY</t>
  </si>
  <si>
    <t>DOC REL</t>
  </si>
  <si>
    <t>KIT REL</t>
  </si>
  <si>
    <t>CODE</t>
  </si>
  <si>
    <t>LABELED</t>
  </si>
  <si>
    <t>AUDIT BOM REVIEW</t>
  </si>
  <si>
    <t>ECO / BUILD NOTES</t>
  </si>
  <si>
    <t>DRAWING</t>
  </si>
  <si>
    <t>PROCESS</t>
  </si>
  <si>
    <t>PREV RUN</t>
  </si>
  <si>
    <t>BOM COMPARE / PHOTOS</t>
  </si>
  <si>
    <t>clear 4/13</t>
  </si>
  <si>
    <t>4/13 - kit clear</t>
  </si>
  <si>
    <t>4/16 - Robert double checking stencil</t>
  </si>
  <si>
    <t>RTR</t>
  </si>
  <si>
    <r>
      <rPr>
        <b/>
        <sz val="14"/>
        <color rgb="FF000000"/>
        <rFont val="Calibri"/>
      </rPr>
      <t xml:space="preserve">04/20
</t>
    </r>
    <r>
      <rPr>
        <b/>
        <sz val="14"/>
        <color rgb="FF3C7D22"/>
        <rFont val="Calibri"/>
      </rPr>
      <t>5D</t>
    </r>
  </si>
  <si>
    <t>RL</t>
  </si>
  <si>
    <t>X</t>
  </si>
  <si>
    <r>
      <rPr>
        <b/>
        <sz val="11"/>
        <color rgb="FF000000"/>
        <rFont val="Calibri"/>
      </rPr>
      <t>*</t>
    </r>
    <r>
      <rPr>
        <b/>
        <sz val="11"/>
        <color rgb="FFFF0000"/>
        <rFont val="Calibri"/>
      </rPr>
      <t xml:space="preserve"> CHANGED TO NO CLEAN</t>
    </r>
    <r>
      <rPr>
        <b/>
        <sz val="11"/>
        <color rgb="FF000000"/>
        <rFont val="Calibri"/>
      </rPr>
      <t xml:space="preserve"> *
shipped qty 5 on 4/1
</t>
    </r>
    <r>
      <rPr>
        <b/>
        <strike/>
        <sz val="11"/>
        <color rgb="FF000000"/>
        <rFont val="Calibri"/>
      </rPr>
      <t xml:space="preserve">"""U3"" AFTER WASH
</t>
    </r>
    <r>
      <rPr>
        <b/>
        <sz val="11"/>
        <color rgb="FF000000"/>
        <rFont val="Calibri"/>
      </rPr>
      <t xml:space="preserve">4/13 - NO CLEAN APPROVED
</t>
    </r>
    <r>
      <rPr>
        <b/>
        <u/>
        <sz val="11"/>
        <color rgb="FF000000"/>
        <rFont val="Calibri"/>
      </rPr>
      <t>NO</t>
    </r>
    <r>
      <rPr>
        <b/>
        <sz val="11"/>
        <color rgb="FF000000"/>
        <rFont val="Calibri"/>
      </rPr>
      <t xml:space="preserve"> CONF COATING, SER #'S, RTV
DEPANEL"</t>
    </r>
  </si>
  <si>
    <t>4/16 - 11:30</t>
  </si>
  <si>
    <t>4/16 - 1:30</t>
  </si>
  <si>
    <t>4/17 - 9:00</t>
  </si>
  <si>
    <t>1B 1T</t>
  </si>
  <si>
    <t>FEDEX P1</t>
  </si>
  <si>
    <t xml:space="preserve">Hoverfly Technologies, Inc.
</t>
  </si>
  <si>
    <t>AJ</t>
  </si>
  <si>
    <t xml:space="preserve"> </t>
  </si>
  <si>
    <t>DOC REL 4/13</t>
  </si>
  <si>
    <t>4/13</t>
  </si>
  <si>
    <t>folder</t>
  </si>
  <si>
    <t>x</t>
  </si>
  <si>
    <t>reviewed</t>
  </si>
  <si>
    <t>LF
NC</t>
  </si>
  <si>
    <t>tht to smt
uploaded</t>
  </si>
  <si>
    <r>
      <t xml:space="preserve">clear 3/10
</t>
    </r>
    <r>
      <rPr>
        <b/>
        <strike/>
        <sz val="11"/>
        <color rgb="FF000000"/>
        <rFont val="Calibri"/>
      </rPr>
      <t>short due 3/11</t>
    </r>
  </si>
  <si>
    <r>
      <t xml:space="preserve">3/9 - matl clear
</t>
    </r>
    <r>
      <rPr>
        <b/>
        <strike/>
        <sz val="11"/>
        <color rgb="FF000000"/>
        <rFont val="Calibri"/>
      </rPr>
      <t>3/4 - short SMT R814 due 3/6
short THT J700 due 3/6</t>
    </r>
  </si>
  <si>
    <r>
      <rPr>
        <b/>
        <sz val="14"/>
        <color rgb="FF000000"/>
        <rFont val="Calibri"/>
      </rPr>
      <t xml:space="preserve">138212
RONC 135396
</t>
    </r>
    <r>
      <rPr>
        <b/>
        <sz val="14"/>
        <color rgb="FFFF0000"/>
        <rFont val="Calibri"/>
      </rPr>
      <t>(DoD-ITAR-CUI)</t>
    </r>
  </si>
  <si>
    <r>
      <rPr>
        <b/>
        <sz val="14"/>
        <color rgb="FF000000"/>
        <rFont val="Calibri"/>
      </rPr>
      <t xml:space="preserve">04/20
</t>
    </r>
    <r>
      <rPr>
        <b/>
        <strike/>
        <sz val="14"/>
        <color rgb="FF000000"/>
        <rFont val="Calibri"/>
      </rPr>
      <t xml:space="preserve">04/21
</t>
    </r>
    <r>
      <rPr>
        <b/>
        <sz val="14"/>
        <color rgb="FF000000"/>
        <rFont val="Calibri"/>
      </rPr>
      <t>30D</t>
    </r>
  </si>
  <si>
    <t>NL</t>
  </si>
  <si>
    <t>LEAD WASH
"SW200, SW600" AFTER WASH</t>
  </si>
  <si>
    <t>3/14 - 6:00</t>
  </si>
  <si>
    <t>3/14 - 10:00</t>
  </si>
  <si>
    <t>2T</t>
  </si>
  <si>
    <t>FEDEX GRD</t>
  </si>
  <si>
    <t xml:space="preserve">Sea Land Aire
</t>
  </si>
  <si>
    <t>CV</t>
  </si>
  <si>
    <t>DOC REL 2/26</t>
  </si>
  <si>
    <t>3/4
4/21</t>
  </si>
  <si>
    <t>complete alta</t>
  </si>
  <si>
    <t>ronc
uploaded</t>
  </si>
  <si>
    <r>
      <t xml:space="preserve">clear 4/13
</t>
    </r>
    <r>
      <rPr>
        <b/>
        <strike/>
        <sz val="11"/>
        <color rgb="FF000000"/>
        <rFont val="Calibri"/>
      </rPr>
      <t>short due 4/15</t>
    </r>
  </si>
  <si>
    <t>4/10 - matl clear</t>
  </si>
  <si>
    <t>139404
RONC 137000</t>
  </si>
  <si>
    <t>BOARD WASH REQ
DEPANEL
MAKE SURE BOARDS ARE FREE &amp; CLEAN OF DEBRIS</t>
  </si>
  <si>
    <t>4/16 - 10:30</t>
  </si>
  <si>
    <t>4/16 - 12:00</t>
  </si>
  <si>
    <t>TMC / Technical Manufacturing Corp.</t>
  </si>
  <si>
    <t>PF</t>
  </si>
  <si>
    <t>NO DOC.</t>
  </si>
  <si>
    <t>4/10</t>
  </si>
  <si>
    <t>complete eco</t>
  </si>
  <si>
    <t>none</t>
  </si>
  <si>
    <t>LF
C</t>
  </si>
  <si>
    <t>1/23 - CLR</t>
  </si>
  <si>
    <r>
      <t>1/23-CLEAR</t>
    </r>
    <r>
      <rPr>
        <b/>
        <strike/>
        <sz val="11"/>
        <color rgb="FF000000"/>
        <rFont val="Calibri"/>
        <family val="2"/>
      </rPr>
      <t xml:space="preserve"> C/F U1, R13, R17 &amp; R19 (SMT)ok to use?</t>
    </r>
  </si>
  <si>
    <r>
      <rPr>
        <b/>
        <sz val="11"/>
        <color rgb="FF000000"/>
        <rFont val="Calibri"/>
      </rPr>
      <t xml:space="preserve">1/26 </t>
    </r>
    <r>
      <rPr>
        <b/>
        <strike/>
        <sz val="11"/>
        <color rgb="FF000000"/>
        <rFont val="Calibri"/>
      </rPr>
      <t>-</t>
    </r>
    <r>
      <rPr>
        <b/>
        <strike/>
        <sz val="11"/>
        <color rgb="FFFF0000"/>
        <rFont val="Calibri"/>
      </rPr>
      <t xml:space="preserve"> J6-9 no fit silk (awt replacement)
</t>
    </r>
    <r>
      <rPr>
        <b/>
        <sz val="11"/>
        <color rgb="FF000000"/>
        <rFont val="Calibri"/>
      </rPr>
      <t>1/26 - expedite (LT 10) per tad</t>
    </r>
  </si>
  <si>
    <r>
      <rPr>
        <b/>
        <sz val="14"/>
        <color rgb="FF000000"/>
        <rFont val="Calibri"/>
      </rPr>
      <t xml:space="preserve">134403
RONC 107222
</t>
    </r>
    <r>
      <rPr>
        <b/>
        <sz val="14"/>
        <color rgb="FFFF0000"/>
        <rFont val="Calibri"/>
      </rPr>
      <t>(ITAR)</t>
    </r>
  </si>
  <si>
    <r>
      <t xml:space="preserve">04/20
</t>
    </r>
    <r>
      <rPr>
        <b/>
        <strike/>
        <sz val="14"/>
        <color rgb="FF000000"/>
        <rFont val="Calibri"/>
      </rPr>
      <t xml:space="preserve">02/06
</t>
    </r>
    <r>
      <rPr>
        <b/>
        <sz val="14"/>
        <color rgb="FF000000"/>
        <rFont val="Calibri"/>
      </rPr>
      <t>20D</t>
    </r>
  </si>
  <si>
    <r>
      <rPr>
        <b/>
        <sz val="11"/>
        <color rgb="FF000000"/>
        <rFont val="Calibri"/>
      </rPr>
      <t xml:space="preserve">do not ship early (Anne)
</t>
    </r>
    <r>
      <rPr>
        <b/>
        <strike/>
        <sz val="11"/>
        <color rgb="FF000000"/>
        <rFont val="Calibri"/>
      </rPr>
      <t xml:space="preserve">Expedite (Tad)
</t>
    </r>
    <r>
      <rPr>
        <b/>
        <sz val="11"/>
        <color rgb="FF000000"/>
        <rFont val="Calibri"/>
      </rPr>
      <t xml:space="preserve">Class 3
tag boards and paperwork BTD parts
</t>
    </r>
    <r>
      <rPr>
        <b/>
        <u/>
        <sz val="11"/>
        <color rgb="FF7030A0"/>
        <rFont val="Calibri"/>
      </rPr>
      <t>SHIP EXCESS UPS GROUND</t>
    </r>
  </si>
  <si>
    <t>1/26 - 11:00</t>
  </si>
  <si>
    <t>1/26 - 2:30</t>
  </si>
  <si>
    <t>1T</t>
  </si>
  <si>
    <t>UPS 3DAY</t>
  </si>
  <si>
    <t xml:space="preserve">Coastal Designs, LLC
</t>
  </si>
  <si>
    <t>TM</t>
  </si>
  <si>
    <t>DOC REL 1/15</t>
  </si>
  <si>
    <t>1/26
2/23h</t>
  </si>
  <si>
    <t>photos</t>
  </si>
  <si>
    <t>clear 4/14</t>
  </si>
  <si>
    <t>4/14 - short SMT IC3 due 4/17
short THT X1 &amp; X4 no ETA</t>
  </si>
  <si>
    <t xml:space="preserve">3/24 - START DAY 1 OR SOONER - T/H NEED EXTRA TIME FOR "SJ1-SJ8" HAND SOLDER BRIDGE
</t>
  </si>
  <si>
    <t>138942-1par
NEW</t>
  </si>
  <si>
    <t>04/17
15D</t>
  </si>
  <si>
    <r>
      <rPr>
        <b/>
        <sz val="11"/>
        <color rgb="FF000000"/>
        <rFont val="Calibri"/>
      </rPr>
      <t xml:space="preserve">EXPEDITE: ship qty 21 by 4/17
balance: qty 329
DO NOT SKIP PREBAKE
DO NOT SKIP AOI
"IC6" MAKE SURE CENTER FOOTPRINT IS CLOSED
"S1, S2, S3, U1" AFTER WASH
</t>
    </r>
    <r>
      <rPr>
        <b/>
        <sz val="12"/>
        <color rgb="FFFF0000"/>
        <rFont val="Calibri"/>
      </rPr>
      <t xml:space="preserve">"SJ1-SJ8" MANUAL SOLDER BRIDGE REQ PER ECO
</t>
    </r>
    <r>
      <rPr>
        <b/>
        <sz val="11"/>
        <color rgb="FF000000"/>
        <rFont val="Calibri"/>
      </rPr>
      <t>DEPANEL</t>
    </r>
  </si>
  <si>
    <t>4/15 - 1:30</t>
  </si>
  <si>
    <t>4/16 - 8:00</t>
  </si>
  <si>
    <t xml:space="preserve">LongPath Technologies
</t>
  </si>
  <si>
    <t>4/14</t>
  </si>
  <si>
    <t>#26 THT TO SMT?</t>
  </si>
  <si>
    <r>
      <rPr>
        <b/>
        <sz val="11"/>
        <color rgb="FF000000"/>
        <rFont val="Calibri"/>
      </rPr>
      <t xml:space="preserve">clear 4/14
</t>
    </r>
    <r>
      <rPr>
        <b/>
        <strike/>
        <sz val="11"/>
        <color rgb="FF000000"/>
        <rFont val="Calibri"/>
      </rPr>
      <t>short due 4/14 4/10 4/3</t>
    </r>
  </si>
  <si>
    <r>
      <t xml:space="preserve">4/7 - matl clear
3/25 - </t>
    </r>
    <r>
      <rPr>
        <b/>
        <strike/>
        <sz val="11"/>
        <color rgb="FF000000"/>
        <rFont val="Calibri"/>
      </rPr>
      <t>Short SMT D1 (high qty) due 4/7, CR1 &amp; IC1, no ETA
Short THT J3, no ETA</t>
    </r>
  </si>
  <si>
    <t>138826-1PAR
NEW</t>
  </si>
  <si>
    <r>
      <rPr>
        <b/>
        <sz val="14"/>
        <color rgb="FF000000"/>
        <rFont val="Calibri"/>
      </rPr>
      <t xml:space="preserve">04/17
</t>
    </r>
    <r>
      <rPr>
        <b/>
        <strike/>
        <sz val="14"/>
        <color rgb="FF000000"/>
        <rFont val="Calibri"/>
      </rPr>
      <t xml:space="preserve">04/20
15D
</t>
    </r>
    <r>
      <rPr>
        <b/>
        <sz val="14"/>
        <color rgb="FF3C7D22"/>
        <rFont val="Calibri"/>
      </rPr>
      <t>5D</t>
    </r>
  </si>
  <si>
    <r>
      <rPr>
        <b/>
        <sz val="11"/>
        <color rgb="FF000000"/>
        <rFont val="Calibri"/>
      </rPr>
      <t>Split shipment:
Qty 70 on LT 5 ship 4/17</t>
    </r>
    <r>
      <rPr>
        <b/>
        <strike/>
        <sz val="11"/>
        <color rgb="FF000000"/>
        <rFont val="Calibri"/>
      </rPr>
      <t xml:space="preserve"> 4/20
</t>
    </r>
    <r>
      <rPr>
        <b/>
        <sz val="11"/>
        <color rgb="FFFF0000"/>
        <rFont val="Calibri"/>
      </rPr>
      <t xml:space="preserve">Qty 56 on 5/1
</t>
    </r>
    <r>
      <rPr>
        <b/>
        <sz val="11"/>
        <color rgb="FF000000"/>
        <rFont val="Calibri"/>
      </rPr>
      <t>Qty 56 on 6/1
Qty 56 on 7/1
Qty 56 on 7/31 or 8/3
Qty 56 on 9/1
DO NOT SKIP PREBAKE
DEPANEL
"U1" AFTER WASH</t>
    </r>
  </si>
  <si>
    <t>4/16 - 8:30</t>
  </si>
  <si>
    <t>DOC REL 3/22</t>
  </si>
  <si>
    <t>3/25</t>
  </si>
  <si>
    <r>
      <t>clear 4/14
short due 4/14</t>
    </r>
    <r>
      <rPr>
        <b/>
        <strike/>
        <sz val="11"/>
        <color rgb="FF000000"/>
        <rFont val="Calibri"/>
      </rPr>
      <t xml:space="preserve"> 4/10 4/3</t>
    </r>
  </si>
  <si>
    <r>
      <t xml:space="preserve">4/10 - matl clear
</t>
    </r>
    <r>
      <rPr>
        <b/>
        <strike/>
        <sz val="11"/>
        <color rgb="FF000000"/>
        <rFont val="Calibri"/>
      </rPr>
      <t>4/8 - short SMT U1, no ETA</t>
    </r>
  </si>
  <si>
    <r>
      <rPr>
        <b/>
        <sz val="11"/>
        <color rgb="FF000000"/>
        <rFont val="Calibri"/>
      </rPr>
      <t xml:space="preserve">4/8 - </t>
    </r>
    <r>
      <rPr>
        <b/>
        <strike/>
        <sz val="11"/>
        <color rgb="FF000000"/>
        <rFont val="Calibri"/>
      </rPr>
      <t>can't confirm ahead of time. run early by a da</t>
    </r>
    <r>
      <rPr>
        <b/>
        <sz val="11"/>
        <color rgb="FF000000"/>
        <rFont val="Calibri"/>
      </rPr>
      <t xml:space="preserve">y </t>
    </r>
    <r>
      <rPr>
        <b/>
        <strike/>
        <sz val="11"/>
        <color rgb="FF000000"/>
        <rFont val="Calibri"/>
      </rPr>
      <t>confirm stencil ok</t>
    </r>
  </si>
  <si>
    <t>139309-FA
NEW</t>
  </si>
  <si>
    <r>
      <rPr>
        <b/>
        <sz val="14"/>
        <color rgb="FF000000"/>
        <rFont val="Calibri"/>
      </rPr>
      <t xml:space="preserve">04/17
</t>
    </r>
    <r>
      <rPr>
        <b/>
        <sz val="14"/>
        <color rgb="FFFF0000"/>
        <rFont val="Calibri"/>
      </rPr>
      <t>3D</t>
    </r>
  </si>
  <si>
    <t>balance remain qty 210
NO CLEAN PROCESS
DEPANEL</t>
  </si>
  <si>
    <t>4/15 - 1:00</t>
  </si>
  <si>
    <t>4/16 - 7:30</t>
  </si>
  <si>
    <t>4/16 - 9:00</t>
  </si>
  <si>
    <t>Hoverfly Technologies Inc</t>
  </si>
  <si>
    <t>4/8</t>
  </si>
  <si>
    <r>
      <t xml:space="preserve">clear 4/2
</t>
    </r>
    <r>
      <rPr>
        <b/>
        <strike/>
        <sz val="11"/>
        <color rgb="FF000000"/>
        <rFont val="Calibri"/>
      </rPr>
      <t>short due 4/2</t>
    </r>
  </si>
  <si>
    <r>
      <t xml:space="preserve">4/10 - kit clear
</t>
    </r>
    <r>
      <rPr>
        <b/>
        <strike/>
        <sz val="11"/>
        <color rgb="FF000000"/>
        <rFont val="Calibri"/>
      </rPr>
      <t>4/8 - short SMT U20, due 4/10
4/1 - short SMT U20 &amp; J11, no ETA
4/1 - short THT J8, no ETA
3/19 - short SMT many, no ETA
short THT 2x, no ETA</t>
    </r>
  </si>
  <si>
    <r>
      <rPr>
        <b/>
        <sz val="14"/>
        <color rgb="FF000000"/>
        <rFont val="Calibri"/>
      </rPr>
      <t xml:space="preserve">138738
ROWC 136953
</t>
    </r>
    <r>
      <rPr>
        <b/>
        <sz val="14"/>
        <color rgb="FF104861"/>
        <rFont val="Calibri"/>
      </rPr>
      <t>(</t>
    </r>
    <r>
      <rPr>
        <b/>
        <sz val="14"/>
        <color rgb="FFFF0000"/>
        <rFont val="Calibri"/>
      </rPr>
      <t>ITAR</t>
    </r>
    <r>
      <rPr>
        <b/>
        <sz val="14"/>
        <color rgb="FF104861"/>
        <rFont val="Calibri"/>
      </rPr>
      <t>)</t>
    </r>
  </si>
  <si>
    <r>
      <rPr>
        <b/>
        <sz val="14"/>
        <color rgb="FF000000"/>
        <rFont val="Calibri"/>
      </rPr>
      <t xml:space="preserve">04/17
</t>
    </r>
    <r>
      <rPr>
        <b/>
        <sz val="14"/>
        <color rgb="FF3C7D22"/>
        <rFont val="Calibri"/>
      </rPr>
      <t>5D</t>
    </r>
  </si>
  <si>
    <r>
      <rPr>
        <b/>
        <sz val="11"/>
        <color rgb="FF000000"/>
        <rFont val="Calibri"/>
      </rPr>
      <t xml:space="preserve">DNI THT part J9
ink dot U21 (per Tyler) </t>
    </r>
    <r>
      <rPr>
        <b/>
        <sz val="11"/>
        <color rgb="FFFF0000"/>
        <rFont val="Calibri"/>
      </rPr>
      <t xml:space="preserve">photos!
</t>
    </r>
    <r>
      <rPr>
        <b/>
        <sz val="11"/>
        <color rgb="FF000000"/>
        <rFont val="Calibri"/>
      </rPr>
      <t xml:space="preserve">no flux residue on PCBA (joints ok)
parts flush to board
Xray &amp; Save Images
</t>
    </r>
    <r>
      <rPr>
        <b/>
        <u/>
        <sz val="11"/>
        <color rgb="FF000000"/>
        <rFont val="Calibri"/>
      </rPr>
      <t>mech assy</t>
    </r>
    <r>
      <rPr>
        <b/>
        <sz val="11"/>
        <color rgb="FF000000"/>
        <rFont val="Calibri"/>
      </rPr>
      <t xml:space="preserve"> required
no debris on boards
all parts bags must be heat sealed before returning to customer</t>
    </r>
  </si>
  <si>
    <t>4/14 - 9:00</t>
  </si>
  <si>
    <t>4/15 - 7:00</t>
  </si>
  <si>
    <t>4/15 - 2:00</t>
  </si>
  <si>
    <t>2B 2T</t>
  </si>
  <si>
    <t>UPS RED</t>
  </si>
  <si>
    <t>Carnegie Robotics</t>
  </si>
  <si>
    <t>LA</t>
  </si>
  <si>
    <t>ink dot reminder
label early</t>
  </si>
  <si>
    <t>DOC REL 3/16</t>
  </si>
  <si>
    <t>3/19</t>
  </si>
  <si>
    <t>COMPLETE ECO</t>
  </si>
  <si>
    <t>p/n change uploaded</t>
  </si>
  <si>
    <r>
      <t xml:space="preserve">clear 4/10
</t>
    </r>
    <r>
      <rPr>
        <b/>
        <strike/>
        <sz val="11"/>
        <color rgb="FF000000"/>
        <rFont val="Calibri"/>
      </rPr>
      <t>short due 4/10</t>
    </r>
  </si>
  <si>
    <r>
      <rPr>
        <b/>
        <sz val="11"/>
        <color rgb="FF000000"/>
        <rFont val="Calibri"/>
      </rPr>
      <t xml:space="preserve">4/10 - kit clear
</t>
    </r>
    <r>
      <rPr>
        <b/>
        <strike/>
        <sz val="11"/>
        <color rgb="FF000000"/>
        <rFont val="Calibri"/>
      </rPr>
      <t>4/8 - awt part THT C91 confirmation</t>
    </r>
  </si>
  <si>
    <t>4/15 - #56 question</t>
  </si>
  <si>
    <r>
      <rPr>
        <b/>
        <sz val="14"/>
        <color rgb="FF000000"/>
        <rFont val="Calibri"/>
      </rPr>
      <t xml:space="preserve">139238
NEW
</t>
    </r>
    <r>
      <rPr>
        <b/>
        <sz val="14"/>
        <color rgb="FF104861"/>
        <rFont val="Calibri"/>
      </rPr>
      <t>(</t>
    </r>
    <r>
      <rPr>
        <b/>
        <sz val="14"/>
        <color rgb="FFFF0000"/>
        <rFont val="Calibri"/>
      </rPr>
      <t>ITAR</t>
    </r>
    <r>
      <rPr>
        <b/>
        <sz val="14"/>
        <color rgb="FF104861"/>
        <rFont val="Calibri"/>
      </rPr>
      <t>)</t>
    </r>
  </si>
  <si>
    <t>NO ECO</t>
  </si>
  <si>
    <t>4/15 - 9:00</t>
  </si>
  <si>
    <t>4/15 - 10:30</t>
  </si>
  <si>
    <t>4/15 -1:00</t>
  </si>
  <si>
    <t>2B</t>
  </si>
  <si>
    <t>UPS 2DAY</t>
  </si>
  <si>
    <t>Rocky Research</t>
  </si>
  <si>
    <r>
      <t xml:space="preserve">clear 3/20
</t>
    </r>
    <r>
      <rPr>
        <b/>
        <strike/>
        <sz val="11"/>
        <color rgb="FF000000"/>
        <rFont val="Calibri"/>
      </rPr>
      <t>3/9 - NO ETA
HOLD
clear 2/17
short no eta</t>
    </r>
  </si>
  <si>
    <r>
      <t xml:space="preserve">1/20 - matl clear
</t>
    </r>
    <r>
      <rPr>
        <b/>
        <strike/>
        <sz val="11"/>
        <color rgb="FF000000"/>
        <rFont val="Calibri"/>
        <family val="2"/>
      </rPr>
      <t>1/15 - awt THT part conf J1</t>
    </r>
  </si>
  <si>
    <r>
      <rPr>
        <b/>
        <sz val="11"/>
        <color rgb="FF000000"/>
        <rFont val="Calibri"/>
      </rPr>
      <t xml:space="preserve">3/24 - line short
3/9 - OFF HOLD
</t>
    </r>
    <r>
      <rPr>
        <b/>
        <strike/>
        <sz val="11"/>
        <color rgb="FF000000"/>
        <rFont val="Calibri"/>
      </rPr>
      <t>2/17 - on HOLD
1/15 - LT 10 (PER TAD)</t>
    </r>
  </si>
  <si>
    <r>
      <rPr>
        <b/>
        <sz val="14"/>
        <color rgb="FF000000"/>
        <rFont val="Calibri"/>
      </rPr>
      <t>134366
NEW
(</t>
    </r>
    <r>
      <rPr>
        <b/>
        <sz val="14"/>
        <color rgb="FFFF0000"/>
        <rFont val="Calibri"/>
      </rPr>
      <t>ITAR</t>
    </r>
    <r>
      <rPr>
        <b/>
        <sz val="14"/>
        <color rgb="FF000000"/>
        <rFont val="Calibri"/>
      </rPr>
      <t>)</t>
    </r>
  </si>
  <si>
    <r>
      <rPr>
        <b/>
        <sz val="14"/>
        <color rgb="FF000000"/>
        <rFont val="Calibri"/>
      </rPr>
      <t xml:space="preserve">04/16
</t>
    </r>
    <r>
      <rPr>
        <b/>
        <strike/>
        <sz val="14"/>
        <color rgb="FF000000"/>
        <rFont val="Calibri"/>
      </rPr>
      <t xml:space="preserve">04/17
03/03
</t>
    </r>
    <r>
      <rPr>
        <b/>
        <sz val="14"/>
        <color rgb="FF000000"/>
        <rFont val="Calibri"/>
      </rPr>
      <t>20D</t>
    </r>
  </si>
  <si>
    <r>
      <rPr>
        <b/>
        <strike/>
        <sz val="11"/>
        <color rgb="FF000000"/>
        <rFont val="Calibri"/>
      </rPr>
      <t>EXPEDITE (</t>
    </r>
    <r>
      <rPr>
        <b/>
        <strike/>
        <sz val="11"/>
        <color rgb="FFFF0000"/>
        <rFont val="Calibri"/>
      </rPr>
      <t>LT 10</t>
    </r>
    <r>
      <rPr>
        <b/>
        <strike/>
        <sz val="11"/>
        <color rgb="FF000000"/>
        <rFont val="Calibri"/>
      </rPr>
      <t>)</t>
    </r>
    <r>
      <rPr>
        <b/>
        <sz val="11"/>
        <color rgb="FF000000"/>
        <rFont val="Calibri"/>
      </rPr>
      <t xml:space="preserve"> 
no expedite (Anne)
CLASS 3
"J3, J4" MOUNT ON BOT SIDE
DEPANEL
</t>
    </r>
    <r>
      <rPr>
        <b/>
        <u/>
        <sz val="11"/>
        <color rgb="FF000000"/>
        <rFont val="Calibri"/>
      </rPr>
      <t xml:space="preserve">install hardware
</t>
    </r>
    <r>
      <rPr>
        <b/>
        <u/>
        <sz val="11"/>
        <color rgb="FF7030A0"/>
        <rFont val="Calibri"/>
      </rPr>
      <t>EXCESS SHIP UPS GROUND!</t>
    </r>
  </si>
  <si>
    <t>3/23 - 1:00</t>
  </si>
  <si>
    <t>3/24 - 8:00</t>
  </si>
  <si>
    <t>3/24 - 10:30</t>
  </si>
  <si>
    <t>1/15
4/17</t>
  </si>
  <si>
    <t>photos reviewed</t>
  </si>
  <si>
    <t>clear 4/7</t>
  </si>
  <si>
    <r>
      <t xml:space="preserve">4/9 - kit clear
</t>
    </r>
    <r>
      <rPr>
        <b/>
        <strike/>
        <sz val="11"/>
        <color rgb="FF000000"/>
        <rFont val="Calibri"/>
      </rPr>
      <t>4/7 - short some C5 and C48 due 4/9
awt SMT U15 part confirmation</t>
    </r>
  </si>
  <si>
    <r>
      <rPr>
        <b/>
        <sz val="11"/>
        <color rgb="FF000000"/>
        <rFont val="Calibri"/>
      </rPr>
      <t xml:space="preserve">4/14 </t>
    </r>
    <r>
      <rPr>
        <b/>
        <sz val="11"/>
        <color rgb="FFFF0000"/>
        <rFont val="Calibri"/>
      </rPr>
      <t xml:space="preserve">- SMT runtime: 12min per board top side (not including testing time)
</t>
    </r>
    <r>
      <rPr>
        <b/>
        <sz val="11"/>
        <color rgb="FF000000"/>
        <rFont val="Calibri"/>
      </rPr>
      <t>4/9 - run 1st article bottom with Robert
4/8 - Robert shows Lineman how to track SPI data</t>
    </r>
  </si>
  <si>
    <t>139073
ROWC 135094</t>
  </si>
  <si>
    <r>
      <rPr>
        <b/>
        <sz val="14"/>
        <color rgb="FF000000"/>
        <rFont val="Calibri"/>
      </rPr>
      <t xml:space="preserve">04/16
</t>
    </r>
    <r>
      <rPr>
        <b/>
        <sz val="14"/>
        <color rgb="FF3C7D22"/>
        <rFont val="Calibri"/>
      </rPr>
      <t>5D</t>
    </r>
  </si>
  <si>
    <r>
      <rPr>
        <b/>
        <sz val="14"/>
        <color rgb="FFFF0000"/>
        <rFont val="Calibri"/>
      </rPr>
      <t xml:space="preserve">*** </t>
    </r>
    <r>
      <rPr>
        <b/>
        <sz val="12"/>
        <color rgb="FFFF0000"/>
        <rFont val="Calibri"/>
      </rPr>
      <t xml:space="preserve">SAC-305 solder, AIMsolder WS488 REQUIRED
</t>
    </r>
    <r>
      <rPr>
        <b/>
        <u/>
        <sz val="12"/>
        <color rgb="FFFF0000"/>
        <rFont val="Calibri"/>
      </rPr>
      <t xml:space="preserve">*** SPI DATA REQUIRED WHEN PRINTING SOLDER. MUST RECORD DATA PER ECO - SEE ROBERT
*** "U2" CUSTOM REFLOW PROFILE REQ PER ECO ***
</t>
    </r>
    <r>
      <rPr>
        <b/>
        <sz val="11"/>
        <color rgb="FF000000"/>
        <rFont val="Calibri"/>
      </rPr>
      <t xml:space="preserve">DO NOT SKIP AOI
</t>
    </r>
    <r>
      <rPr>
        <b/>
        <strike/>
        <sz val="11"/>
        <color rgb="FF000000"/>
        <rFont val="Calibri"/>
      </rPr>
      <t>dni U15</t>
    </r>
    <r>
      <rPr>
        <b/>
        <sz val="11"/>
        <color rgb="FF000000"/>
        <rFont val="Calibri"/>
      </rPr>
      <t xml:space="preserve"> -</t>
    </r>
    <r>
      <rPr>
        <b/>
        <sz val="12"/>
        <color rgb="FF000000"/>
        <rFont val="Calibri"/>
      </rPr>
      <t xml:space="preserve"> 10/2 "U15" UPDATED FROM MAX1730</t>
    </r>
    <r>
      <rPr>
        <b/>
        <sz val="14"/>
        <color rgb="FF000000"/>
        <rFont val="Calibri"/>
      </rPr>
      <t>3</t>
    </r>
    <r>
      <rPr>
        <b/>
        <sz val="12"/>
        <color rgb="FF000000"/>
        <rFont val="Calibri"/>
      </rPr>
      <t>G+ to MAX1730</t>
    </r>
    <r>
      <rPr>
        <b/>
        <sz val="16"/>
        <color rgb="FF000000"/>
        <rFont val="Calibri"/>
      </rPr>
      <t>1</t>
    </r>
    <r>
      <rPr>
        <b/>
        <sz val="12"/>
        <color rgb="FF000000"/>
        <rFont val="Calibri"/>
      </rPr>
      <t xml:space="preserve">G+
</t>
    </r>
    <r>
      <rPr>
        <b/>
        <sz val="11"/>
        <color rgb="FF000000"/>
        <rFont val="Calibri"/>
      </rPr>
      <t>"U11" PREBAKE 24hrs REQ
"SW1" "</t>
    </r>
    <r>
      <rPr>
        <b/>
        <u/>
        <sz val="11"/>
        <color rgb="FFFF0000"/>
        <rFont val="Calibri"/>
      </rPr>
      <t>LED5, LED6</t>
    </r>
    <r>
      <rPr>
        <b/>
        <sz val="11"/>
        <color rgb="FF000000"/>
        <rFont val="Calibri"/>
      </rPr>
      <t>" AFTER WASH PER ECO
XRAY &amp; SAVE IMAGES</t>
    </r>
  </si>
  <si>
    <t>4/9 - 12:00</t>
  </si>
  <si>
    <t>4/9 - 2:00</t>
  </si>
  <si>
    <t>1B 2T</t>
  </si>
  <si>
    <t xml:space="preserve">SignalQuest, LLC
</t>
  </si>
  <si>
    <t>4/7</t>
  </si>
  <si>
    <r>
      <t xml:space="preserve">clear 4/9
</t>
    </r>
    <r>
      <rPr>
        <b/>
        <strike/>
        <sz val="11"/>
        <color rgb="FF000000"/>
        <rFont val="Calibri"/>
      </rPr>
      <t>short due 4/9 4/7 3/26</t>
    </r>
  </si>
  <si>
    <r>
      <rPr>
        <b/>
        <sz val="11"/>
        <color rgb="FF000000"/>
        <rFont val="Calibri"/>
      </rPr>
      <t xml:space="preserve">4/9 - short THT J1 qty 98
</t>
    </r>
    <r>
      <rPr>
        <b/>
        <strike/>
        <sz val="11"/>
        <color rgb="FF000000"/>
        <rFont val="Calibri"/>
      </rPr>
      <t>3/20 - short THT J1 due 3/2</t>
    </r>
    <r>
      <rPr>
        <b/>
        <sz val="11"/>
        <color rgb="FF000000"/>
        <rFont val="Calibri"/>
      </rPr>
      <t>3</t>
    </r>
  </si>
  <si>
    <t>138435
NEW</t>
  </si>
  <si>
    <r>
      <rPr>
        <b/>
        <sz val="11"/>
        <color rgb="FF000000"/>
        <rFont val="Calibri"/>
      </rPr>
      <t xml:space="preserve">"J1" </t>
    </r>
    <r>
      <rPr>
        <b/>
        <u/>
        <sz val="11"/>
        <color rgb="FF000000"/>
        <rFont val="Calibri"/>
      </rPr>
      <t>INSTALL W/ SCREWS</t>
    </r>
    <r>
      <rPr>
        <b/>
        <sz val="11"/>
        <color rgb="FF000000"/>
        <rFont val="Calibri"/>
      </rPr>
      <t xml:space="preserve"> BEFORE SOLDERING
DEPANEL
NO COATING,  SER #, RTV, LOCTITE</t>
    </r>
  </si>
  <si>
    <t>4/9 - 11:30</t>
  </si>
  <si>
    <t>4/10 - 5:00</t>
  </si>
  <si>
    <t>4/10 - 7:00</t>
  </si>
  <si>
    <t>DOC REL 3/19</t>
  </si>
  <si>
    <t>3/20</t>
  </si>
  <si>
    <t>no labels</t>
  </si>
  <si>
    <r>
      <t xml:space="preserve">clear 3/26
</t>
    </r>
    <r>
      <rPr>
        <b/>
        <strike/>
        <u val="double"/>
        <sz val="11"/>
        <color rgb="FF000000"/>
        <rFont val="Calibri"/>
      </rPr>
      <t>SHORT, NO ETA 3/27</t>
    </r>
  </si>
  <si>
    <r>
      <t xml:space="preserve">3/20 - matl clear
</t>
    </r>
    <r>
      <rPr>
        <b/>
        <strike/>
        <sz val="11"/>
        <color rgb="FF000000"/>
        <rFont val="Calibri"/>
      </rPr>
      <t>3/16 - short J1 due 3/20
3/13 - short J1, J4 and P2, no ETA</t>
    </r>
  </si>
  <si>
    <t>FSU</t>
  </si>
  <si>
    <t>138712
RONC 136285</t>
  </si>
  <si>
    <t>04/16
15D</t>
  </si>
  <si>
    <r>
      <rPr>
        <b/>
        <sz val="11"/>
        <color rgb="FF000000"/>
        <rFont val="Calibri"/>
      </rPr>
      <t xml:space="preserve">T/H ONLY
DEPANEL
</t>
    </r>
    <r>
      <rPr>
        <b/>
        <u/>
        <sz val="11"/>
        <color rgb="FF000000"/>
        <rFont val="Calibri"/>
      </rPr>
      <t>install shunts/jumpers</t>
    </r>
  </si>
  <si>
    <t xml:space="preserve">NSI-MI Technologies
</t>
  </si>
  <si>
    <t>DOC REL 3/12</t>
  </si>
  <si>
    <t>3/13
4/16</t>
  </si>
  <si>
    <r>
      <t xml:space="preserve">clear 4/14
</t>
    </r>
    <r>
      <rPr>
        <b/>
        <strike/>
        <sz val="11"/>
        <color rgb="FF000000"/>
        <rFont val="Calibri"/>
      </rPr>
      <t>short due 4/15 4/7</t>
    </r>
  </si>
  <si>
    <r>
      <t xml:space="preserve">4/13 - kit clear
</t>
    </r>
    <r>
      <rPr>
        <b/>
        <strike/>
        <sz val="11"/>
        <color rgb="FF000000"/>
        <rFont val="Calibri"/>
      </rPr>
      <t>4/9 - short SMT U4 qty 3 (skippable) due 4/14
3/27 - short SMT U4 (no skip) due 4/8, no ETA</t>
    </r>
  </si>
  <si>
    <t>4/10 - ship date set by TAD</t>
  </si>
  <si>
    <t>138799
NEW</t>
  </si>
  <si>
    <r>
      <rPr>
        <b/>
        <sz val="14"/>
        <color rgb="FF000000"/>
        <rFont val="Calibri"/>
      </rPr>
      <t xml:space="preserve">04/16
</t>
    </r>
    <r>
      <rPr>
        <b/>
        <strike/>
        <sz val="14"/>
        <color rgb="FF3C7D22"/>
        <rFont val="Calibri"/>
      </rPr>
      <t xml:space="preserve">5D
</t>
    </r>
    <r>
      <rPr>
        <b/>
        <sz val="14"/>
        <color rgb="FFFF0000"/>
        <rFont val="Calibri"/>
      </rPr>
      <t>1D</t>
    </r>
  </si>
  <si>
    <r>
      <rPr>
        <b/>
        <sz val="11"/>
        <color rgb="FF000000"/>
        <rFont val="Calibri"/>
      </rPr>
      <t xml:space="preserve">EXPEDITE TO LT 1-DAY TURN
AOI, XRay &amp; Save Images
L1 &amp; L2 after wash
Sand req (SEE ECO)
No residues
Overpack
SPLIT SHIP - QTY 12 TO MEXICO, QTY 5 TO SANTA CLARA
</t>
    </r>
    <r>
      <rPr>
        <b/>
        <sz val="11"/>
        <color rgb="FF7030A0"/>
        <rFont val="Calibri"/>
      </rPr>
      <t xml:space="preserve">SHIP ASSEMBLY - THEN EXCESS AFTER
</t>
    </r>
    <r>
      <rPr>
        <b/>
        <sz val="14"/>
        <color rgb="FFFF0000"/>
        <rFont val="Calibri"/>
      </rPr>
      <t>*** "L1, L2" INSTALLED - RMA LAST BUILD FOR MISSING PART</t>
    </r>
  </si>
  <si>
    <t>4/15 - 6:00</t>
  </si>
  <si>
    <t>Fedex INTL</t>
  </si>
  <si>
    <t xml:space="preserve">Plexus Engineering Solutions
</t>
  </si>
  <si>
    <t>check fit THT when boards received
---
inspect before bare boards oven
---
label early</t>
  </si>
  <si>
    <t>3/27</t>
  </si>
  <si>
    <r>
      <rPr>
        <b/>
        <sz val="11"/>
        <color rgb="FF000000"/>
        <rFont val="Calibri"/>
      </rPr>
      <t xml:space="preserve">2/13-Recd'
</t>
    </r>
    <r>
      <rPr>
        <b/>
        <strike/>
        <sz val="11"/>
        <color rgb="FF000000"/>
        <rFont val="Calibri"/>
      </rPr>
      <t>short due 2/20</t>
    </r>
  </si>
  <si>
    <r>
      <t xml:space="preserve">4/1 - kit clear
</t>
    </r>
    <r>
      <rPr>
        <b/>
        <strike/>
        <sz val="11"/>
        <color rgb="FF000000"/>
        <rFont val="Calibri"/>
      </rPr>
      <t>2/10 - short SMT J1 &amp; J2 (high qty) due 3/27, no ETA</t>
    </r>
  </si>
  <si>
    <t>4/1 - ship date 4/17 (Anne)</t>
  </si>
  <si>
    <t>136814-1par
RONC 132846</t>
  </si>
  <si>
    <r>
      <rPr>
        <b/>
        <sz val="14"/>
        <color rgb="FF000000"/>
        <rFont val="Calibri"/>
      </rPr>
      <t xml:space="preserve">04/15
</t>
    </r>
    <r>
      <rPr>
        <b/>
        <strike/>
        <sz val="14"/>
        <color rgb="FF000000"/>
        <rFont val="Calibri"/>
      </rPr>
      <t xml:space="preserve">04/17
</t>
    </r>
    <r>
      <rPr>
        <b/>
        <sz val="14"/>
        <color rgb="FF000000"/>
        <rFont val="Calibri"/>
      </rPr>
      <t>10D</t>
    </r>
  </si>
  <si>
    <t>bal remain qty 115
DEPANEL</t>
  </si>
  <si>
    <t>4/6 - 10:00</t>
  </si>
  <si>
    <t>4/8 - 2:30</t>
  </si>
  <si>
    <t>UPS GRD</t>
  </si>
  <si>
    <t xml:space="preserve">Sick, Inc.
</t>
  </si>
  <si>
    <t>boards need depanel before SMT start</t>
  </si>
  <si>
    <t>DOC REL 2/9</t>
  </si>
  <si>
    <t>2/10
4/17</t>
  </si>
  <si>
    <r>
      <rPr>
        <b/>
        <sz val="11"/>
        <color rgb="FF000000"/>
        <rFont val="Calibri"/>
      </rPr>
      <t xml:space="preserve">clear 4/3
</t>
    </r>
    <r>
      <rPr>
        <b/>
        <strike/>
        <sz val="11"/>
        <color rgb="FF000000"/>
        <rFont val="Calibri"/>
      </rPr>
      <t>short, no ETA 4/6</t>
    </r>
  </si>
  <si>
    <r>
      <rPr>
        <b/>
        <sz val="11"/>
        <color rgb="FF000000"/>
        <rFont val="Calibri"/>
      </rPr>
      <t xml:space="preserve">4/3 - kit clear
</t>
    </r>
    <r>
      <rPr>
        <b/>
        <strike/>
        <sz val="11"/>
        <color rgb="FF000000"/>
        <rFont val="Calibri"/>
      </rPr>
      <t>3/30 - awt status update on ITEM_800
3/30 - matl clear</t>
    </r>
  </si>
  <si>
    <t>136881
NEW</t>
  </si>
  <si>
    <r>
      <rPr>
        <b/>
        <sz val="11"/>
        <color rgb="FF000000"/>
        <rFont val="Calibri"/>
      </rPr>
      <t xml:space="preserve">Class 3
post-bake 30 minutes
</t>
    </r>
    <r>
      <rPr>
        <b/>
        <u/>
        <sz val="11"/>
        <color rgb="FF000000"/>
        <rFont val="Calibri"/>
      </rPr>
      <t xml:space="preserve">Mech assy </t>
    </r>
    <r>
      <rPr>
        <b/>
        <sz val="11"/>
        <color rgb="FF000000"/>
        <rFont val="Calibri"/>
      </rPr>
      <t>req (See ECO)
validate shipping address:
ATTN: MICHAEL WOLFE I&amp;C Lab Mail code: L-35 NUMAC LAB
3901 Castle Hayne Rd.</t>
    </r>
  </si>
  <si>
    <t>4/9 - 8:00</t>
  </si>
  <si>
    <t>4/9 - 10:30</t>
  </si>
  <si>
    <t xml:space="preserve">Diversified Supply
</t>
  </si>
  <si>
    <t>3/30
4/17</t>
  </si>
  <si>
    <t>special label</t>
  </si>
  <si>
    <r>
      <t xml:space="preserve">clear 4/1
</t>
    </r>
    <r>
      <rPr>
        <b/>
        <strike/>
        <sz val="11"/>
        <color rgb="FF000000"/>
        <rFont val="Calibri"/>
      </rPr>
      <t>short, no ETA 4/7</t>
    </r>
  </si>
  <si>
    <t>3/26 - matl clear</t>
  </si>
  <si>
    <t>4/1 - day 1 is 4/3 (Anne)</t>
  </si>
  <si>
    <t>139107
RONC 134466</t>
  </si>
  <si>
    <r>
      <rPr>
        <b/>
        <sz val="14"/>
        <color rgb="FF000000"/>
        <rFont val="Calibri"/>
      </rPr>
      <t xml:space="preserve">04/15
</t>
    </r>
    <r>
      <rPr>
        <b/>
        <strike/>
        <sz val="14"/>
        <color rgb="FF000000"/>
        <rFont val="Calibri"/>
      </rPr>
      <t xml:space="preserve">04/16
</t>
    </r>
    <r>
      <rPr>
        <b/>
        <sz val="14"/>
        <color rgb="FF000000"/>
        <rFont val="Calibri"/>
      </rPr>
      <t>10D</t>
    </r>
  </si>
  <si>
    <t>DEPANEL</t>
  </si>
  <si>
    <t>4/8 - 7:30</t>
  </si>
  <si>
    <t>4/8 - 9:00</t>
  </si>
  <si>
    <t>4/8 - 10:30</t>
  </si>
  <si>
    <t>GPS Networking Inc.</t>
  </si>
  <si>
    <t>3/26
4/16</t>
  </si>
  <si>
    <t>clear 4/2</t>
  </si>
  <si>
    <r>
      <t xml:space="preserve">4/8 - kit clear
</t>
    </r>
    <r>
      <rPr>
        <b/>
        <strike/>
        <sz val="11"/>
        <color rgb="FF000000"/>
        <rFont val="Calibri"/>
      </rPr>
      <t>4/2 - short SMT D1 (can skip), no ETA</t>
    </r>
  </si>
  <si>
    <r>
      <rPr>
        <b/>
        <sz val="14"/>
        <color rgb="FF000000"/>
        <rFont val="Calibri"/>
      </rPr>
      <t xml:space="preserve">137118
NEW
</t>
    </r>
    <r>
      <rPr>
        <b/>
        <sz val="14"/>
        <color rgb="FFFF0000"/>
        <rFont val="Calibri"/>
      </rPr>
      <t>(ITAR)</t>
    </r>
  </si>
  <si>
    <r>
      <rPr>
        <b/>
        <sz val="14"/>
        <color rgb="FF000000"/>
        <rFont val="Calibri"/>
      </rPr>
      <t xml:space="preserve">04/15
</t>
    </r>
    <r>
      <rPr>
        <b/>
        <sz val="14"/>
        <color rgb="FF3C7D22"/>
        <rFont val="Calibri"/>
      </rPr>
      <t>5D</t>
    </r>
  </si>
  <si>
    <t>SPECIFIC LABEL REQ PER ECO NOTE 1
depanel</t>
  </si>
  <si>
    <t>4/13 - 9:30</t>
  </si>
  <si>
    <t>4/13 - 1:00</t>
  </si>
  <si>
    <t>Specialty Coating Systems, Inc.</t>
  </si>
  <si>
    <t>4/2</t>
  </si>
  <si>
    <t>R
NC</t>
  </si>
  <si>
    <r>
      <t xml:space="preserve">clear 3/25
</t>
    </r>
    <r>
      <rPr>
        <b/>
        <strike/>
        <sz val="11"/>
        <color rgb="FF000000"/>
        <rFont val="Calibri"/>
      </rPr>
      <t>short due 3/27</t>
    </r>
  </si>
  <si>
    <r>
      <t xml:space="preserve">4/8 - kit clear
</t>
    </r>
    <r>
      <rPr>
        <b/>
        <strike/>
        <sz val="11"/>
        <color rgb="FF000000"/>
        <rFont val="Calibri"/>
      </rPr>
      <t xml:space="preserve">3/24 - short SMT U5 (high qty) TOP SIDE
due 3/27 to 3/30, no ETA </t>
    </r>
  </si>
  <si>
    <t>4/6 - SMT complete 60 boards</t>
  </si>
  <si>
    <t>TUAN</t>
  </si>
  <si>
    <t>138934-1par
NEW</t>
  </si>
  <si>
    <t>LN</t>
  </si>
  <si>
    <t>balance remain qty 50
NO CLEAN PROCESS
parts shall be clean &amp; free debris
DEPANEL</t>
  </si>
  <si>
    <t>4/3 - 2:00</t>
  </si>
  <si>
    <t>4/6 - 9:00</t>
  </si>
  <si>
    <t xml:space="preserve">Nextern Inc.
</t>
  </si>
  <si>
    <t>3/24</t>
  </si>
  <si>
    <t>complete eco + box</t>
  </si>
  <si>
    <r>
      <t xml:space="preserve">clear 4/7
</t>
    </r>
    <r>
      <rPr>
        <b/>
        <strike/>
        <sz val="11"/>
        <color rgb="FF000000"/>
        <rFont val="Calibri"/>
      </rPr>
      <t>received 4/6
short due 4/6 4/2 3/30</t>
    </r>
  </si>
  <si>
    <t>3/20 - matl clear</t>
  </si>
  <si>
    <t>138417
ROWC 136201</t>
  </si>
  <si>
    <r>
      <rPr>
        <b/>
        <sz val="14"/>
        <color rgb="FF000000"/>
        <rFont val="Calibri"/>
      </rPr>
      <t xml:space="preserve">04/14
</t>
    </r>
    <r>
      <rPr>
        <b/>
        <sz val="14"/>
        <color rgb="FF3C7D22"/>
        <rFont val="Calibri"/>
      </rPr>
      <t>5D</t>
    </r>
  </si>
  <si>
    <t>4/8 - 10:00</t>
  </si>
  <si>
    <t>4/8 - 1200</t>
  </si>
  <si>
    <t>4/9 - 10:00</t>
  </si>
  <si>
    <t>DOC REL 3/14</t>
  </si>
  <si>
    <r>
      <t xml:space="preserve">clear 4/9
</t>
    </r>
    <r>
      <rPr>
        <b/>
        <strike/>
        <sz val="11"/>
        <color rgb="FF000000"/>
        <rFont val="Calibri"/>
      </rPr>
      <t>short due 4/1 3/30</t>
    </r>
  </si>
  <si>
    <r>
      <t xml:space="preserve">3/31 - matl clear
</t>
    </r>
    <r>
      <rPr>
        <b/>
        <strike/>
        <sz val="11"/>
        <color rgb="FF000000"/>
        <rFont val="Calibri"/>
      </rPr>
      <t>3/24 - short SMT C7 (high qty), no ETA
short SMT R44 due 3/25
short THT J4 due 3/25 &amp; epoxy due 3/27</t>
    </r>
  </si>
  <si>
    <r>
      <rPr>
        <b/>
        <sz val="11"/>
        <color rgb="FF000000"/>
        <rFont val="Calibri"/>
      </rPr>
      <t xml:space="preserve">4/9 - start 1st thing 4/10 morning
</t>
    </r>
    <r>
      <rPr>
        <b/>
        <sz val="11"/>
        <color rgb="FFFF0000"/>
        <rFont val="Calibri"/>
      </rPr>
      <t xml:space="preserve">4/8 - NEED ACCURATE RUN TIMES - BAL IS QTY 125 ON 3D
</t>
    </r>
    <r>
      <rPr>
        <b/>
        <sz val="11"/>
        <color rgb="FF000000"/>
        <rFont val="Calibri"/>
      </rPr>
      <t>3/24 - SMT top side 1st</t>
    </r>
  </si>
  <si>
    <t>138444-FA
ROWC 132074 2nd Article</t>
  </si>
  <si>
    <r>
      <rPr>
        <b/>
        <sz val="14"/>
        <color rgb="FF000000"/>
        <rFont val="Calibri"/>
      </rPr>
      <t xml:space="preserve">04/14
</t>
    </r>
    <r>
      <rPr>
        <b/>
        <sz val="14"/>
        <color rgb="FFFF0000"/>
        <rFont val="Calibri"/>
      </rPr>
      <t>3D</t>
    </r>
  </si>
  <si>
    <r>
      <rPr>
        <b/>
        <sz val="11"/>
        <color rgb="FFFF0000"/>
        <rFont val="Calibri"/>
      </rPr>
      <t xml:space="preserve">*** NEED ACCURATE RUN TIMES - BAL QTY 125 ON A 3D 
</t>
    </r>
    <r>
      <rPr>
        <b/>
        <sz val="11"/>
        <color rgb="FF000000"/>
        <rFont val="Calibri"/>
      </rPr>
      <t xml:space="preserve">* FA CHANGED TO QY 10 DUE TO PART SHORTAGE
*** WARNING - TEMP NOT TO EXCEED 220C - CAPACITORS "C139 &amp; RELATED x13" AND "C7 &amp; RELATED x31" WILL CRACK @ ABOVE 220C - FOLLOW SAME PROFILE AND PROCESS AS LAST TIME (B124127)
*** MUST INSPECT EACH LOCATION ABOVE FOR CRACKS/DAMAGE
LEAD PROCESS
"U3" AFTER WASH
"J3 &amp; J11" MAKE SURE TABS ARE FULLY SOLDERED PER ECO
</t>
    </r>
    <r>
      <rPr>
        <b/>
        <strike/>
        <u/>
        <sz val="11"/>
        <color rgb="FF000000"/>
        <rFont val="Calibri"/>
      </rPr>
      <t xml:space="preserve">MANY CAPs req staking (see drawing)
</t>
    </r>
    <r>
      <rPr>
        <b/>
        <u/>
        <sz val="11"/>
        <color rgb="FF000000"/>
        <rFont val="Calibri"/>
      </rPr>
      <t xml:space="preserve">DNI EPOXY
</t>
    </r>
    <r>
      <rPr>
        <b/>
        <sz val="11"/>
        <color rgb="FF000000"/>
        <rFont val="Calibri"/>
      </rPr>
      <t xml:space="preserve">DEPANEL
clean w/ isopropyl alcohol
</t>
    </r>
    <r>
      <rPr>
        <b/>
        <u/>
        <sz val="11"/>
        <color rgb="FF000000"/>
        <rFont val="Calibri"/>
      </rPr>
      <t>install hardware</t>
    </r>
  </si>
  <si>
    <t>4/09 - 1:30</t>
  </si>
  <si>
    <t>4/10 - 7:30</t>
  </si>
  <si>
    <t>4/10 - 12:00</t>
  </si>
  <si>
    <t>STENCIL AT MY DESK</t>
  </si>
  <si>
    <t>DOC REL 3/20</t>
  </si>
  <si>
    <t>load to dni uploaded</t>
  </si>
  <si>
    <t>4/7 - kit clear</t>
  </si>
  <si>
    <r>
      <rPr>
        <b/>
        <sz val="12"/>
        <color rgb="FFFF0000"/>
        <rFont val="Calibri"/>
      </rPr>
      <t xml:space="preserve">*** WE MISSED INTALLING "J2" ON THE QTY 10 FA ***
</t>
    </r>
    <r>
      <rPr>
        <b/>
        <sz val="11"/>
        <color rgb="FF000000"/>
        <rFont val="Calibri"/>
      </rPr>
      <t>DO NOT SKIP PREBAKE
DEPANEL</t>
    </r>
  </si>
  <si>
    <t>4/8 - 12:00</t>
  </si>
  <si>
    <t>4/8 - 1:30</t>
  </si>
  <si>
    <r>
      <t xml:space="preserve">clear 3/13
</t>
    </r>
    <r>
      <rPr>
        <b/>
        <strike/>
        <sz val="11"/>
        <color rgb="FF000000"/>
        <rFont val="Calibri"/>
      </rPr>
      <t>short due 3/13</t>
    </r>
  </si>
  <si>
    <r>
      <t xml:space="preserve">3/24 - kit clear
</t>
    </r>
    <r>
      <rPr>
        <b/>
        <strike/>
        <sz val="11"/>
        <color rgb="FF000000"/>
        <rFont val="Calibri"/>
      </rPr>
      <t>3/3 - short SMT U27, U69 &amp; U79, no ETA
short SMT R13 due 3/5</t>
    </r>
  </si>
  <si>
    <r>
      <rPr>
        <b/>
        <sz val="11"/>
        <color rgb="FF000000"/>
        <rFont val="Calibri"/>
      </rPr>
      <t xml:space="preserve">3/3 - </t>
    </r>
    <r>
      <rPr>
        <b/>
        <strike/>
        <sz val="11"/>
        <color rgb="FFFF0000"/>
        <rFont val="Calibri"/>
      </rPr>
      <t>SHIPPING hold</t>
    </r>
  </si>
  <si>
    <t>137780
RONC 135130</t>
  </si>
  <si>
    <t>04/14
15D</t>
  </si>
  <si>
    <r>
      <rPr>
        <b/>
        <sz val="11"/>
        <color rgb="FF000000"/>
        <rFont val="Calibri"/>
      </rPr>
      <t xml:space="preserve">* </t>
    </r>
    <r>
      <rPr>
        <b/>
        <sz val="11"/>
        <color rgb="FFFF0000"/>
        <rFont val="Calibri"/>
      </rPr>
      <t>QR LABELS REQUIRED</t>
    </r>
    <r>
      <rPr>
        <b/>
        <sz val="11"/>
        <color rgb="FF000000"/>
        <rFont val="Calibri"/>
      </rPr>
      <t xml:space="preserve"> last build
100% INSPECTION REQUIRED
press fit required
ALTA ALERT - "J100" SEE ECO
DO NOT SKIP AOI
XRAY &amp; SAVE IMAGES
DEPANEL
 last build: DNI nuts, washers &amp; shunts
take photos</t>
    </r>
  </si>
  <si>
    <t>4/6 - 11:30</t>
  </si>
  <si>
    <t>4/7 - 10:00</t>
  </si>
  <si>
    <t>QT Imaging Inc.</t>
  </si>
  <si>
    <t>label early</t>
  </si>
  <si>
    <t>3/3
4/14</t>
  </si>
  <si>
    <t>complete eco + bag</t>
  </si>
  <si>
    <t>ronc no photos</t>
  </si>
  <si>
    <r>
      <t xml:space="preserve">clear 4/7
</t>
    </r>
    <r>
      <rPr>
        <b/>
        <strike/>
        <sz val="11"/>
        <color rgb="FF000000"/>
        <rFont val="Calibri"/>
      </rPr>
      <t>received 4/6
short, no ETA 4/6 - 4/15 4/3</t>
    </r>
  </si>
  <si>
    <r>
      <rPr>
        <b/>
        <sz val="11"/>
        <color rgb="FF000000"/>
        <rFont val="Calibri"/>
      </rPr>
      <t xml:space="preserve">3/19 - matl clear
</t>
    </r>
    <r>
      <rPr>
        <b/>
        <strike/>
        <sz val="11"/>
        <color rgb="FF000000"/>
        <rFont val="Calibri"/>
      </rPr>
      <t>3/17 - short SMT many, no ETA</t>
    </r>
  </si>
  <si>
    <r>
      <rPr>
        <b/>
        <sz val="11"/>
        <color rgb="FF000000"/>
        <rFont val="Calibri"/>
      </rPr>
      <t xml:space="preserve">3/24 - </t>
    </r>
    <r>
      <rPr>
        <b/>
        <sz val="11"/>
        <color rgb="FFFF0000"/>
        <rFont val="Calibri"/>
      </rPr>
      <t>TYPE 3 solder</t>
    </r>
  </si>
  <si>
    <t>138057-FA
NEW</t>
  </si>
  <si>
    <r>
      <rPr>
        <b/>
        <sz val="14"/>
        <color rgb="FF000000"/>
        <rFont val="Calibri"/>
      </rPr>
      <t xml:space="preserve">04/14
</t>
    </r>
    <r>
      <rPr>
        <b/>
        <strike/>
        <sz val="14"/>
        <color rgb="FF000000"/>
        <rFont val="Calibri"/>
      </rPr>
      <t xml:space="preserve">04/20
10D
</t>
    </r>
    <r>
      <rPr>
        <b/>
        <sz val="14"/>
        <color rgb="FF000000"/>
        <rFont val="Calibri"/>
      </rPr>
      <t>5D</t>
    </r>
  </si>
  <si>
    <r>
      <rPr>
        <b/>
        <sz val="11"/>
        <color rgb="FF000000"/>
        <rFont val="Calibri"/>
      </rPr>
      <t>***</t>
    </r>
    <r>
      <rPr>
        <b/>
        <sz val="11"/>
        <color rgb="FFFF0000"/>
        <rFont val="Calibri"/>
      </rPr>
      <t xml:space="preserve"> QUALITY ALERT</t>
    </r>
    <r>
      <rPr>
        <b/>
        <sz val="11"/>
        <color rgb="FF000000"/>
        <rFont val="Calibri"/>
      </rPr>
      <t xml:space="preserve"> -- SEE ECO
BALANCE QTY 90
LEAD-FREE NO-CLEAN
TRUE NO CLEAN BUILD
REMINDER: B1_A... SMT INSTALL
*** VERIFY "U1" STENCIL PATTERN PER ECO NOTE 3
"U25" CAN ONLY BE REFLOWED 1 TIME
DEPANEL</t>
    </r>
  </si>
  <si>
    <t>4/9 - 1:00</t>
  </si>
  <si>
    <t xml:space="preserve">Colorado State University
</t>
  </si>
  <si>
    <t>depanel before SMT</t>
  </si>
  <si>
    <t>3/17
4/21</t>
  </si>
  <si>
    <t>tht to smt #1 &amp; #82
conductive epoxy</t>
  </si>
  <si>
    <r>
      <t xml:space="preserve">clear 3/12
</t>
    </r>
    <r>
      <rPr>
        <b/>
        <strike/>
        <sz val="11"/>
        <color rgb="FF000000"/>
        <rFont val="Calibri"/>
      </rPr>
      <t>short due 3/13</t>
    </r>
  </si>
  <si>
    <r>
      <t xml:space="preserve">4/6 - kit clear
</t>
    </r>
    <r>
      <rPr>
        <b/>
        <strike/>
        <sz val="11"/>
        <color rgb="FF000000"/>
        <rFont val="Calibri"/>
      </rPr>
      <t>3/11 - short SMT Y1 &amp; U8 (top side), no ETA</t>
    </r>
  </si>
  <si>
    <t>138753
NEW</t>
  </si>
  <si>
    <r>
      <rPr>
        <b/>
        <sz val="14"/>
        <color rgb="FF000000"/>
        <rFont val="Calibri"/>
      </rPr>
      <t xml:space="preserve">04/13
</t>
    </r>
    <r>
      <rPr>
        <b/>
        <sz val="14"/>
        <color rgb="FF3C7D22"/>
        <rFont val="Calibri"/>
      </rPr>
      <t>5D</t>
    </r>
  </si>
  <si>
    <r>
      <rPr>
        <b/>
        <sz val="11"/>
        <color rgb="FF000000"/>
        <rFont val="Calibri"/>
      </rPr>
      <t xml:space="preserve">DEPANEL
QTY 65 SHIP TO AUSTIN TX (ECO)
</t>
    </r>
    <r>
      <rPr>
        <b/>
        <sz val="12"/>
        <color rgb="FF000000"/>
        <rFont val="Calibri"/>
      </rPr>
      <t xml:space="preserve">*** </t>
    </r>
    <r>
      <rPr>
        <b/>
        <sz val="12"/>
        <color rgb="FFFF0000"/>
        <rFont val="Calibri"/>
      </rPr>
      <t xml:space="preserve">PO003790 </t>
    </r>
    <r>
      <rPr>
        <b/>
        <sz val="12"/>
        <color rgb="FF000000"/>
        <rFont val="Calibri"/>
      </rPr>
      <t>MUST BE ON THE PACKING SLIP</t>
    </r>
  </si>
  <si>
    <t>4/7 - 8:30</t>
  </si>
  <si>
    <t>4/7 - 12:30</t>
  </si>
  <si>
    <t xml:space="preserve">Infinitum Electric 
</t>
  </si>
  <si>
    <t>MM</t>
  </si>
  <si>
    <t>BACK NEEDS XTRA TIME FOR SANDING</t>
  </si>
  <si>
    <t>DOC REL 3/11</t>
  </si>
  <si>
    <t>3/11</t>
  </si>
  <si>
    <t>clear 3/26</t>
  </si>
  <si>
    <t>3/26 - kit clear</t>
  </si>
  <si>
    <t>Remove J17 &amp; J18 and replace with New P/N: DF40C-90DS-0.4V(51).
TAKE PHOTOS</t>
  </si>
  <si>
    <t xml:space="preserve">Delsys Inc.
</t>
  </si>
  <si>
    <t>rework</t>
  </si>
  <si>
    <t>clear 3/27</t>
  </si>
  <si>
    <r>
      <t xml:space="preserve">3/30 - kit clear
</t>
    </r>
    <r>
      <rPr>
        <b/>
        <strike/>
        <sz val="11"/>
        <color rgb="FF000000"/>
        <rFont val="Calibri"/>
      </rPr>
      <t>3/27 - short SMT D1 due 3/30 - 3/31</t>
    </r>
  </si>
  <si>
    <t>138988
RONC 137033</t>
  </si>
  <si>
    <t>04/13
10D</t>
  </si>
  <si>
    <r>
      <rPr>
        <b/>
        <sz val="12"/>
        <color rgb="FFFF0000"/>
        <rFont val="Calibri"/>
      </rPr>
      <t xml:space="preserve">* BEOFRE SMT... DEPANEL ARRAY &amp; MEASURE BOARDS PER ECO - HAVE ROBERT OR TAD DO THIS
</t>
    </r>
    <r>
      <rPr>
        <b/>
        <sz val="11"/>
        <color rgb="FF000000"/>
        <rFont val="Calibri"/>
      </rPr>
      <t>***DO NOT SAND PCB EDGES*** BOARD HAS DIMENSIONAL TOLERANCES
Lead-Free Wash
measure PCBs dimensions prior to start(see ECO #2)
BOARDS TO BE FREE &amp; CLEAN OF DEBRIS AND RESIDUE
reminder: take photos</t>
    </r>
  </si>
  <si>
    <t>4/6 - 12:30</t>
  </si>
  <si>
    <t>4/6 - 2:30</t>
  </si>
  <si>
    <t>Nextern, Inc.</t>
  </si>
  <si>
    <t>3/27
4/13</t>
  </si>
  <si>
    <t>complete board &amp; box</t>
  </si>
  <si>
    <t>prev run had board issue before starting</t>
  </si>
  <si>
    <r>
      <rPr>
        <b/>
        <sz val="11"/>
        <color rgb="FF000000"/>
        <rFont val="Calibri"/>
        <family val="2"/>
      </rPr>
      <t xml:space="preserve">clear 8/15
</t>
    </r>
    <r>
      <rPr>
        <b/>
        <strike/>
        <sz val="11"/>
        <color rgb="FF000000"/>
        <rFont val="Calibri"/>
        <family val="2"/>
      </rPr>
      <t>short, due 8/5</t>
    </r>
  </si>
  <si>
    <r>
      <rPr>
        <b/>
        <sz val="11"/>
        <color rgb="FF000000"/>
        <rFont val="Calibri"/>
      </rPr>
      <t xml:space="preserve">4/6 - kit clear
</t>
    </r>
    <r>
      <rPr>
        <b/>
        <strike/>
        <sz val="11"/>
        <color rgb="FF000000"/>
        <rFont val="Calibri"/>
      </rPr>
      <t>8/15 - short 2x THT: Shield &amp; C7 (qty 50/each) &amp; Q1 (qty 20), no ETA
7/25 - short:
7x line items, no ETA</t>
    </r>
  </si>
  <si>
    <r>
      <t xml:space="preserve">5/2 - OFF SHIP HOLD
</t>
    </r>
    <r>
      <rPr>
        <b/>
        <strike/>
        <sz val="11"/>
        <color rgb="FF000000"/>
        <rFont val="Calibri"/>
        <family val="2"/>
      </rPr>
      <t xml:space="preserve">4/24 - </t>
    </r>
    <r>
      <rPr>
        <b/>
        <strike/>
        <u/>
        <sz val="11"/>
        <color rgb="FF000000"/>
        <rFont val="Calibri"/>
        <family val="2"/>
      </rPr>
      <t>ON HOLD - OK TO RUN BUT NOT SHIP</t>
    </r>
  </si>
  <si>
    <r>
      <rPr>
        <b/>
        <sz val="14"/>
        <color rgb="FF000000"/>
        <rFont val="Calibri"/>
      </rPr>
      <t xml:space="preserve">131546-FA
NEW
</t>
    </r>
    <r>
      <rPr>
        <b/>
        <sz val="14"/>
        <color rgb="FFFF0000"/>
        <rFont val="Calibri"/>
      </rPr>
      <t>(AS9100-ITAR-CUI)</t>
    </r>
  </si>
  <si>
    <t>04/10
10D</t>
  </si>
  <si>
    <r>
      <rPr>
        <b/>
        <sz val="11"/>
        <color rgb="FF000000"/>
        <rFont val="Calibri"/>
      </rPr>
      <t xml:space="preserve">T/H ONLY
balance remaining 45
</t>
    </r>
    <r>
      <rPr>
        <b/>
        <sz val="14"/>
        <color rgb="FFFF0000"/>
        <rFont val="Calibri"/>
      </rPr>
      <t xml:space="preserve">*** DO NOT DEPANEL ***
</t>
    </r>
    <r>
      <rPr>
        <b/>
        <sz val="12"/>
        <color rgb="FFFF0000"/>
        <rFont val="Calibri"/>
      </rPr>
      <t xml:space="preserve">(SEND TO TEST COACH IN PANEL - DEPANEL AFTER RECEIVED BACK FROM TESTING)
</t>
    </r>
    <r>
      <rPr>
        <b/>
        <sz val="11"/>
        <color rgb="FF000000"/>
        <rFont val="Calibri"/>
      </rPr>
      <t xml:space="preserve">LEAD WASH
</t>
    </r>
    <r>
      <rPr>
        <b/>
        <u/>
        <sz val="11"/>
        <color rgb="FF000000"/>
        <rFont val="Calibri"/>
      </rPr>
      <t>SEND PHOTOS OF FIRST BOARD</t>
    </r>
    <r>
      <rPr>
        <b/>
        <sz val="11"/>
        <color rgb="FF000000"/>
        <rFont val="Calibri"/>
      </rPr>
      <t xml:space="preserve"> PER ECO
PLEASE READ ECO</t>
    </r>
  </si>
  <si>
    <t>FEDEX P</t>
  </si>
  <si>
    <t xml:space="preserve">Test Coach
</t>
  </si>
  <si>
    <t>DOC REL 7/10</t>
  </si>
  <si>
    <t>7/25
4/10</t>
  </si>
  <si>
    <t>yes</t>
  </si>
  <si>
    <t>rtv required?
reviewed</t>
  </si>
  <si>
    <r>
      <t xml:space="preserve">clear 4/1
</t>
    </r>
    <r>
      <rPr>
        <b/>
        <strike/>
        <sz val="11"/>
        <color rgb="FF000000"/>
        <rFont val="Calibri"/>
      </rPr>
      <t>short due 4/3</t>
    </r>
  </si>
  <si>
    <t>3/24 - matl clear</t>
  </si>
  <si>
    <t>4/2 - needs T&amp;R for 280 boards</t>
  </si>
  <si>
    <t>138916-1par
NEW</t>
  </si>
  <si>
    <t>04/10
15D</t>
  </si>
  <si>
    <t>Split shipmennt:
Qty 70 on 4/10
Qty 56 on 5/1
Qty 56 on 6/1
Qty 56 on 7/1
Qty 56 on 7/31 or 8/3
Qty 56 on 9/1
DO NOT SKIP PREBAKE
DEPANEL</t>
  </si>
  <si>
    <t>3/24
4/10</t>
  </si>
  <si>
    <t>#36 THT TO SMT?</t>
  </si>
  <si>
    <r>
      <t xml:space="preserve">clear 4/2
</t>
    </r>
    <r>
      <rPr>
        <b/>
        <strike/>
        <sz val="11"/>
        <color rgb="FF000000"/>
        <rFont val="Calibri"/>
      </rPr>
      <t>short, no ETA 4/1</t>
    </r>
  </si>
  <si>
    <r>
      <rPr>
        <b/>
        <sz val="11"/>
        <color rgb="FF000000"/>
        <rFont val="Calibri"/>
      </rPr>
      <t xml:space="preserve">4/3 - kit clear
</t>
    </r>
    <r>
      <rPr>
        <b/>
        <strike/>
        <sz val="11"/>
        <color rgb="FF000000"/>
        <rFont val="Calibri"/>
      </rPr>
      <t>3/26 - short SMT R8 (high qty) no ETA 4/3 3/30</t>
    </r>
  </si>
  <si>
    <t>139106
RONC 134978</t>
  </si>
  <si>
    <r>
      <rPr>
        <b/>
        <sz val="14"/>
        <color rgb="FF000000"/>
        <rFont val="Calibri"/>
      </rPr>
      <t xml:space="preserve">04/10
</t>
    </r>
    <r>
      <rPr>
        <b/>
        <sz val="14"/>
        <color rgb="FF3C7D22"/>
        <rFont val="Calibri"/>
      </rPr>
      <t>5D</t>
    </r>
  </si>
  <si>
    <t>DO NOT SKIP PREBAKE
"S3 , U1, S2, LCD1" MOISTURE SENSITIVE - SEE ECO
"lcd1" HEIGHT REQ PER ECO
DEPANEL</t>
  </si>
  <si>
    <t>4/7 - 8:00</t>
  </si>
  <si>
    <t>3/26</t>
  </si>
  <si>
    <r>
      <t xml:space="preserve">clear 4/2
</t>
    </r>
    <r>
      <rPr>
        <b/>
        <strike/>
        <sz val="11"/>
        <color rgb="FF000000"/>
        <rFont val="Calibri"/>
      </rPr>
      <t>short, no ETA 4/3</t>
    </r>
  </si>
  <si>
    <r>
      <t xml:space="preserve">4/2 - kit clear
</t>
    </r>
    <r>
      <rPr>
        <b/>
        <strike/>
        <sz val="11"/>
        <color rgb="FF000000"/>
        <rFont val="Calibri"/>
      </rPr>
      <t>3/24 - SHORT smt q1 DUE 3/30 3/27
short THT TP1 due 3/26</t>
    </r>
  </si>
  <si>
    <t>138935
NEW</t>
  </si>
  <si>
    <r>
      <rPr>
        <b/>
        <sz val="14"/>
        <color rgb="FF000000"/>
        <rFont val="Calibri"/>
      </rPr>
      <t xml:space="preserve">04/09
</t>
    </r>
    <r>
      <rPr>
        <b/>
        <sz val="14"/>
        <color rgb="FF3C7D22"/>
        <rFont val="Calibri"/>
      </rPr>
      <t>5D</t>
    </r>
  </si>
  <si>
    <t>DO NOT SKIP PREBAKE
NO CLEAN SOLDER ONLY
DEPANEL
ASSY'S TO BE FREE &amp; CLEAN OF CONTAMINANTS</t>
  </si>
  <si>
    <t>4/3 - 10:30</t>
  </si>
  <si>
    <t>4/6 - 8:00</t>
  </si>
  <si>
    <r>
      <t xml:space="preserve">3/30 - matl clear
</t>
    </r>
    <r>
      <rPr>
        <b/>
        <strike/>
        <sz val="11"/>
        <color rgb="FF000000"/>
        <rFont val="Calibri"/>
      </rPr>
      <t>3/23 - short SMT J8, no ETA on balance</t>
    </r>
  </si>
  <si>
    <t>138071-FA
RONC 137781</t>
  </si>
  <si>
    <r>
      <rPr>
        <b/>
        <sz val="11"/>
        <color rgb="FF000000"/>
        <rFont val="Calibri"/>
      </rPr>
      <t xml:space="preserve">*** </t>
    </r>
    <r>
      <rPr>
        <b/>
        <sz val="11"/>
        <color rgb="FFFF0000"/>
        <rFont val="Calibri"/>
      </rPr>
      <t>MAKE SURE PARTS ARE PREBAKED PER MSL LEVELS</t>
    </r>
    <r>
      <rPr>
        <b/>
        <sz val="11"/>
        <color rgb="FF000000"/>
        <rFont val="Calibri"/>
      </rPr>
      <t xml:space="preserve">!!! - ESPECIALLY ITEM 20 (VCA2616YT) PARTS ARE OBSOLETE </t>
    </r>
    <r>
      <rPr>
        <b/>
        <u/>
        <sz val="11"/>
        <color rgb="FF000000"/>
        <rFont val="Calibri"/>
      </rPr>
      <t xml:space="preserve">AND EXCEEDED MAX SHELF LIFE
</t>
    </r>
    <r>
      <rPr>
        <b/>
        <sz val="11"/>
        <color rgb="FF000000"/>
        <rFont val="Calibri"/>
      </rPr>
      <t>RUN QTY 5 &amp; HOLD SET UP - CUST WILL APPROVE FA IN 1-2 DAYS
*** SEE ALTA QUALITY ALERT
*** 100% INSP REQ - BOARDS MUST BE PERFECT!!!
*** SOLDER BRIDGE REQ (SEE TRI FOR TRAINING) @ ""U14, U15, U20, U21, U26, U27, U32 and U33"" @ PINS 22, 23 &amp; 24
XRAY &amp; SAVE IMAGES
DEPANEL
QR code label matches board &amp; bag</t>
    </r>
  </si>
  <si>
    <t>4/6 - 9:30</t>
  </si>
  <si>
    <t>4/6 - 10:30</t>
  </si>
  <si>
    <t>LV</t>
  </si>
  <si>
    <t>DOC REL 3/13</t>
  </si>
  <si>
    <t>3/23</t>
  </si>
  <si>
    <r>
      <t xml:space="preserve">clear 3/20
</t>
    </r>
    <r>
      <rPr>
        <b/>
        <strike/>
        <sz val="11"/>
        <color rgb="FF000000"/>
        <rFont val="Calibri"/>
      </rPr>
      <t>short, no ETA</t>
    </r>
  </si>
  <si>
    <r>
      <t xml:space="preserve">3/26 - kit clear
</t>
    </r>
    <r>
      <rPr>
        <b/>
        <strike/>
        <sz val="11"/>
        <color rgb="FF000000"/>
        <rFont val="Calibri"/>
      </rPr>
      <t>3/16 - short THT J1, no ETA</t>
    </r>
  </si>
  <si>
    <t>138419
ROWC 129631</t>
  </si>
  <si>
    <t>04/09
10D</t>
  </si>
  <si>
    <t>"J1" PLACE PER DRAWING
DEPANEL</t>
  </si>
  <si>
    <t>4/1 - 9:30</t>
  </si>
  <si>
    <t>4/2 - 2:30</t>
  </si>
  <si>
    <t>1B</t>
  </si>
  <si>
    <t>3/16
4/9</t>
  </si>
  <si>
    <t>dni to load no photo</t>
  </si>
  <si>
    <r>
      <t xml:space="preserve">clear 3/26
</t>
    </r>
    <r>
      <rPr>
        <b/>
        <strike/>
        <sz val="11"/>
        <color rgb="FF000000"/>
        <rFont val="Calibri"/>
      </rPr>
      <t>short due 3/26 3/25</t>
    </r>
  </si>
  <si>
    <r>
      <t xml:space="preserve">3/26 - kit clear
</t>
    </r>
    <r>
      <rPr>
        <b/>
        <strike/>
        <sz val="11"/>
        <color rgb="FF000000"/>
        <rFont val="Calibri"/>
      </rPr>
      <t>3/16 - short SMT U6, no ETA &amp; U1 due 3/20
short THT J8 due 3/20</t>
    </r>
  </si>
  <si>
    <t>138410-2bal
NEW</t>
  </si>
  <si>
    <r>
      <rPr>
        <b/>
        <sz val="11"/>
        <color rgb="FFFF0000"/>
        <rFont val="Calibri"/>
      </rPr>
      <t xml:space="preserve">EXPEDITE QTY 20 (SHIP Mon/Sat))
</t>
    </r>
    <r>
      <rPr>
        <b/>
        <sz val="11"/>
        <color rgb="FF000000"/>
        <rFont val="Calibri"/>
      </rPr>
      <t>DO NOT SKIP PREBAKE
"BT1" LEAVE PASTE ON CENTER PAD
"K1, U7" AFTER WASH
DEPANEL</t>
    </r>
  </si>
  <si>
    <t>HEAVY THT</t>
  </si>
  <si>
    <t>#60 THT TO SMT?</t>
  </si>
  <si>
    <r>
      <rPr>
        <b/>
        <sz val="14"/>
        <color rgb="FF000000"/>
        <rFont val="Calibri"/>
      </rPr>
      <t xml:space="preserve">138741
NEW
</t>
    </r>
    <r>
      <rPr>
        <b/>
        <sz val="14"/>
        <color rgb="FFFF0000"/>
        <rFont val="Calibri"/>
      </rPr>
      <t>(ITAR)</t>
    </r>
  </si>
  <si>
    <t>Remove, Reball &amp; Replace U1 on 1 of 50 boards
THT mount flush to board</t>
  </si>
  <si>
    <t>4/1 - 11:00</t>
  </si>
  <si>
    <t>4/2 - 10:00</t>
  </si>
  <si>
    <t>FEDEX gnd</t>
  </si>
  <si>
    <t xml:space="preserve">Fifth Gait Technologies
</t>
  </si>
  <si>
    <t>3/26
4/9</t>
  </si>
  <si>
    <r>
      <t xml:space="preserve">clear 3/26
</t>
    </r>
    <r>
      <rPr>
        <b/>
        <strike/>
        <sz val="11"/>
        <color rgb="FF000000"/>
        <rFont val="Calibri"/>
      </rPr>
      <t>short, no ETA 3/26</t>
    </r>
  </si>
  <si>
    <r>
      <t xml:space="preserve">3/26 - kit clear
</t>
    </r>
    <r>
      <rPr>
        <b/>
        <strike/>
        <sz val="11"/>
        <color rgb="FF000000"/>
        <rFont val="Calibri"/>
      </rPr>
      <t>3/20 - short SMT J1 &amp; Z1 due 3/25, no ETA</t>
    </r>
  </si>
  <si>
    <t>3/20 - SMT top side 1st</t>
  </si>
  <si>
    <t>138734
NEW</t>
  </si>
  <si>
    <t>XRAY &amp; SAVE IMAGES - READ ECO!!!
"R19x10" SEE ECO
DEPANEL &amp; SAND (0.015" MAX)</t>
  </si>
  <si>
    <t>4/3 - 7:30</t>
  </si>
  <si>
    <t>4/3 - 9:00</t>
  </si>
  <si>
    <t xml:space="preserve">Solo Pace
</t>
  </si>
  <si>
    <t>DOC REL 3/18</t>
  </si>
  <si>
    <t>3/20
4/9</t>
  </si>
  <si>
    <r>
      <t xml:space="preserve">clear 3/2
</t>
    </r>
    <r>
      <rPr>
        <b/>
        <strike/>
        <sz val="11"/>
        <color rgb="FF000000"/>
        <rFont val="Calibri"/>
      </rPr>
      <t>short due 3/24</t>
    </r>
  </si>
  <si>
    <r>
      <t xml:space="preserve">3/25 - kit clear
</t>
    </r>
    <r>
      <rPr>
        <b/>
        <strike/>
        <sz val="11"/>
        <color rgb="FF000000"/>
        <rFont val="Calibri"/>
      </rPr>
      <t>3/24 - short SMT D13 &amp; Q4 due 3/25
3/20 - short SMT U19 due 3/23, D13 &amp; Q4, no ETA</t>
    </r>
  </si>
  <si>
    <t>138733
NEW</t>
  </si>
  <si>
    <t>04/08
10D</t>
  </si>
  <si>
    <t>DO NOT SKIP PREBAKE
"U13, LS1. LS2" AFTER WASH
XRAY &amp; SAVE IMAGES - MUST READ ECO NOTE 5
DEPANEL
BOARDS TO BE FREE &amp; CLEAN OF CONTAMINANTS
OVERPACK</t>
  </si>
  <si>
    <t>4/1 - 1:30</t>
  </si>
  <si>
    <t>4/2 - 11:00</t>
  </si>
  <si>
    <t>4/2 - 1:00</t>
  </si>
  <si>
    <t>DOC REL 3/17</t>
  </si>
  <si>
    <t>3/20
4/8</t>
  </si>
  <si>
    <r>
      <t xml:space="preserve">clear 4/2
</t>
    </r>
    <r>
      <rPr>
        <b/>
        <strike/>
        <sz val="11"/>
        <color rgb="FF000000"/>
        <rFont val="Calibri"/>
      </rPr>
      <t>short due 2/13</t>
    </r>
  </si>
  <si>
    <r>
      <t xml:space="preserve">4/2 - kit clear
</t>
    </r>
    <r>
      <rPr>
        <b/>
        <strike/>
        <sz val="11"/>
        <color rgb="FF000000"/>
        <rFont val="Calibri"/>
      </rPr>
      <t>2/3 - short SMT #3 (LC1), no ETA</t>
    </r>
  </si>
  <si>
    <t>137873-2bal
NEW</t>
  </si>
  <si>
    <t>split shipment: qty 5 ship on 3/31
DEPANEL</t>
  </si>
  <si>
    <t>4/6 - 8:30</t>
  </si>
  <si>
    <t xml:space="preserve">NextPhase Medical Devices
</t>
  </si>
  <si>
    <t>2/10</t>
  </si>
  <si>
    <r>
      <t xml:space="preserve">clear 3/24
</t>
    </r>
    <r>
      <rPr>
        <b/>
        <strike/>
        <sz val="11"/>
        <color rgb="FF000000"/>
        <rFont val="Calibri"/>
      </rPr>
      <t>short due 3/25</t>
    </r>
  </si>
  <si>
    <t>3/18 - matl clear</t>
  </si>
  <si>
    <t>4/3 - line short U3 qty 1 board</t>
  </si>
  <si>
    <t>138420
ROWC 136203</t>
  </si>
  <si>
    <t>04/07
10D</t>
  </si>
  <si>
    <t>DO NOT SKIP PREBAKE
"U3" DO NOT SOLDER THERMAL PAD
DEPANEL
NO COATING, SER # OR SHIELDS</t>
  </si>
  <si>
    <t>4/3 - 8:00</t>
  </si>
  <si>
    <t>3/18
4/7</t>
  </si>
  <si>
    <t>no s/n</t>
  </si>
  <si>
    <r>
      <t xml:space="preserve">clear 3/30
</t>
    </r>
    <r>
      <rPr>
        <b/>
        <strike/>
        <sz val="11"/>
        <color rgb="FF000000"/>
        <rFont val="Calibri"/>
      </rPr>
      <t>short, no ETA 3/30</t>
    </r>
  </si>
  <si>
    <r>
      <rPr>
        <b/>
        <sz val="11"/>
        <color rgb="FF000000"/>
        <rFont val="Calibri"/>
      </rPr>
      <t xml:space="preserve">3/31 - kit clear
</t>
    </r>
    <r>
      <rPr>
        <b/>
        <strike/>
        <sz val="11"/>
        <color rgb="FF000000"/>
        <rFont val="Calibri"/>
      </rPr>
      <t>3/16 - short SMT D11 &amp; D20 (high qty), no ETA
short THT U1, no ETA</t>
    </r>
  </si>
  <si>
    <t>138408
ROWC 136197</t>
  </si>
  <si>
    <r>
      <rPr>
        <b/>
        <sz val="14"/>
        <color rgb="FF000000"/>
        <rFont val="Calibri"/>
      </rPr>
      <t xml:space="preserve">04/07
</t>
    </r>
    <r>
      <rPr>
        <b/>
        <sz val="14"/>
        <color rgb="FF3C7D22"/>
        <rFont val="Calibri"/>
      </rPr>
      <t>5D</t>
    </r>
  </si>
  <si>
    <t>Lead-Free Wash
U13 place as-is
"C7, C16, C27, C28" -- see ECO for placement
DNI R100 &amp; ship with boards
prev build: C7 overhang D9 (tolerance issue)</t>
  </si>
  <si>
    <t>3/31 - 10:30</t>
  </si>
  <si>
    <t>4/1 - 7:00</t>
  </si>
  <si>
    <t>4/1 - 2:30</t>
  </si>
  <si>
    <t>3/16</t>
  </si>
  <si>
    <r>
      <t xml:space="preserve">clear 3/23
</t>
    </r>
    <r>
      <rPr>
        <b/>
        <strike/>
        <sz val="11"/>
        <color rgb="FF000000"/>
        <rFont val="Calibri"/>
      </rPr>
      <t>short due 3/24 3/20</t>
    </r>
  </si>
  <si>
    <r>
      <rPr>
        <b/>
        <sz val="11"/>
        <color rgb="FF000000"/>
        <rFont val="Calibri"/>
      </rPr>
      <t xml:space="preserve">3/24 - kit clear
</t>
    </r>
    <r>
      <rPr>
        <b/>
        <strike/>
        <sz val="11"/>
        <color rgb="FF000000"/>
        <rFont val="Calibri"/>
      </rPr>
      <t>3/18 - short THT J1, no ETA 3/24</t>
    </r>
  </si>
  <si>
    <t>138424
ROWC 136204</t>
  </si>
  <si>
    <t>DO NOT SKIP PREBAKE
DEPANEL
previous build: stencil issue</t>
  </si>
  <si>
    <t>4/1 - 4:00</t>
  </si>
  <si>
    <t>4/1 - 10:00</t>
  </si>
  <si>
    <r>
      <t xml:space="preserve">clear 3/10
</t>
    </r>
    <r>
      <rPr>
        <b/>
        <strike/>
        <sz val="11"/>
        <color rgb="FF000000"/>
        <rFont val="Calibri"/>
      </rPr>
      <t>short due 3/18</t>
    </r>
  </si>
  <si>
    <r>
      <t xml:space="preserve">3/25 - kit clear
</t>
    </r>
    <r>
      <rPr>
        <b/>
        <strike/>
        <sz val="11"/>
        <color rgb="FF000000"/>
        <rFont val="Calibri"/>
      </rPr>
      <t>3/9 - short SMT D7 (skip) due 3/10
&amp; U18 no eta</t>
    </r>
  </si>
  <si>
    <r>
      <rPr>
        <b/>
        <sz val="14"/>
        <color rgb="FF000000"/>
        <rFont val="Calibri"/>
      </rPr>
      <t>138396
ROWC 137150
(</t>
    </r>
    <r>
      <rPr>
        <b/>
        <sz val="14"/>
        <color rgb="FFFF0000"/>
        <rFont val="Calibri"/>
      </rPr>
      <t>ITAR</t>
    </r>
    <r>
      <rPr>
        <b/>
        <sz val="14"/>
        <color rgb="FF000000"/>
        <rFont val="Calibri"/>
      </rPr>
      <t>)</t>
    </r>
  </si>
  <si>
    <t>LEADFREE WASH
'M1" AFTER WASH
J8 place opposite silk screen</t>
  </si>
  <si>
    <t>3/17 - 10:00</t>
  </si>
  <si>
    <t>3/17 - 12:00</t>
  </si>
  <si>
    <t>3/17 - 2:30</t>
  </si>
  <si>
    <t xml:space="preserve">Liquid Robotics
</t>
  </si>
  <si>
    <t>DOC REL 3/6</t>
  </si>
  <si>
    <t>3/9
4/8</t>
  </si>
  <si>
    <t>CLEAR 3/30</t>
  </si>
  <si>
    <r>
      <rPr>
        <b/>
        <sz val="14"/>
        <color rgb="FF000000"/>
        <rFont val="Calibri"/>
      </rPr>
      <t xml:space="preserve">04/06
</t>
    </r>
    <r>
      <rPr>
        <b/>
        <sz val="14"/>
        <color rgb="FF3C7D22"/>
        <rFont val="Calibri"/>
      </rPr>
      <t>5D</t>
    </r>
  </si>
  <si>
    <t>XX</t>
  </si>
  <si>
    <t>RWK of B134516</t>
  </si>
  <si>
    <t>Solo Pace</t>
  </si>
  <si>
    <t>3/30</t>
  </si>
  <si>
    <r>
      <t xml:space="preserve">clear 1/20
</t>
    </r>
    <r>
      <rPr>
        <b/>
        <strike/>
        <sz val="11"/>
        <color rgb="FF000000"/>
        <rFont val="Calibri"/>
        <family val="2"/>
      </rPr>
      <t>1/8 - SHORT NO ETA_CONSIGN</t>
    </r>
  </si>
  <si>
    <r>
      <rPr>
        <b/>
        <sz val="11"/>
        <color rgb="FF000000"/>
        <rFont val="Calibri"/>
      </rPr>
      <t xml:space="preserve">3/30 - kit clear
</t>
    </r>
    <r>
      <rPr>
        <b/>
        <strike/>
        <sz val="11"/>
        <color rgb="FF000000"/>
        <rFont val="Calibri"/>
      </rPr>
      <t>1/8-  SHORT J1 (THT) NO ETA_CONSIGN</t>
    </r>
  </si>
  <si>
    <r>
      <rPr>
        <b/>
        <sz val="14"/>
        <color rgb="FF000000"/>
        <rFont val="Calibri"/>
      </rPr>
      <t xml:space="preserve">137372-1par
RONC 136861
</t>
    </r>
    <r>
      <rPr>
        <b/>
        <sz val="14"/>
        <color rgb="FFFF0000"/>
        <rFont val="Calibri"/>
      </rPr>
      <t>(AS9100-ITAR-CUI)</t>
    </r>
  </si>
  <si>
    <r>
      <rPr>
        <b/>
        <sz val="11"/>
        <color rgb="FF000000"/>
        <rFont val="Calibri"/>
      </rPr>
      <t xml:space="preserve">* </t>
    </r>
    <r>
      <rPr>
        <b/>
        <sz val="11"/>
        <color rgb="FFFF0000"/>
        <rFont val="Calibri"/>
      </rPr>
      <t xml:space="preserve">AS9102 </t>
    </r>
    <r>
      <rPr>
        <b/>
        <sz val="11"/>
        <color rgb="FF000000"/>
        <rFont val="Calibri"/>
      </rPr>
      <t xml:space="preserve">*
balance qty 50
photos: B136319
prev build: PCB missing mousebite
CLASS 3
DO NOT SKIP AOI
LEAD-FREE WASH
SEE ECO NOTE 4 FOR SOLDERING WORKMANSHIP
XRAY &amp; SAVE IMAGES
TAD DEPANEL
AS9100 FAIR REQ
</t>
    </r>
    <r>
      <rPr>
        <b/>
        <u/>
        <sz val="11"/>
        <color rgb="FF000000"/>
        <rFont val="Calibri"/>
      </rPr>
      <t>install nuts &amp; rings</t>
    </r>
  </si>
  <si>
    <t>1/21 - 9:30</t>
  </si>
  <si>
    <t>1/21 - 1:00</t>
  </si>
  <si>
    <t xml:space="preserve">Anderson Connectivity
</t>
  </si>
  <si>
    <t>FLEX BOARD</t>
  </si>
  <si>
    <t>DOC REL 1/7</t>
  </si>
  <si>
    <t>1/8</t>
  </si>
  <si>
    <r>
      <t xml:space="preserve">clear 3/23
</t>
    </r>
    <r>
      <rPr>
        <b/>
        <strike/>
        <sz val="11"/>
        <color rgb="FF000000"/>
        <rFont val="Calibri"/>
      </rPr>
      <t>short, due 3/20 3/18</t>
    </r>
  </si>
  <si>
    <t>3/16 - matl clear</t>
  </si>
  <si>
    <t>138416
ROWC 136200</t>
  </si>
  <si>
    <t>04/06
10D</t>
  </si>
  <si>
    <t>DO NOT SKIP PREBAKE
NO CONF COATING, SER #'S, RTV
DEPANEL</t>
  </si>
  <si>
    <t>3/30 - 2:30</t>
  </si>
  <si>
    <t>3/31 - 6:00</t>
  </si>
  <si>
    <t>3/31 - 11:00</t>
  </si>
  <si>
    <t>3/16
4/6</t>
  </si>
  <si>
    <r>
      <t xml:space="preserve">clear 3/23
</t>
    </r>
    <r>
      <rPr>
        <b/>
        <strike/>
        <sz val="11"/>
        <color rgb="FF000000"/>
        <rFont val="Calibri"/>
      </rPr>
      <t>short due 3/23</t>
    </r>
  </si>
  <si>
    <t>138427
ROWC 136207</t>
  </si>
  <si>
    <t>3/25 - 10:00</t>
  </si>
  <si>
    <t>3/25 - 11:00</t>
  </si>
  <si>
    <t>3/25 - 1:00</t>
  </si>
  <si>
    <t>3/20
4/6</t>
  </si>
  <si>
    <t>2/18-CLEAR</t>
  </si>
  <si>
    <r>
      <t xml:space="preserve">2/19 ONLY SHRT "L3, J5"
</t>
    </r>
    <r>
      <rPr>
        <b/>
        <strike/>
        <sz val="11"/>
        <color theme="4" tint="-0.249977111117893"/>
        <rFont val="Calibri"/>
      </rPr>
      <t>2/18-SHORT C213,C218</t>
    </r>
    <r>
      <rPr>
        <b/>
        <sz val="11"/>
        <color theme="4" tint="-0.249977111117893"/>
        <rFont val="Calibri"/>
      </rPr>
      <t>,L3 (SMT), J5 (THT)</t>
    </r>
  </si>
  <si>
    <t>2/18 - OK TO SKIP SMT SHORTAGES</t>
  </si>
  <si>
    <r>
      <rPr>
        <b/>
        <sz val="14"/>
        <color rgb="FF156082"/>
        <rFont val="Calibri"/>
      </rPr>
      <t xml:space="preserve">137632
RONC 130253
</t>
    </r>
    <r>
      <rPr>
        <b/>
        <sz val="12"/>
        <color rgb="FFFF0000"/>
        <rFont val="Calibri"/>
      </rPr>
      <t>(DoD-ITAR-CUI)</t>
    </r>
  </si>
  <si>
    <r>
      <t xml:space="preserve">???
</t>
    </r>
    <r>
      <rPr>
        <b/>
        <strike/>
        <sz val="14"/>
        <color theme="4" tint="-0.249977111117893"/>
        <rFont val="Calibri"/>
      </rPr>
      <t xml:space="preserve">02/27
</t>
    </r>
    <r>
      <rPr>
        <b/>
        <sz val="14"/>
        <color theme="4" tint="-0.249977111117893"/>
        <rFont val="Calibri"/>
      </rPr>
      <t>10D</t>
    </r>
  </si>
  <si>
    <t>*** MUST SHIP 2/27
"U20" MOISTURE SENSITIVE
XRAY &amp; SAVE IMAGES
DEPANEL</t>
  </si>
  <si>
    <t>2/23 - 6:30</t>
  </si>
  <si>
    <t>2/23 - 8:30</t>
  </si>
  <si>
    <t>2/23 - 10:30</t>
  </si>
  <si>
    <t>FEDEX 2DAY</t>
  </si>
  <si>
    <t>CACI</t>
  </si>
  <si>
    <t>DOC REL 2/17</t>
  </si>
  <si>
    <t>2/18</t>
  </si>
  <si>
    <r>
      <t xml:space="preserve">clear 3/27
</t>
    </r>
    <r>
      <rPr>
        <b/>
        <strike/>
        <sz val="11"/>
        <color rgb="FF000000"/>
        <rFont val="Calibri"/>
      </rPr>
      <t>short, no ETA 3/27</t>
    </r>
  </si>
  <si>
    <t>3/17 - matl clear</t>
  </si>
  <si>
    <t>138418
RONC 136202</t>
  </si>
  <si>
    <r>
      <rPr>
        <b/>
        <sz val="14"/>
        <color rgb="FF000000"/>
        <rFont val="Calibri"/>
      </rPr>
      <t xml:space="preserve">04/03
</t>
    </r>
    <r>
      <rPr>
        <b/>
        <sz val="14"/>
        <color rgb="FF3C7D22"/>
        <rFont val="Calibri"/>
      </rPr>
      <t>5D</t>
    </r>
  </si>
  <si>
    <t>DO NOT SKIP PREBAKE
DEPANEL</t>
  </si>
  <si>
    <t>3/31 - 10:00</t>
  </si>
  <si>
    <t>3/31 - 1:30</t>
  </si>
  <si>
    <t>3/17</t>
  </si>
  <si>
    <r>
      <t xml:space="preserve">clear 3/28
</t>
    </r>
    <r>
      <rPr>
        <b/>
        <strike/>
        <sz val="11"/>
        <color rgb="FF000000"/>
        <rFont val="Calibri"/>
      </rPr>
      <t>short due 3/27 3/25</t>
    </r>
  </si>
  <si>
    <r>
      <t xml:space="preserve">3/24 - matl clear 
</t>
    </r>
    <r>
      <rPr>
        <b/>
        <strike/>
        <sz val="11"/>
        <color rgb="FF000000"/>
        <rFont val="Calibri"/>
      </rPr>
      <t>3/18 - short SMT U31 due 3/30 &amp; U7 due 3/23, no ETA
3/17 - short SMT many, no ETA</t>
    </r>
  </si>
  <si>
    <t xml:space="preserve">4/2 - line shortage for 3 boards R45
</t>
  </si>
  <si>
    <t>138415
ROWC 136199</t>
  </si>
  <si>
    <t>"U19" NO SOLDER ON THERMAL PAD PER ECO
"J2" T/H SOLDER MOUNTING TABS
DEPANEL</t>
  </si>
  <si>
    <t>3/30 - 9:00</t>
  </si>
  <si>
    <t>4/2 - 8:30</t>
  </si>
  <si>
    <t>4/2 - 3:30</t>
  </si>
  <si>
    <r>
      <t xml:space="preserve">clear 3/23
</t>
    </r>
    <r>
      <rPr>
        <b/>
        <strike/>
        <sz val="11"/>
        <color rgb="FF000000"/>
        <rFont val="Calibri"/>
      </rPr>
      <t>short, no ETA 3/24</t>
    </r>
  </si>
  <si>
    <r>
      <rPr>
        <b/>
        <sz val="11"/>
        <color rgb="FF000000"/>
        <rFont val="Calibri"/>
      </rPr>
      <t>3/13 -</t>
    </r>
    <r>
      <rPr>
        <b/>
        <strike/>
        <sz val="11"/>
        <color rgb="FF000000"/>
        <rFont val="Calibri"/>
      </rPr>
      <t xml:space="preserve"> short SMT L1, no ETA &amp; J9 due 3/17
</t>
    </r>
    <r>
      <rPr>
        <b/>
        <sz val="11"/>
        <color rgb="FF000000"/>
        <rFont val="Calibri"/>
      </rPr>
      <t xml:space="preserve">short THT SW1, </t>
    </r>
    <r>
      <rPr>
        <b/>
        <strike/>
        <sz val="11"/>
        <color rgb="FF000000"/>
        <rFont val="Calibri"/>
      </rPr>
      <t xml:space="preserve">no </t>
    </r>
    <r>
      <rPr>
        <b/>
        <sz val="11"/>
        <color rgb="FF000000"/>
        <rFont val="Calibri"/>
      </rPr>
      <t>ETA 3/27</t>
    </r>
  </si>
  <si>
    <t>3/13 - SMT start day 1 / sooner</t>
  </si>
  <si>
    <t>138801
ROWC 137049</t>
  </si>
  <si>
    <r>
      <rPr>
        <b/>
        <sz val="12"/>
        <color rgb="FF000000"/>
        <rFont val="Calibri"/>
      </rPr>
      <t xml:space="preserve">SPLIT SHIPMENT: 
QTY 15 to WA, QTY 65 to TX
*** </t>
    </r>
    <r>
      <rPr>
        <b/>
        <sz val="12"/>
        <color rgb="FFFF0000"/>
        <rFont val="Calibri"/>
      </rPr>
      <t>QUALITY ALERT</t>
    </r>
    <r>
      <rPr>
        <b/>
        <sz val="12"/>
        <color rgb="FF000000"/>
        <rFont val="Calibri"/>
      </rPr>
      <t xml:space="preserve"> - SEE ECO FOR DAMAGED CAP &amp; DELAM FROM DEPANEL
</t>
    </r>
    <r>
      <rPr>
        <b/>
        <sz val="11"/>
        <color rgb="FF000000"/>
        <rFont val="Calibri"/>
      </rPr>
      <t xml:space="preserve">"SW1-SW8, L2" AFTER WASH
* 3/23 - "J9" P/N CHANGED TO HSEC8-150-01-S-DV-A-WT-K
</t>
    </r>
    <r>
      <rPr>
        <b/>
        <u/>
        <sz val="11"/>
        <color rgb="FF000000"/>
        <rFont val="Calibri"/>
      </rPr>
      <t xml:space="preserve">"SW9 &amp; J16" SEE ECO FOR INSTALL
CARE: gaskets during wash
install J14 gaskets &amp; shunts
</t>
    </r>
    <r>
      <rPr>
        <b/>
        <sz val="11"/>
        <color rgb="FF000000"/>
        <rFont val="Calibri"/>
      </rPr>
      <t>DEPANEL
OVERPACK</t>
    </r>
  </si>
  <si>
    <t>3/26 - 11:00</t>
  </si>
  <si>
    <t>3/28 - 7:00</t>
  </si>
  <si>
    <t>3/30 - 3:30</t>
  </si>
  <si>
    <t xml:space="preserve">Infinitum Electric
</t>
  </si>
  <si>
    <t>BACK NEEDS XTRA TIME FOR THT  / SANDING</t>
  </si>
  <si>
    <t>3/13</t>
  </si>
  <si>
    <t>clear 3/20</t>
  </si>
  <si>
    <r>
      <t xml:space="preserve">3/26 - kit clear
</t>
    </r>
    <r>
      <rPr>
        <b/>
        <strike/>
        <sz val="11"/>
        <color rgb="FF000000"/>
        <rFont val="Calibri"/>
      </rPr>
      <t>3/25 - will clear date
3/23 - maybe clear date</t>
    </r>
  </si>
  <si>
    <t>3/31 - awt U5 fixes</t>
  </si>
  <si>
    <t>137410
NEW</t>
  </si>
  <si>
    <r>
      <rPr>
        <b/>
        <sz val="14"/>
        <color rgb="FF000000"/>
        <rFont val="Calibri"/>
      </rPr>
      <t xml:space="preserve">04/02
</t>
    </r>
    <r>
      <rPr>
        <b/>
        <sz val="14"/>
        <color rgb="FF3C7D22"/>
        <rFont val="Calibri"/>
      </rPr>
      <t>5D</t>
    </r>
  </si>
  <si>
    <t>DO NOT SKIP PREBAKE
"D7, D8" AFTER WASH
*** 3/24 - "ANT1" ECO UPDATED - PLS MAKE SURE ORIENTATION IS CORRECT
DEPANEL</t>
  </si>
  <si>
    <t>3/30 - 1:30</t>
  </si>
  <si>
    <t>3/31 - 12:00</t>
  </si>
  <si>
    <t>2B 1T</t>
  </si>
  <si>
    <t xml:space="preserve">Guided Therapeutics, Inc.
</t>
  </si>
  <si>
    <t>3/21</t>
  </si>
  <si>
    <t>#55 THT TO SMT?</t>
  </si>
  <si>
    <r>
      <t xml:space="preserve">clear 4/1
</t>
    </r>
    <r>
      <rPr>
        <b/>
        <strike/>
        <sz val="11"/>
        <color rgb="FF000000"/>
        <rFont val="Calibri"/>
      </rPr>
      <t>short due 4/1
no eta</t>
    </r>
  </si>
  <si>
    <t>3/25 - matl clear</t>
  </si>
  <si>
    <t>3/25 - LARGE CAPS WASHED WILL NED XTRA DRYING TIME</t>
  </si>
  <si>
    <t>138655
NEW</t>
  </si>
  <si>
    <r>
      <rPr>
        <b/>
        <sz val="14"/>
        <color rgb="FF000000"/>
        <rFont val="Calibri"/>
      </rPr>
      <t xml:space="preserve">04/02
</t>
    </r>
    <r>
      <rPr>
        <b/>
        <sz val="14"/>
        <color rgb="FFFF0000"/>
        <rFont val="Calibri"/>
      </rPr>
      <t>3D</t>
    </r>
  </si>
  <si>
    <r>
      <rPr>
        <b/>
        <sz val="12"/>
        <color rgb="FFFF0000"/>
        <rFont val="Calibri"/>
      </rPr>
      <t xml:space="preserve">4/2 - CHANGE ARRAY FOR EASIER DEPANELING IF REPEAT
***EXPEDITE - SHIP 4/2
</t>
    </r>
    <r>
      <rPr>
        <b/>
        <sz val="11"/>
        <color rgb="FF000000"/>
        <rFont val="Calibri"/>
      </rPr>
      <t xml:space="preserve">T/H ONLY
COMPONENTS MUST BE FREE &amp; CLEAN OF CONTAMINATION - SEE ECO
</t>
    </r>
    <r>
      <rPr>
        <b/>
        <sz val="12"/>
        <color rgb="FFFF0000"/>
        <rFont val="Calibri"/>
      </rPr>
      <t xml:space="preserve">*** PLEASE DISCUSS BEFORE WASHING - DI WATER WASH CANNOT DAMAGE CAPACITOR SEALS
</t>
    </r>
    <r>
      <rPr>
        <b/>
        <sz val="11"/>
        <color rgb="FF000000"/>
        <rFont val="Calibri"/>
      </rPr>
      <t>READ ECO NOTE 5 &amp; 6 - I DONT THINK THIS APPLIES (tAD)
OVERPACK
SEE ECO FOR CoC REQUIREMENTS
LABEL ON BAG REQUIRED
OVERPACK</t>
    </r>
  </si>
  <si>
    <t xml:space="preserve">Neocis, Inc.
</t>
  </si>
  <si>
    <t>no</t>
  </si>
  <si>
    <t>xtra wash time</t>
  </si>
  <si>
    <r>
      <t xml:space="preserve">clear 3/19
</t>
    </r>
    <r>
      <rPr>
        <b/>
        <strike/>
        <sz val="11"/>
        <color rgb="FF000000"/>
        <rFont val="Calibri"/>
      </rPr>
      <t>short due 3/19</t>
    </r>
  </si>
  <si>
    <t>138798
RONC 137740</t>
  </si>
  <si>
    <t>04/02
10D</t>
  </si>
  <si>
    <r>
      <rPr>
        <b/>
        <sz val="11"/>
        <color rgb="FF000000"/>
        <rFont val="Calibri"/>
      </rPr>
      <t xml:space="preserve">DO NOT SKIP PREBAKE
"PP1" PRESS FIT THEN SOLDER PER ECO
DEPANEL &amp; SAND - 0.5MM MAX MATERIAL PER ECO
</t>
    </r>
    <r>
      <rPr>
        <b/>
        <u/>
        <sz val="11"/>
        <color rgb="FF000000"/>
        <rFont val="Calibri"/>
      </rPr>
      <t>POSTBAKE 30 MIN</t>
    </r>
  </si>
  <si>
    <t>3/20 - 10:00</t>
  </si>
  <si>
    <t>3/20 - 1:30</t>
  </si>
  <si>
    <t>3/21 - 2:30</t>
  </si>
  <si>
    <t>3/17
4/2</t>
  </si>
  <si>
    <t>#39 tht to smt</t>
  </si>
  <si>
    <t>clear 3/18</t>
  </si>
  <si>
    <r>
      <rPr>
        <b/>
        <sz val="11"/>
        <color rgb="FF000000"/>
        <rFont val="Calibri"/>
      </rPr>
      <t xml:space="preserve">3/26 - kit clear
</t>
    </r>
    <r>
      <rPr>
        <b/>
        <strike/>
        <sz val="11"/>
        <color rgb="FF000000"/>
        <rFont val="Calibri"/>
      </rPr>
      <t>3/17 - short SMT J2, no ETA</t>
    </r>
  </si>
  <si>
    <t>138421
ROWC 136205</t>
  </si>
  <si>
    <t>"J2" SEE ECO &amp; DWG FOR LOCATION &amp; PLACEMENT
DEPANEL</t>
  </si>
  <si>
    <t>3/20 - 9:00</t>
  </si>
  <si>
    <r>
      <t xml:space="preserve">clear 3/4 </t>
    </r>
    <r>
      <rPr>
        <b/>
        <strike/>
        <sz val="11"/>
        <color rgb="FF000000"/>
        <rFont val="Calibri"/>
      </rPr>
      <t>short due 3/3 3/4</t>
    </r>
  </si>
  <si>
    <r>
      <rPr>
        <b/>
        <sz val="11"/>
        <color rgb="FF000000"/>
        <rFont val="Calibri"/>
      </rPr>
      <t xml:space="preserve">3/26 - kit clear
</t>
    </r>
    <r>
      <rPr>
        <b/>
        <strike/>
        <sz val="11"/>
        <color rgb="FF000000"/>
        <rFont val="Calibri"/>
      </rPr>
      <t>3/13 - short SMT U9 BTD?
short D50 &amp; U9
3/2 - short SMT many, no ETA
short THT 3x, no ETA</t>
    </r>
  </si>
  <si>
    <t>138291
NEW</t>
  </si>
  <si>
    <r>
      <rPr>
        <b/>
        <sz val="11"/>
        <color rgb="FF000000"/>
        <rFont val="Calibri"/>
      </rPr>
      <t>AS9102 FAIR REQ
"</t>
    </r>
    <r>
      <rPr>
        <b/>
        <u/>
        <sz val="11"/>
        <color rgb="FF000000"/>
        <rFont val="Calibri"/>
      </rPr>
      <t>BT1</t>
    </r>
    <r>
      <rPr>
        <b/>
        <sz val="11"/>
        <color rgb="FF000000"/>
        <rFont val="Calibri"/>
      </rPr>
      <t xml:space="preserve">" AFTER REFLOW
"S1 &amp; S2x5" AFTER WASH
</t>
    </r>
    <r>
      <rPr>
        <b/>
        <u/>
        <sz val="11"/>
        <color rgb="FF000000"/>
        <rFont val="Calibri"/>
      </rPr>
      <t xml:space="preserve">JUMPERS </t>
    </r>
    <r>
      <rPr>
        <b/>
        <sz val="11"/>
        <color rgb="FF000000"/>
        <rFont val="Calibri"/>
      </rPr>
      <t>REQ
*DO NOT SEND EXCESS MATL BACK TO CUST</t>
    </r>
  </si>
  <si>
    <t>3/19 - 2:30</t>
  </si>
  <si>
    <t>3/20 - 10:30</t>
  </si>
  <si>
    <t>3T</t>
  </si>
  <si>
    <t xml:space="preserve">GatesAir, Inc.
</t>
  </si>
  <si>
    <t>go through reflow 2nd time</t>
  </si>
  <si>
    <t>DOC REL 2/27</t>
  </si>
  <si>
    <t>3/2</t>
  </si>
  <si>
    <t>#101 THT to SMT?</t>
  </si>
  <si>
    <t>clear 3/19</t>
  </si>
  <si>
    <t>3/19 - kit clear</t>
  </si>
  <si>
    <t>138431
NEW</t>
  </si>
  <si>
    <t>3/19
4/2</t>
  </si>
  <si>
    <r>
      <t xml:space="preserve">clear 3/18
</t>
    </r>
    <r>
      <rPr>
        <b/>
        <strike/>
        <sz val="11"/>
        <color rgb="FF000000"/>
        <rFont val="Calibri"/>
      </rPr>
      <t>short, no ETA</t>
    </r>
  </si>
  <si>
    <t>3/13 - matl clear</t>
  </si>
  <si>
    <t>138407
RONC 124492</t>
  </si>
  <si>
    <t>3/13
4/1</t>
  </si>
  <si>
    <r>
      <t xml:space="preserve">clear 3/24
</t>
    </r>
    <r>
      <rPr>
        <b/>
        <strike/>
        <sz val="11"/>
        <color theme="4" tint="-0.249977111117893"/>
        <rFont val="Calibri"/>
      </rPr>
      <t>short due 4/1</t>
    </r>
  </si>
  <si>
    <r>
      <t xml:space="preserve">3/26 - kit clear
</t>
    </r>
    <r>
      <rPr>
        <b/>
        <strike/>
        <sz val="11"/>
        <color theme="4" tint="-0.249977111117893"/>
        <rFont val="Calibri"/>
      </rPr>
      <t>3/24 - short SMT U7 (high qty), due 3/24
short THT C15 &amp; L6 due 3/24</t>
    </r>
  </si>
  <si>
    <t>3/31 - short THT C2</t>
  </si>
  <si>
    <t>138404-1par
ROWC 136196</t>
  </si>
  <si>
    <r>
      <rPr>
        <b/>
        <sz val="14"/>
        <color rgb="FF000000"/>
        <rFont val="Calibri"/>
      </rPr>
      <t xml:space="preserve">???
</t>
    </r>
    <r>
      <rPr>
        <b/>
        <strike/>
        <sz val="14"/>
        <color rgb="FF000000"/>
        <rFont val="Calibri"/>
      </rPr>
      <t xml:space="preserve">3/31
</t>
    </r>
    <r>
      <rPr>
        <b/>
        <sz val="14"/>
        <color rgb="FFFF0000"/>
        <rFont val="Calibri"/>
      </rPr>
      <t>3D</t>
    </r>
  </si>
  <si>
    <t>3/27 - 6:00</t>
  </si>
  <si>
    <t>3/27 - 10:30</t>
  </si>
  <si>
    <t>3/27 - 2:30</t>
  </si>
  <si>
    <t>3/9 - - pcb here</t>
  </si>
  <si>
    <r>
      <t xml:space="preserve">3/25 - kit clear
</t>
    </r>
    <r>
      <rPr>
        <b/>
        <strike/>
        <sz val="11"/>
        <color rgb="FF000000"/>
        <rFont val="Calibri"/>
      </rPr>
      <t>3/24 - short SMT many due 3/25</t>
    </r>
  </si>
  <si>
    <r>
      <rPr>
        <b/>
        <sz val="11"/>
        <color rgb="FF000000"/>
        <rFont val="Calibri"/>
      </rPr>
      <t xml:space="preserve">3/30 - </t>
    </r>
    <r>
      <rPr>
        <b/>
        <sz val="11"/>
        <color rgb="FFFF0000"/>
        <rFont val="Calibri"/>
      </rPr>
      <t xml:space="preserve">J21 issue
</t>
    </r>
    <r>
      <rPr>
        <b/>
        <strike/>
        <sz val="11"/>
        <color rgb="FF000000"/>
        <rFont val="Calibri"/>
      </rPr>
      <t>3/25 - awt customer reply (email)</t>
    </r>
  </si>
  <si>
    <t>137409
NEW</t>
  </si>
  <si>
    <r>
      <rPr>
        <b/>
        <sz val="14"/>
        <color rgb="FF000000"/>
        <rFont val="Calibri"/>
      </rPr>
      <t xml:space="preserve">04/01
</t>
    </r>
    <r>
      <rPr>
        <b/>
        <sz val="14"/>
        <color rgb="FF3C7D22"/>
        <rFont val="Calibri"/>
      </rPr>
      <t>5D</t>
    </r>
  </si>
  <si>
    <t>"SW1" AFTER WASH
"SS" PLACE UNDER "D8"
"U21" is MIC2026-2YM, place U7 and DNP R71, R72 (NOT PLACED IF "U21" IS MIC2026-1YM - SEE ECO
DEPANEL</t>
  </si>
  <si>
    <t>3/26 - 3:30</t>
  </si>
  <si>
    <t>3/27 - 10:00</t>
  </si>
  <si>
    <t>DOC REL 3/3</t>
  </si>
  <si>
    <t>#59 tht to SMT</t>
  </si>
  <si>
    <r>
      <t xml:space="preserve">clear 3/25
</t>
    </r>
    <r>
      <rPr>
        <b/>
        <strike/>
        <sz val="11"/>
        <color rgb="FF000000"/>
        <rFont val="Calibri"/>
      </rPr>
      <t>short due 3/25</t>
    </r>
  </si>
  <si>
    <t>3/19 - matl clear</t>
  </si>
  <si>
    <t>138425
ROWC 136206</t>
  </si>
  <si>
    <t>3/27 - 1:00</t>
  </si>
  <si>
    <t>3/29 - 12:30</t>
  </si>
  <si>
    <r>
      <rPr>
        <b/>
        <sz val="11"/>
        <color rgb="FF000000"/>
        <rFont val="Calibri"/>
      </rPr>
      <t xml:space="preserve">3/25 - day 1 is 3/26 (Anne)
3/24 - LT 5 from time we receive array file
</t>
    </r>
    <r>
      <rPr>
        <b/>
        <strike/>
        <sz val="11"/>
        <color rgb="FF000000"/>
        <rFont val="Calibri"/>
      </rPr>
      <t>3/24 - stencil and program slightly off</t>
    </r>
  </si>
  <si>
    <t>138245
NEW</t>
  </si>
  <si>
    <r>
      <rPr>
        <b/>
        <sz val="14"/>
        <color rgb="FF000000"/>
        <rFont val="Calibri"/>
      </rPr>
      <t xml:space="preserve">04/01
</t>
    </r>
    <r>
      <rPr>
        <b/>
        <strike/>
        <sz val="14"/>
        <color rgb="FF000000"/>
        <rFont val="Calibri"/>
      </rPr>
      <t xml:space="preserve">03/26
</t>
    </r>
    <r>
      <rPr>
        <b/>
        <sz val="14"/>
        <color rgb="FF3C7D22"/>
        <rFont val="Calibri"/>
      </rPr>
      <t>5D</t>
    </r>
  </si>
  <si>
    <t>"J3, J4" TOUCH UP SOLDER PER ECO NOTE 2
DEPANEL</t>
  </si>
  <si>
    <t>3/27 - 4:00</t>
  </si>
  <si>
    <t>3/27 - 9:00</t>
  </si>
  <si>
    <t>Forza Ametek</t>
  </si>
  <si>
    <t>NONE</t>
  </si>
  <si>
    <r>
      <t xml:space="preserve">clear 3/17
</t>
    </r>
    <r>
      <rPr>
        <b/>
        <strike/>
        <sz val="11"/>
        <color rgb="FF000000"/>
        <rFont val="Calibri"/>
      </rPr>
      <t>short due 3/19</t>
    </r>
  </si>
  <si>
    <r>
      <t xml:space="preserve">3/27 - kit clear
</t>
    </r>
    <r>
      <rPr>
        <b/>
        <strike/>
        <sz val="11"/>
        <color rgb="FF000000"/>
        <rFont val="Calibri"/>
      </rPr>
      <t>3/16 - short SMT U4 (ok to skip)
short THT U3, no ETA</t>
    </r>
  </si>
  <si>
    <t>138409-FA
NEW</t>
  </si>
  <si>
    <r>
      <rPr>
        <b/>
        <sz val="14"/>
        <color rgb="FF000000"/>
        <rFont val="Calibri"/>
      </rPr>
      <t xml:space="preserve">04/01
</t>
    </r>
    <r>
      <rPr>
        <b/>
        <sz val="14"/>
        <color rgb="FFFF0000"/>
        <rFont val="Calibri"/>
      </rPr>
      <t>3D</t>
    </r>
  </si>
  <si>
    <t>"U3" AFTER WASH
NO CONF COATING, SER #'S, RTV
DEPANEL</t>
  </si>
  <si>
    <t>3/19 - 10:00</t>
  </si>
  <si>
    <t>3/19 - 11:00</t>
  </si>
  <si>
    <t>3/19 - 12:30</t>
  </si>
  <si>
    <r>
      <t xml:space="preserve">clear 8/6
</t>
    </r>
    <r>
      <rPr>
        <b/>
        <strike/>
        <sz val="11"/>
        <color rgb="FF000000"/>
        <rFont val="Calibri"/>
        <family val="2"/>
      </rPr>
      <t>short, due 8/7</t>
    </r>
  </si>
  <si>
    <r>
      <t xml:space="preserve">8/6 - kit clear
8/4 - matl clear
</t>
    </r>
    <r>
      <rPr>
        <b/>
        <strike/>
        <sz val="11"/>
        <color rgb="FF000000"/>
        <rFont val="Calibri"/>
        <family val="2"/>
      </rPr>
      <t>7/23 - short SMT:
y1 &amp; y2 due 7/29
awt Tariff:
U3, L4 &amp; T1
short THT: J6 due 7/28 week</t>
    </r>
  </si>
  <si>
    <t>12/10 - SMT bot done qty 100
8/11 - ok to run, but requires baking
8/7 - awaiting update on when next schedule shipment</t>
  </si>
  <si>
    <t>131630-3par
RONC 128664</t>
  </si>
  <si>
    <r>
      <rPr>
        <b/>
        <sz val="14"/>
        <color rgb="FF000000"/>
        <rFont val="Calibri"/>
      </rPr>
      <t xml:space="preserve">04/01
</t>
    </r>
    <r>
      <rPr>
        <b/>
        <strike/>
        <sz val="14"/>
        <color rgb="FF3C7D22"/>
        <rFont val="Calibri"/>
      </rPr>
      <t>3D</t>
    </r>
  </si>
  <si>
    <r>
      <rPr>
        <b/>
        <sz val="12"/>
        <color rgb="FF000000"/>
        <rFont val="Calibri"/>
      </rPr>
      <t xml:space="preserve">*** PLEASE READ POWERPOINT DOC PRIOR TO RELEASING
***PLEASE ADDRESS ALL ISSUES ON THE POWERPOINT DOC BEFORE RUNNING
</t>
    </r>
    <r>
      <rPr>
        <b/>
        <sz val="11"/>
        <color rgb="FF000000"/>
        <rFont val="Calibri"/>
      </rPr>
      <t>SPLIT SHIPMENT: 
qty 30 on 8/12
qty 200 on 1/30
-	Qty 230? due May 2026
DEPANEL
* SHIP BACK PARTS WITH BOARDS</t>
    </r>
  </si>
  <si>
    <t>12/1 - 6:00</t>
  </si>
  <si>
    <t>1/20 - 7:00</t>
  </si>
  <si>
    <t>1/27 - 11:00</t>
  </si>
  <si>
    <t xml:space="preserve">ODU-NAL (North American Logistics), ODU-USA
</t>
  </si>
  <si>
    <t>INFORM ROBERT BEFORE START</t>
  </si>
  <si>
    <t>DOC REL 7/17</t>
  </si>
  <si>
    <t>7/23</t>
  </si>
  <si>
    <t>robert</t>
  </si>
  <si>
    <r>
      <t xml:space="preserve">clear 3/18
</t>
    </r>
    <r>
      <rPr>
        <b/>
        <strike/>
        <sz val="11"/>
        <color rgb="FF000000"/>
        <rFont val="Calibri"/>
      </rPr>
      <t>short due 3/17</t>
    </r>
  </si>
  <si>
    <t>138563
NEW</t>
  </si>
  <si>
    <t>04/01
10D</t>
  </si>
  <si>
    <t>3/20 - 6:00</t>
  </si>
  <si>
    <t>3/20 - 8:00</t>
  </si>
  <si>
    <t xml:space="preserve">Sealed Air Corporation
</t>
  </si>
  <si>
    <r>
      <t xml:space="preserve">clear 3/24
</t>
    </r>
    <r>
      <rPr>
        <b/>
        <strike/>
        <sz val="11"/>
        <color rgb="FF000000"/>
        <rFont val="Calibri"/>
      </rPr>
      <t>short due 2/13</t>
    </r>
  </si>
  <si>
    <r>
      <t xml:space="preserve">3/24 - kit clear
</t>
    </r>
    <r>
      <rPr>
        <b/>
        <strike/>
        <sz val="11"/>
        <color rgb="FF000000"/>
        <rFont val="Calibri"/>
      </rPr>
      <t>2/3 - short SMT #3 (LC1), no ETA</t>
    </r>
  </si>
  <si>
    <t>137873-1par
NEW</t>
  </si>
  <si>
    <r>
      <rPr>
        <b/>
        <sz val="14"/>
        <color rgb="FF000000"/>
        <rFont val="Calibri"/>
      </rPr>
      <t xml:space="preserve">03/31
</t>
    </r>
    <r>
      <rPr>
        <b/>
        <sz val="14"/>
        <color rgb="FF3C7D22"/>
        <rFont val="Calibri"/>
      </rPr>
      <t>5D</t>
    </r>
  </si>
  <si>
    <r>
      <rPr>
        <b/>
        <sz val="11"/>
        <color rgb="FFFF0000"/>
        <rFont val="Calibri"/>
      </rPr>
      <t>Hot (</t>
    </r>
    <r>
      <rPr>
        <b/>
        <sz val="11"/>
        <color rgb="FF000000"/>
        <rFont val="Calibri"/>
      </rPr>
      <t>do not be late</t>
    </r>
    <r>
      <rPr>
        <b/>
        <sz val="11"/>
        <color rgb="FFFF0000"/>
        <rFont val="Calibri"/>
      </rPr>
      <t xml:space="preserve">)
</t>
    </r>
    <r>
      <rPr>
        <b/>
        <sz val="11"/>
        <color rgb="FF000000"/>
        <rFont val="Calibri"/>
      </rPr>
      <t>split shipment: 
qty 45 bal remain
DEPANEL</t>
    </r>
  </si>
  <si>
    <t>3/26 - 12:00</t>
  </si>
  <si>
    <t>3/26 - 1:30</t>
  </si>
  <si>
    <t>3/26 - 2:30</t>
  </si>
  <si>
    <r>
      <t xml:space="preserve">clear 3/24
</t>
    </r>
    <r>
      <rPr>
        <b/>
        <strike/>
        <sz val="11"/>
        <color rgb="FF000000"/>
        <rFont val="Calibri"/>
      </rPr>
      <t>short, no ETA 3/24</t>
    </r>
  </si>
  <si>
    <t>138414
NEW</t>
  </si>
  <si>
    <t>3/26 - 8:30</t>
  </si>
  <si>
    <t>3/26 - 10:00</t>
  </si>
  <si>
    <t>3/26 - 11:30</t>
  </si>
  <si>
    <r>
      <t xml:space="preserve">clear 3/17
</t>
    </r>
    <r>
      <rPr>
        <b/>
        <strike/>
        <sz val="11"/>
        <color rgb="FF000000"/>
        <rFont val="Calibri"/>
      </rPr>
      <t>short due 3/18</t>
    </r>
  </si>
  <si>
    <t>3/18 - mismatched stencil</t>
  </si>
  <si>
    <t>138406
RONC 136467</t>
  </si>
  <si>
    <t>03/31
10D</t>
  </si>
  <si>
    <t>NO LABELS OR STICKERS ALLOWED ON BOT SIDE
* APPLY CAGE CODE 4GE43  LABEL ON TOP SIDE WHERE SHOWN
DEPANEL</t>
  </si>
  <si>
    <t>3/13
3/31</t>
  </si>
  <si>
    <r>
      <t xml:space="preserve">clear 3/17
</t>
    </r>
    <r>
      <rPr>
        <b/>
        <strike/>
        <sz val="11"/>
        <color rgb="FF000000"/>
        <rFont val="Calibri"/>
      </rPr>
      <t>short, no ETA 3/17</t>
    </r>
  </si>
  <si>
    <r>
      <t xml:space="preserve">3/12 - matl clear
</t>
    </r>
    <r>
      <rPr>
        <b/>
        <strike/>
        <sz val="11"/>
        <color rgb="FF000000"/>
        <rFont val="Calibri"/>
      </rPr>
      <t>3/9 - short SMT U6 (no skip), no ETA
short THT J11, no ETA</t>
    </r>
  </si>
  <si>
    <t>3/23 - line short</t>
  </si>
  <si>
    <t>138137
NEW</t>
  </si>
  <si>
    <r>
      <rPr>
        <b/>
        <sz val="11"/>
        <color rgb="FF000000"/>
        <rFont val="Calibri"/>
      </rPr>
      <t xml:space="preserve">"BQ1" AFTER WASH
"XF5, XF7, XF10" PLACE PER ECO
</t>
    </r>
    <r>
      <rPr>
        <b/>
        <u/>
        <sz val="11"/>
        <color rgb="FF000000"/>
        <rFont val="Calibri"/>
      </rPr>
      <t>install fuses</t>
    </r>
  </si>
  <si>
    <t>3/18 - 6:00</t>
  </si>
  <si>
    <t>3/18 - 2:30</t>
  </si>
  <si>
    <t>3/19 - 8:00</t>
  </si>
  <si>
    <t xml:space="preserve">Blur Development Group
</t>
  </si>
  <si>
    <t>3/9
3/31</t>
  </si>
  <si>
    <r>
      <t xml:space="preserve">clear 3/24
</t>
    </r>
    <r>
      <rPr>
        <b/>
        <strike/>
        <sz val="11"/>
        <color rgb="FF000000"/>
        <rFont val="Calibri"/>
      </rPr>
      <t>short due 3/24
short due soon</t>
    </r>
  </si>
  <si>
    <r>
      <t xml:space="preserve">3/24 - kit clear
</t>
    </r>
    <r>
      <rPr>
        <b/>
        <strike/>
        <sz val="11"/>
        <color rgb="FF000000"/>
        <rFont val="Calibri"/>
      </rPr>
      <t>3/23 - short SMT u12 due 3/24
3/4 - short SMT U12 (confirm skip?), no ETA</t>
    </r>
  </si>
  <si>
    <t>3/17 - R53 is now 10 OHM</t>
  </si>
  <si>
    <t>138324-1PAR
NEW</t>
  </si>
  <si>
    <r>
      <rPr>
        <b/>
        <u/>
        <sz val="12"/>
        <color rgb="FFFF0000"/>
        <rFont val="Calibri"/>
      </rPr>
      <t xml:space="preserve">"U12" PLEASE DO NOT LOSE ANY PARTS - THERE IS NO MORE STOCK AVAILABLE
</t>
    </r>
    <r>
      <rPr>
        <b/>
        <sz val="11"/>
        <color rgb="FF000000"/>
        <rFont val="Calibri"/>
      </rPr>
      <t xml:space="preserve">split shipment: qty 20 BAL remain
</t>
    </r>
    <r>
      <rPr>
        <b/>
        <sz val="12"/>
        <color rgb="FFFF0000"/>
        <rFont val="Calibri"/>
      </rPr>
      <t xml:space="preserve">* MAKE SURE STENCIL IS CLOSED FOR ANY DNI COMPONENTS/PADS PER ECO NOTE 2
</t>
    </r>
    <r>
      <rPr>
        <b/>
        <sz val="11"/>
        <color rgb="FF000000"/>
        <rFont val="Calibri"/>
      </rPr>
      <t>** ALPHA WS-820 REQ PER ECO
"SW1, SW8, SW28" AFTER WASH
DEPANEL &amp; SAND PER ECO
BOARDS MUST BE FREE AND CLEAN OF RESIDUE &amp; DEBRIS
OVERPACK</t>
    </r>
  </si>
  <si>
    <t>3/25 - 4:00</t>
  </si>
  <si>
    <t>FED INTL</t>
  </si>
  <si>
    <t>Qualcomm</t>
  </si>
  <si>
    <t>solder paste reminder
new prog</t>
  </si>
  <si>
    <t>DOC REL 2/23</t>
  </si>
  <si>
    <t>3/4</t>
  </si>
  <si>
    <t>#51 THT TO SMT?</t>
  </si>
  <si>
    <r>
      <t xml:space="preserve">clear 3/24
</t>
    </r>
    <r>
      <rPr>
        <b/>
        <strike/>
        <sz val="11"/>
        <color rgb="FF000000"/>
        <rFont val="Calibri"/>
      </rPr>
      <t>short due 4/1</t>
    </r>
  </si>
  <si>
    <r>
      <t xml:space="preserve">3/26 - kit clear
</t>
    </r>
    <r>
      <rPr>
        <b/>
        <strike/>
        <sz val="11"/>
        <color rgb="FF000000"/>
        <rFont val="Calibri"/>
      </rPr>
      <t>3/24 - short SMT U7 (high qty), due 3/24
short THT C15 &amp; L6 due 3/24</t>
    </r>
  </si>
  <si>
    <t>3/31 - line short #2 (C2)</t>
  </si>
  <si>
    <t>138404-2bal
ROWC 136196</t>
  </si>
  <si>
    <r>
      <rPr>
        <b/>
        <sz val="14"/>
        <color rgb="FF000000"/>
        <rFont val="Calibri"/>
      </rPr>
      <t xml:space="preserve">03/31
</t>
    </r>
    <r>
      <rPr>
        <b/>
        <sz val="14"/>
        <color rgb="FFFF0000"/>
        <rFont val="Calibri"/>
      </rPr>
      <t>3D</t>
    </r>
  </si>
  <si>
    <r>
      <t xml:space="preserve">clear 3/23
</t>
    </r>
    <r>
      <rPr>
        <b/>
        <strike/>
        <sz val="11"/>
        <color rgb="FF000000"/>
        <rFont val="Calibri"/>
      </rPr>
      <t>short due 3/20</t>
    </r>
  </si>
  <si>
    <r>
      <t xml:space="preserve">3/23 - kit clear
</t>
    </r>
    <r>
      <rPr>
        <b/>
        <strike/>
        <sz val="11"/>
        <color rgb="FF000000"/>
        <rFont val="Calibri"/>
      </rPr>
      <t>3/16 - short SMT (U3) no skip, no ETA</t>
    </r>
  </si>
  <si>
    <t>3/26 - STENCIL issue</t>
  </si>
  <si>
    <t>138413
ROWC 121966</t>
  </si>
  <si>
    <r>
      <rPr>
        <b/>
        <sz val="14"/>
        <color rgb="FF000000"/>
        <rFont val="Calibri"/>
      </rPr>
      <t xml:space="preserve">03/30
</t>
    </r>
    <r>
      <rPr>
        <b/>
        <sz val="14"/>
        <color rgb="FF3C7D22"/>
        <rFont val="Calibri"/>
      </rPr>
      <t>5D</t>
    </r>
  </si>
  <si>
    <t>DO NOT SKIP PREBAKE
NO CLEAN PROCESS
"U5" HEAT SINK PAD SHOULD "NOT" BE SOLDERED PER ECO
DEPANEL</t>
  </si>
  <si>
    <t>3/26 - 5:00</t>
  </si>
  <si>
    <t>138422
ROWC 121969</t>
  </si>
  <si>
    <t>3/26 - 8:00</t>
  </si>
  <si>
    <t>3/18</t>
  </si>
  <si>
    <t>138430
ROWC 136212</t>
  </si>
  <si>
    <t>DO SKIP PREbAKE
DEPANEL</t>
  </si>
  <si>
    <t>3/25 - 10:30</t>
  </si>
  <si>
    <t>3/25 - 11:30</t>
  </si>
  <si>
    <t>3/25 - 2:30</t>
  </si>
  <si>
    <r>
      <t xml:space="preserve">3/23 - kit clear
</t>
    </r>
    <r>
      <rPr>
        <b/>
        <strike/>
        <sz val="11"/>
        <color rgb="FF000000"/>
        <rFont val="Calibri"/>
      </rPr>
      <t>3/19 - short THT due 3/23</t>
    </r>
  </si>
  <si>
    <t>138405
NEW</t>
  </si>
  <si>
    <t>T/H ONLY
DEPANEL</t>
  </si>
  <si>
    <r>
      <t xml:space="preserve">clear 3/23
</t>
    </r>
    <r>
      <rPr>
        <b/>
        <strike/>
        <sz val="11"/>
        <color rgb="FF000000"/>
        <rFont val="Calibri"/>
      </rPr>
      <t>balance due 3/23
short due 3/19</t>
    </r>
  </si>
  <si>
    <r>
      <t xml:space="preserve">3/23 - kit clear
</t>
    </r>
    <r>
      <rPr>
        <b/>
        <strike/>
        <sz val="11"/>
        <color rgb="FF000000"/>
        <rFont val="Calibri"/>
      </rPr>
      <t>3/16 - short SMT U3 (qty 27)</t>
    </r>
  </si>
  <si>
    <t>3/16 - run &amp; ship partial (Anne)</t>
  </si>
  <si>
    <t>138412-2bal
ROWC 121961</t>
  </si>
  <si>
    <t>shipped qty 53 on 3/24
DO NOT SKIP PREBAKE
DEPANEL</t>
  </si>
  <si>
    <r>
      <t xml:space="preserve">clear 3/23
</t>
    </r>
    <r>
      <rPr>
        <b/>
        <strike/>
        <sz val="11"/>
        <color rgb="FF000000"/>
        <rFont val="Calibri"/>
      </rPr>
      <t>short, no eta 3/25</t>
    </r>
  </si>
  <si>
    <t>3/23 - matl clear</t>
  </si>
  <si>
    <r>
      <rPr>
        <b/>
        <sz val="11"/>
        <color rgb="FF000000"/>
        <rFont val="Calibri"/>
      </rPr>
      <t>3/23</t>
    </r>
    <r>
      <rPr>
        <b/>
        <sz val="11"/>
        <color rgb="FFFF0000"/>
        <rFont val="Calibri"/>
      </rPr>
      <t xml:space="preserve"> -</t>
    </r>
    <r>
      <rPr>
        <b/>
        <strike/>
        <sz val="11"/>
        <color rgb="FFFF0000"/>
        <rFont val="Calibri"/>
      </rPr>
      <t xml:space="preserve"> new prog; run immedidately</t>
    </r>
  </si>
  <si>
    <r>
      <rPr>
        <b/>
        <sz val="14"/>
        <color rgb="FF000000"/>
        <rFont val="Calibri"/>
      </rPr>
      <t xml:space="preserve">138631
NEW
</t>
    </r>
    <r>
      <rPr>
        <b/>
        <sz val="14"/>
        <color rgb="FFFF0000"/>
        <rFont val="Calibri"/>
      </rPr>
      <t>(ITAR)</t>
    </r>
  </si>
  <si>
    <r>
      <rPr>
        <b/>
        <sz val="11"/>
        <color rgb="FF000000"/>
        <rFont val="Calibri"/>
      </rPr>
      <t xml:space="preserve">MOUNT T/H FLUSH TO PCB
</t>
    </r>
    <r>
      <rPr>
        <b/>
        <u/>
        <sz val="11"/>
        <color rgb="FF000000"/>
        <rFont val="Calibri"/>
      </rPr>
      <t>"C3" STAKING</t>
    </r>
    <r>
      <rPr>
        <b/>
        <sz val="11"/>
        <color rgb="FF000000"/>
        <rFont val="Calibri"/>
      </rPr>
      <t xml:space="preserve"> REQUIRED
ASSY'S TO BE FREE &amp; CLEAN OT DEBIS/CONTAMINANTS</t>
    </r>
  </si>
  <si>
    <t>3/24 - 11:30</t>
  </si>
  <si>
    <t>3/24 - 4:30</t>
  </si>
  <si>
    <t>3/25 - 6:00</t>
  </si>
  <si>
    <t xml:space="preserve">Teledyne Instruments
</t>
  </si>
  <si>
    <r>
      <t xml:space="preserve">clear 3/9
</t>
    </r>
    <r>
      <rPr>
        <b/>
        <strike/>
        <sz val="11"/>
        <color rgb="FF000000"/>
        <rFont val="Calibri"/>
      </rPr>
      <t>short, no ETA</t>
    </r>
  </si>
  <si>
    <t>3/5 - matl clear</t>
  </si>
  <si>
    <r>
      <rPr>
        <b/>
        <sz val="14"/>
        <color rgb="FF000000"/>
        <rFont val="Calibri"/>
      </rPr>
      <t xml:space="preserve">138271
NEW
</t>
    </r>
    <r>
      <rPr>
        <b/>
        <sz val="14"/>
        <color rgb="FFFF0000"/>
        <rFont val="Calibri"/>
      </rPr>
      <t>(ITAR)</t>
    </r>
  </si>
  <si>
    <t>03/30
15D</t>
  </si>
  <si>
    <t>LEADFREE, NO CLEAN
*WASH W/ AQUANOX
DEPANEL
OVERPACK</t>
  </si>
  <si>
    <t>3/11 - 12:00</t>
  </si>
  <si>
    <t>3/12 - 6:00</t>
  </si>
  <si>
    <t>UPS 2DAY BLUE</t>
  </si>
  <si>
    <t xml:space="preserve">Addium Inc.
</t>
  </si>
  <si>
    <t>3/5
3/30</t>
  </si>
  <si>
    <t>3/24 - Hot!
3/27 - BOT (3 MIN PER PANEL)
TOP (5 MIN PER PANEL)</t>
  </si>
  <si>
    <t>138410-1par
NEW</t>
  </si>
  <si>
    <r>
      <rPr>
        <b/>
        <sz val="14"/>
        <color rgb="FF000000"/>
        <rFont val="Calibri"/>
      </rPr>
      <t xml:space="preserve">03/28
</t>
    </r>
    <r>
      <rPr>
        <b/>
        <sz val="14"/>
        <color rgb="FF3C7D22"/>
        <rFont val="Calibri"/>
      </rPr>
      <t>5D</t>
    </r>
  </si>
  <si>
    <r>
      <rPr>
        <b/>
        <sz val="11"/>
        <color rgb="FFFF0000"/>
        <rFont val="Calibri"/>
      </rPr>
      <t>EXPEDITE QTY 20 (SHIP Mon/Sat))</t>
    </r>
    <r>
      <rPr>
        <b/>
        <sz val="11"/>
        <color rgb="FF104861"/>
        <rFont val="Calibri"/>
      </rPr>
      <t xml:space="preserve"> </t>
    </r>
    <r>
      <rPr>
        <b/>
        <sz val="11"/>
        <color rgb="FF000000"/>
        <rFont val="Calibri"/>
      </rPr>
      <t>&amp; 
BAL 60 (LT 10) due 4/9
DO NOT SKIP PREBAKE
"BT1" LEAVE PASTE ON CENTER PAD
"K1, U7" AFTER WASH
DEPANEL</t>
    </r>
  </si>
  <si>
    <t>3/27 - 12:00</t>
  </si>
  <si>
    <t>3/27 - 5:30</t>
  </si>
  <si>
    <r>
      <t xml:space="preserve">clear 3/13
</t>
    </r>
    <r>
      <rPr>
        <b/>
        <strike/>
        <sz val="11"/>
        <color rgb="FF000000"/>
        <rFont val="Calibri"/>
      </rPr>
      <t>short 26 of 50 - 3/12</t>
    </r>
  </si>
  <si>
    <t>3/12 - matl clear</t>
  </si>
  <si>
    <t>138562
NEW</t>
  </si>
  <si>
    <r>
      <rPr>
        <b/>
        <sz val="14"/>
        <color rgb="FF000000"/>
        <rFont val="Calibri"/>
      </rPr>
      <t xml:space="preserve">03/27
</t>
    </r>
    <r>
      <rPr>
        <b/>
        <strike/>
        <sz val="14"/>
        <color rgb="FF000000"/>
        <rFont val="Calibri"/>
      </rPr>
      <t xml:space="preserve">03/24
</t>
    </r>
    <r>
      <rPr>
        <b/>
        <sz val="14"/>
        <color rgb="FF000000"/>
        <rFont val="Calibri"/>
      </rPr>
      <t>10D</t>
    </r>
  </si>
  <si>
    <r>
      <rPr>
        <b/>
        <sz val="11"/>
        <color rgb="FF000000"/>
        <rFont val="Calibri"/>
      </rPr>
      <t xml:space="preserve">DEPANEL
</t>
    </r>
    <r>
      <rPr>
        <b/>
        <u/>
        <sz val="11"/>
        <color rgb="FF000000"/>
        <rFont val="Calibri"/>
      </rPr>
      <t>install plug</t>
    </r>
  </si>
  <si>
    <t>3/17 - 11:00</t>
  </si>
  <si>
    <t>3/17 - 1:30</t>
  </si>
  <si>
    <t>3/18 - 7:30</t>
  </si>
  <si>
    <t>DOC REL 3/10</t>
  </si>
  <si>
    <t>3/12
3/27</t>
  </si>
  <si>
    <r>
      <t xml:space="preserve">clear 3/20
</t>
    </r>
    <r>
      <rPr>
        <b/>
        <strike/>
        <sz val="11"/>
        <color rgb="FF000000"/>
        <rFont val="Calibri"/>
      </rPr>
      <t>short due 3/20</t>
    </r>
  </si>
  <si>
    <t>138796
NEW</t>
  </si>
  <si>
    <r>
      <rPr>
        <b/>
        <sz val="14"/>
        <color rgb="FF000000"/>
        <rFont val="Calibri"/>
      </rPr>
      <t xml:space="preserve">03/27
</t>
    </r>
    <r>
      <rPr>
        <b/>
        <sz val="14"/>
        <color rgb="FF3C7D22"/>
        <rFont val="Calibri"/>
      </rPr>
      <t>5D</t>
    </r>
  </si>
  <si>
    <t>depanel</t>
  </si>
  <si>
    <t>3/21 - 7:00</t>
  </si>
  <si>
    <t>3/23 - 7:00</t>
  </si>
  <si>
    <t xml:space="preserve">Ergotron, Inc.
</t>
  </si>
  <si>
    <r>
      <t xml:space="preserve">clear 3/20
</t>
    </r>
    <r>
      <rPr>
        <b/>
        <strike/>
        <sz val="11"/>
        <color rgb="FF000000"/>
        <rFont val="Calibri"/>
      </rPr>
      <t>SHORT, no ETA 3/20 3/19, ETA 3/4</t>
    </r>
  </si>
  <si>
    <r>
      <t xml:space="preserve">3/13 - matl clear
</t>
    </r>
    <r>
      <rPr>
        <b/>
        <strike/>
        <sz val="11"/>
        <color rgb="FF000000"/>
        <rFont val="Calibri"/>
      </rPr>
      <t>2/18- SHORT C24, U3, L1 and Q3 (SMT) NO ETA</t>
    </r>
  </si>
  <si>
    <t>137864
NEW</t>
  </si>
  <si>
    <t>"SW, L1, L2, U10" AFTER WASH (MOISTURE SENSITIVE)
DEPANEL</t>
  </si>
  <si>
    <t>3/23 - 8:00</t>
  </si>
  <si>
    <t>3/23 - 10:30</t>
  </si>
  <si>
    <t>3/24 - 11:00</t>
  </si>
  <si>
    <t xml:space="preserve">Urban Sky Theory, LLC
</t>
  </si>
  <si>
    <t>DOC REL 2/4</t>
  </si>
  <si>
    <r>
      <t xml:space="preserve">clear 3/20
</t>
    </r>
    <r>
      <rPr>
        <b/>
        <strike/>
        <sz val="11"/>
        <color rgb="FF000000"/>
        <rFont val="Calibri"/>
      </rPr>
      <t>short due 3/20 3/19</t>
    </r>
  </si>
  <si>
    <r>
      <t xml:space="preserve">3/20 - kit clear
</t>
    </r>
    <r>
      <rPr>
        <b/>
        <strike/>
        <sz val="11"/>
        <color rgb="FF000000"/>
        <rFont val="Calibri"/>
      </rPr>
      <t>3/16 - short SMT U2 (no skip)</t>
    </r>
  </si>
  <si>
    <t>3/25 - awt prog file</t>
  </si>
  <si>
    <t>138411
ROWC 121965</t>
  </si>
  <si>
    <t>NO CLEAN PROCESS
DEPANEL</t>
  </si>
  <si>
    <t>3/24 - 12:30</t>
  </si>
  <si>
    <t>3/25 - 3:00</t>
  </si>
  <si>
    <r>
      <t xml:space="preserve">clear 3/24
</t>
    </r>
    <r>
      <rPr>
        <b/>
        <strike/>
        <sz val="11"/>
        <color rgb="FF000000"/>
        <rFont val="Calibri"/>
      </rPr>
      <t>short QTY 1 ETA 3/24
 due 3/19</t>
    </r>
  </si>
  <si>
    <r>
      <t xml:space="preserve">3/19 - matl clear
</t>
    </r>
    <r>
      <rPr>
        <b/>
        <strike/>
        <sz val="11"/>
        <color rgb="FF000000"/>
        <rFont val="Calibri"/>
      </rPr>
      <t>3/13 - short SMT D7, D1 (SMT top side) &amp; Q2, no ETA
short THT J7, no ETA</t>
    </r>
  </si>
  <si>
    <r>
      <rPr>
        <b/>
        <sz val="14"/>
        <color rgb="FF000000"/>
        <rFont val="Calibri"/>
      </rPr>
      <t xml:space="preserve">138392
NEW
</t>
    </r>
    <r>
      <rPr>
        <b/>
        <sz val="14"/>
        <color rgb="FFFF0000"/>
        <rFont val="Calibri"/>
      </rPr>
      <t>(AS9100-ITAR)</t>
    </r>
  </si>
  <si>
    <r>
      <rPr>
        <b/>
        <sz val="14"/>
        <color rgb="FF000000"/>
        <rFont val="Calibri"/>
      </rPr>
      <t xml:space="preserve">03/27
</t>
    </r>
    <r>
      <rPr>
        <b/>
        <sz val="14"/>
        <color rgb="FFFF0000"/>
        <rFont val="Calibri"/>
      </rPr>
      <t>3D</t>
    </r>
  </si>
  <si>
    <t>"J0-J6" PRESS FIT
DEPANEL</t>
  </si>
  <si>
    <t>3/24 - 9:00</t>
  </si>
  <si>
    <t>3/24 - 1:30</t>
  </si>
  <si>
    <t xml:space="preserve">AstroForge, Inc.
</t>
  </si>
  <si>
    <t>PRESS FIT JIGS</t>
  </si>
  <si>
    <t>138436-FA
NEW</t>
  </si>
  <si>
    <r>
      <rPr>
        <b/>
        <sz val="14"/>
        <color rgb="FF000000"/>
        <rFont val="Calibri"/>
      </rPr>
      <t xml:space="preserve">03/26
</t>
    </r>
    <r>
      <rPr>
        <b/>
        <sz val="14"/>
        <color rgb="FFFF0000"/>
        <rFont val="Calibri"/>
      </rPr>
      <t>3D</t>
    </r>
  </si>
  <si>
    <t>depanel
balance qty 120</t>
  </si>
  <si>
    <t>138428
ROWC 131599</t>
  </si>
  <si>
    <r>
      <rPr>
        <b/>
        <sz val="14"/>
        <color rgb="FF000000"/>
        <rFont val="Calibri"/>
      </rPr>
      <t xml:space="preserve">03/26
</t>
    </r>
    <r>
      <rPr>
        <b/>
        <sz val="14"/>
        <color rgb="FF3C7D22"/>
        <rFont val="Calibri"/>
      </rPr>
      <t>5D</t>
    </r>
  </si>
  <si>
    <t>3/20 - kit clear</t>
  </si>
  <si>
    <t>FSU 2</t>
  </si>
  <si>
    <t>138434-FA
ROWC 136213</t>
  </si>
  <si>
    <t>do not skip prebake
NO CLEAN PROCESS
depanel
balance qty 200</t>
  </si>
  <si>
    <r>
      <t xml:space="preserve">clear 3/11
</t>
    </r>
    <r>
      <rPr>
        <b/>
        <strike/>
        <sz val="11"/>
        <color rgb="FF000000"/>
        <rFont val="Calibri"/>
      </rPr>
      <t>short due 3/20</t>
    </r>
  </si>
  <si>
    <r>
      <rPr>
        <b/>
        <sz val="11"/>
        <color rgb="FF000000"/>
        <rFont val="Calibri"/>
      </rPr>
      <t xml:space="preserve">3/10 - matl clear
</t>
    </r>
    <r>
      <rPr>
        <b/>
        <strike/>
        <sz val="11"/>
        <color rgb="FF000000"/>
        <rFont val="Calibri"/>
      </rPr>
      <t>2/25 - short THT Q5 due 3/5</t>
    </r>
  </si>
  <si>
    <t>3/24 - line short
2/23 - START ON DAY 1 OR SOONER - HIGH T/H COUNT</t>
  </si>
  <si>
    <t>138298
RONC 137094</t>
  </si>
  <si>
    <r>
      <rPr>
        <b/>
        <sz val="14"/>
        <color rgb="FF000000"/>
        <rFont val="Calibri"/>
      </rPr>
      <t xml:space="preserve">03/26
</t>
    </r>
    <r>
      <rPr>
        <b/>
        <strike/>
        <sz val="14"/>
        <color rgb="FF000000"/>
        <rFont val="Calibri"/>
      </rPr>
      <t xml:space="preserve">03/25
03/20
</t>
    </r>
    <r>
      <rPr>
        <b/>
        <sz val="14"/>
        <color rgb="FF000000"/>
        <rFont val="Calibri"/>
      </rPr>
      <t>10D</t>
    </r>
  </si>
  <si>
    <r>
      <rPr>
        <b/>
        <u/>
        <sz val="12"/>
        <color rgb="FFFF0000"/>
        <rFont val="Calibri"/>
      </rPr>
      <t xml:space="preserve">*** START ON DAY 1 OR SOONER - HEAVY T/H
</t>
    </r>
    <r>
      <rPr>
        <b/>
        <sz val="11"/>
        <color rgb="FF000000"/>
        <rFont val="Calibri"/>
      </rPr>
      <t xml:space="preserve">DO NOT SKIP PREBAKE
</t>
    </r>
    <r>
      <rPr>
        <b/>
        <u/>
        <sz val="11"/>
        <color rgb="FF000000"/>
        <rFont val="Calibri"/>
      </rPr>
      <t xml:space="preserve">WAKEFIELD THERMAL COMPUND and torque required
POST BAKE 30 MIN
</t>
    </r>
    <r>
      <rPr>
        <b/>
        <sz val="11"/>
        <color rgb="FF000000"/>
        <rFont val="Calibri"/>
      </rPr>
      <t xml:space="preserve">TRIM LEADS - NOT TO EXCEED 0.040"
DEPANEL
</t>
    </r>
    <r>
      <rPr>
        <b/>
        <u/>
        <sz val="11"/>
        <color rgb="FF000000"/>
        <rFont val="Calibri"/>
      </rPr>
      <t>ROHS STAMP REQ</t>
    </r>
    <r>
      <rPr>
        <b/>
        <sz val="11"/>
        <color rgb="FF000000"/>
        <rFont val="Calibri"/>
      </rPr>
      <t xml:space="preserve"> (ECO #13)
"F2, F3" -</t>
    </r>
    <r>
      <rPr>
        <b/>
        <u/>
        <sz val="11"/>
        <color rgb="FF000000"/>
        <rFont val="Calibri"/>
      </rPr>
      <t xml:space="preserve"> INSTALL FUSES</t>
    </r>
    <r>
      <rPr>
        <b/>
        <sz val="11"/>
        <color rgb="FF000000"/>
        <rFont val="Calibri"/>
      </rPr>
      <t xml:space="preserve"> (ECO)</t>
    </r>
  </si>
  <si>
    <t>3/12 - 8:30</t>
  </si>
  <si>
    <t>3/13 - 1:30</t>
  </si>
  <si>
    <t xml:space="preserve">SEALED AIR SHANKLIN
</t>
  </si>
  <si>
    <t>2/25
3/25
(4/3)</t>
  </si>
  <si>
    <t>138432
ROWC 121972</t>
  </si>
  <si>
    <r>
      <rPr>
        <b/>
        <sz val="11"/>
        <color rgb="FF000000"/>
        <rFont val="Calibri"/>
      </rPr>
      <t xml:space="preserve">clear 3/20
</t>
    </r>
    <r>
      <rPr>
        <b/>
        <strike/>
        <sz val="11"/>
        <color rgb="FF000000"/>
        <rFont val="Calibri"/>
      </rPr>
      <t>2/19 - ETA 3/18 3/9
SHORT, NO ETA</t>
    </r>
  </si>
  <si>
    <t xml:space="preserve">2/18-MATERIALS CLEAR
</t>
  </si>
  <si>
    <t>Make sure verify Fab press-fit hole size</t>
  </si>
  <si>
    <t>138215
RONC 136488</t>
  </si>
  <si>
    <r>
      <rPr>
        <b/>
        <sz val="14"/>
        <color rgb="FF000000"/>
        <rFont val="Calibri"/>
      </rPr>
      <t xml:space="preserve">03/25
</t>
    </r>
    <r>
      <rPr>
        <b/>
        <sz val="14"/>
        <color rgb="FFFF0000"/>
        <rFont val="Calibri"/>
      </rPr>
      <t>3D</t>
    </r>
  </si>
  <si>
    <t>CLASS 3
PRESS FIT
DEPANEL
***3/11 - UPDATED SHIPPING ADDRESS PER EMAIL - Diversified Supply
3901 Castle Hayne Rd
Attn: I&amp;C Lab - Mail Code: L-35 NUMAC LAB
Castle Hayne, NC 28429</t>
  </si>
  <si>
    <t>PFIT FIT CHECK</t>
  </si>
  <si>
    <t>pin hole issue</t>
  </si>
  <si>
    <t>#12 THT TO SMT?</t>
  </si>
  <si>
    <t>138429
ROWC 136208</t>
  </si>
  <si>
    <r>
      <rPr>
        <b/>
        <sz val="14"/>
        <color rgb="FF000000"/>
        <rFont val="Calibri"/>
      </rPr>
      <t xml:space="preserve">03/25
</t>
    </r>
    <r>
      <rPr>
        <b/>
        <sz val="14"/>
        <color rgb="FF3C7D22"/>
        <rFont val="Calibri"/>
      </rPr>
      <t>5D</t>
    </r>
  </si>
  <si>
    <t>3/20 - 1:00</t>
  </si>
  <si>
    <r>
      <t xml:space="preserve">clear 3/19
</t>
    </r>
    <r>
      <rPr>
        <b/>
        <strike/>
        <sz val="11"/>
        <color rgb="FF000000"/>
        <rFont val="Calibri"/>
      </rPr>
      <t>received 3/18
short due 3/19</t>
    </r>
  </si>
  <si>
    <t>138423
ROWC 121970</t>
  </si>
  <si>
    <t>138426
NEW</t>
  </si>
  <si>
    <t>DO NOT SKIP PREBAKE
NO CLEAN PROCESS
DEPANEL</t>
  </si>
  <si>
    <r>
      <t xml:space="preserve">clear 3/16
</t>
    </r>
    <r>
      <rPr>
        <b/>
        <strike/>
        <sz val="11"/>
        <color rgb="FF000000"/>
        <rFont val="Calibri"/>
      </rPr>
      <t>short, no ETA 3/13</t>
    </r>
  </si>
  <si>
    <t>3/4 - matl clear</t>
  </si>
  <si>
    <t>137848
NEW</t>
  </si>
  <si>
    <r>
      <rPr>
        <b/>
        <sz val="14"/>
        <color rgb="FF000000"/>
        <rFont val="Calibri"/>
      </rPr>
      <t xml:space="preserve">03/25
</t>
    </r>
    <r>
      <rPr>
        <b/>
        <strike/>
        <sz val="14"/>
        <color rgb="FF000000"/>
        <rFont val="Calibri"/>
      </rPr>
      <t xml:space="preserve">03/26
</t>
    </r>
    <r>
      <rPr>
        <b/>
        <sz val="14"/>
        <color rgb="FF000000"/>
        <rFont val="Calibri"/>
      </rPr>
      <t>10D</t>
    </r>
  </si>
  <si>
    <r>
      <rPr>
        <b/>
        <sz val="11"/>
        <color rgb="FF000000"/>
        <rFont val="Calibri"/>
      </rPr>
      <t xml:space="preserve">DO NOT SKIP PREBAKE
LOW ACID FLUX REQ PER ECO NOTE 10
"SW1" AFTER WASH
*** REQUIRED VERTICAL SOLDER FILL TO BE A MIN OF 75% - NO EXCEPTIONS!!! - SEE ECO NOTE 4
DEPANEL
LABEL ON ASSY AND ON ESD BAGS REQ
</t>
    </r>
    <r>
      <rPr>
        <b/>
        <u/>
        <sz val="11"/>
        <color rgb="FF000000"/>
        <rFont val="Calibri"/>
      </rPr>
      <t xml:space="preserve">INSTALL FUSES </t>
    </r>
    <r>
      <rPr>
        <b/>
        <sz val="11"/>
        <color rgb="FF000000"/>
        <rFont val="Calibri"/>
      </rPr>
      <t>PER ECO NOTE 9</t>
    </r>
  </si>
  <si>
    <t xml:space="preserve">Meso Scale Discovery
</t>
  </si>
  <si>
    <t>3/4
3/30</t>
  </si>
  <si>
    <t>eco board &amp; bag</t>
  </si>
  <si>
    <r>
      <t xml:space="preserve">3/17 - kit clear
</t>
    </r>
    <r>
      <rPr>
        <b/>
        <strike/>
        <sz val="11"/>
        <color rgb="FF000000"/>
        <rFont val="Calibri"/>
      </rPr>
      <t>3/16 - short SMT U3 (qty 27)</t>
    </r>
  </si>
  <si>
    <t>3/18 - mismatched stencil
3/16 - run &amp; ship partial (Anne)</t>
  </si>
  <si>
    <t>138412-1par
ROWC 121961</t>
  </si>
  <si>
    <r>
      <rPr>
        <b/>
        <sz val="14"/>
        <color rgb="FF000000"/>
        <rFont val="Calibri"/>
      </rPr>
      <t xml:space="preserve">03/24
</t>
    </r>
    <r>
      <rPr>
        <b/>
        <sz val="14"/>
        <color rgb="FF3C7D22"/>
        <rFont val="Calibri"/>
      </rPr>
      <t>5D</t>
    </r>
  </si>
  <si>
    <t>split shipment: qty 53 clear
DO NOT SKIP PREBAKE
DEPANEL</t>
  </si>
  <si>
    <t>Hoverfly Technologies, Inc.</t>
  </si>
  <si>
    <t>clear 3/17</t>
  </si>
  <si>
    <r>
      <t xml:space="preserve">3/18 - kit clear
</t>
    </r>
    <r>
      <rPr>
        <b/>
        <strike/>
        <sz val="11"/>
        <color rgb="FF000000"/>
        <rFont val="Calibri"/>
      </rPr>
      <t>3/17 - short THT J1 due 3/18</t>
    </r>
  </si>
  <si>
    <t>138433
RONC 121973</t>
  </si>
  <si>
    <r>
      <rPr>
        <b/>
        <sz val="14"/>
        <color rgb="FF000000"/>
        <rFont val="Calibri"/>
      </rPr>
      <t xml:space="preserve">03/23
</t>
    </r>
    <r>
      <rPr>
        <b/>
        <sz val="14"/>
        <color rgb="FF3C7D22"/>
        <rFont val="Calibri"/>
      </rPr>
      <t>5D</t>
    </r>
  </si>
  <si>
    <t>3/19 - 9:30</t>
  </si>
  <si>
    <t>ON BAG
complete alta</t>
  </si>
  <si>
    <r>
      <t xml:space="preserve">clear 3/12
</t>
    </r>
    <r>
      <rPr>
        <b/>
        <strike/>
        <sz val="11"/>
        <color rgb="FF000000"/>
        <rFont val="Calibri"/>
      </rPr>
      <t>short due 3/12 3/10</t>
    </r>
  </si>
  <si>
    <r>
      <t xml:space="preserve">3/9 - matl clear
</t>
    </r>
    <r>
      <rPr>
        <b/>
        <strike/>
        <sz val="11"/>
        <color rgb="FF000000"/>
        <rFont val="Calibri"/>
      </rPr>
      <t>2/27 - short THT J1, no ETA</t>
    </r>
  </si>
  <si>
    <t>138090
RONC 136904</t>
  </si>
  <si>
    <t>03/23
10D</t>
  </si>
  <si>
    <t>CLASS 3
DEPANEL
daughter boards</t>
  </si>
  <si>
    <t>3/16 - 11:30</t>
  </si>
  <si>
    <t>3/17 - 7:00</t>
  </si>
  <si>
    <t>2/27
3/26</t>
  </si>
  <si>
    <t>ronc in-house</t>
  </si>
  <si>
    <r>
      <t xml:space="preserve">clear 3/11
</t>
    </r>
    <r>
      <rPr>
        <b/>
        <strike/>
        <sz val="11"/>
        <color rgb="FF000000"/>
        <rFont val="Calibri"/>
      </rPr>
      <t>short, due 3/13</t>
    </r>
  </si>
  <si>
    <t>2/24 - matl clear</t>
  </si>
  <si>
    <t>138297
RONC 137093</t>
  </si>
  <si>
    <t>03/20
10D</t>
  </si>
  <si>
    <r>
      <rPr>
        <b/>
        <sz val="11"/>
        <color rgb="FF000000"/>
        <rFont val="Calibri"/>
      </rPr>
      <t xml:space="preserve">TRIM LEADS - NOT TO ECXCEED  0.040
DEPANEL
</t>
    </r>
    <r>
      <rPr>
        <b/>
        <u/>
        <sz val="11"/>
        <color rgb="FF000000"/>
        <rFont val="Calibri"/>
      </rPr>
      <t xml:space="preserve">"ROHS" STAMP REQ </t>
    </r>
    <r>
      <rPr>
        <b/>
        <sz val="11"/>
        <color rgb="FF000000"/>
        <rFont val="Calibri"/>
      </rPr>
      <t>PER ECO</t>
    </r>
  </si>
  <si>
    <t>3/16 - 8:00</t>
  </si>
  <si>
    <t>3/16 - 10:00</t>
  </si>
  <si>
    <t>2/24
3/25</t>
  </si>
  <si>
    <r>
      <t xml:space="preserve">clear 3/4
</t>
    </r>
    <r>
      <rPr>
        <b/>
        <strike/>
        <sz val="11"/>
        <color rgb="FF000000"/>
        <rFont val="Calibri"/>
      </rPr>
      <t>short due 3/11</t>
    </r>
  </si>
  <si>
    <r>
      <t xml:space="preserve">3/4 - kit clear
</t>
    </r>
    <r>
      <rPr>
        <b/>
        <strike/>
        <sz val="11"/>
        <color rgb="FF000000"/>
        <rFont val="Calibri"/>
      </rPr>
      <t>3/2 - short SMT D301 (qty high), due 3/6</t>
    </r>
  </si>
  <si>
    <r>
      <rPr>
        <b/>
        <sz val="14"/>
        <color rgb="FF000000"/>
        <rFont val="Calibri"/>
      </rPr>
      <t xml:space="preserve">138214
RONC 134298
</t>
    </r>
    <r>
      <rPr>
        <b/>
        <sz val="14"/>
        <color rgb="FFFF0000"/>
        <rFont val="Calibri"/>
      </rPr>
      <t>(DoD-ITAR-CUI)</t>
    </r>
  </si>
  <si>
    <t>03/25
20D</t>
  </si>
  <si>
    <t>LEAD WASH</t>
  </si>
  <si>
    <t>3/5 - 12:30</t>
  </si>
  <si>
    <t>3/6 - 6:00</t>
  </si>
  <si>
    <t>3/6 - 8:30</t>
  </si>
  <si>
    <t>3/2
4/1</t>
  </si>
  <si>
    <r>
      <t xml:space="preserve">clear 3/13
</t>
    </r>
    <r>
      <rPr>
        <b/>
        <strike/>
        <sz val="11"/>
        <color rgb="FF000000"/>
        <rFont val="Calibri"/>
      </rPr>
      <t>short due 3/12 3/10</t>
    </r>
  </si>
  <si>
    <t>3/9 - matl clear</t>
  </si>
  <si>
    <t>138509
ROWC 135657</t>
  </si>
  <si>
    <r>
      <rPr>
        <b/>
        <sz val="14"/>
        <color rgb="FF000000"/>
        <rFont val="Calibri"/>
      </rPr>
      <t xml:space="preserve">03/20
</t>
    </r>
    <r>
      <rPr>
        <b/>
        <sz val="14"/>
        <color rgb="FF3C7D22"/>
        <rFont val="Calibri"/>
      </rPr>
      <t>5D</t>
    </r>
  </si>
  <si>
    <r>
      <rPr>
        <b/>
        <sz val="11"/>
        <color rgb="FF000000"/>
        <rFont val="Calibri"/>
      </rPr>
      <t xml:space="preserve">"U16" </t>
    </r>
    <r>
      <rPr>
        <b/>
        <sz val="11"/>
        <color rgb="FFFF0000"/>
        <rFont val="Calibri"/>
      </rPr>
      <t>COVER SENSOR HOLE W/ KAPTON TAPE</t>
    </r>
    <r>
      <rPr>
        <b/>
        <sz val="11"/>
        <color rgb="FF000000"/>
        <rFont val="Calibri"/>
      </rPr>
      <t xml:space="preserve"> PER ECO #3
LEAD PROCESS
DEPANEL</t>
    </r>
  </si>
  <si>
    <t>3/16 - 11:00</t>
  </si>
  <si>
    <t>3/16 - 1:30</t>
  </si>
  <si>
    <t>3/17 - 9:00</t>
  </si>
  <si>
    <t xml:space="preserve">Ocean Aero, Inc.
</t>
  </si>
  <si>
    <t>3/9</t>
  </si>
  <si>
    <t>clear 3/9</t>
  </si>
  <si>
    <r>
      <rPr>
        <b/>
        <sz val="11"/>
        <color rgb="FF000000"/>
        <rFont val="Calibri"/>
      </rPr>
      <t xml:space="preserve">3/16 - kit clear
</t>
    </r>
    <r>
      <rPr>
        <b/>
        <strike/>
        <sz val="11"/>
        <color rgb="FF000000"/>
        <rFont val="Calibri"/>
      </rPr>
      <t>3/11 - short INS1 due 3/18
3/11 - short P1, no ETA
3/9 - short THT many, no ETA</t>
    </r>
  </si>
  <si>
    <t>138506
ROWC 131803</t>
  </si>
  <si>
    <r>
      <rPr>
        <b/>
        <sz val="14"/>
        <color rgb="FF000000"/>
        <rFont val="Calibri"/>
      </rPr>
      <t xml:space="preserve">03/19
</t>
    </r>
    <r>
      <rPr>
        <b/>
        <sz val="14"/>
        <color rgb="FFFF0000"/>
        <rFont val="Calibri"/>
      </rPr>
      <t>3D</t>
    </r>
  </si>
  <si>
    <r>
      <rPr>
        <b/>
        <sz val="11"/>
        <color rgb="FF000000"/>
        <rFont val="Calibri"/>
      </rPr>
      <t xml:space="preserve">"D7" ROTATE (ECO NOTE 2)
* ALL COMPONENTS TO BE MOUNTED FLUSH TO PCB
</t>
    </r>
    <r>
      <rPr>
        <b/>
        <u/>
        <sz val="11"/>
        <color rgb="FF000000"/>
        <rFont val="Calibri"/>
      </rPr>
      <t>MECH W</t>
    </r>
    <r>
      <rPr>
        <b/>
        <sz val="11"/>
        <color rgb="FF000000"/>
        <rFont val="Calibri"/>
      </rPr>
      <t>/ THERMAL PASTE REQ
DEPANEL</t>
    </r>
  </si>
  <si>
    <t>3/9 - 2:30</t>
  </si>
  <si>
    <t>3/10 - 12:00</t>
  </si>
  <si>
    <t>Thermon Heating Systems, Inc</t>
  </si>
  <si>
    <r>
      <t xml:space="preserve">clear 3/11
</t>
    </r>
    <r>
      <rPr>
        <b/>
        <strike/>
        <sz val="11"/>
        <color rgb="FF000000"/>
        <rFont val="Calibri"/>
      </rPr>
      <t>short due 3/6 2/16</t>
    </r>
  </si>
  <si>
    <r>
      <t xml:space="preserve">2/25 - matl clear
</t>
    </r>
    <r>
      <rPr>
        <b/>
        <strike/>
        <sz val="11"/>
        <color rgb="FF000000"/>
        <rFont val="Calibri"/>
      </rPr>
      <t>2/5 - short THT SW, no ETA</t>
    </r>
  </si>
  <si>
    <t>137863
NEW</t>
  </si>
  <si>
    <r>
      <rPr>
        <b/>
        <sz val="14"/>
        <color rgb="FF000000"/>
        <rFont val="Calibri"/>
      </rPr>
      <t xml:space="preserve">03/18
</t>
    </r>
    <r>
      <rPr>
        <b/>
        <sz val="14"/>
        <color rgb="FF3C7D22"/>
        <rFont val="Calibri"/>
      </rPr>
      <t>5D</t>
    </r>
  </si>
  <si>
    <t>"SW" AFTER WASH
DEPANEL</t>
  </si>
  <si>
    <t>3/16 - 6:00</t>
  </si>
  <si>
    <t>2/5</t>
  </si>
  <si>
    <r>
      <t xml:space="preserve">clear 3/12
</t>
    </r>
    <r>
      <rPr>
        <b/>
        <strike/>
        <sz val="11"/>
        <color rgb="FF000000"/>
        <rFont val="Calibri"/>
      </rPr>
      <t>short due 3/11</t>
    </r>
  </si>
  <si>
    <r>
      <t xml:space="preserve">3/12 - kit clear
</t>
    </r>
    <r>
      <rPr>
        <b/>
        <strike/>
        <sz val="11"/>
        <color rgb="FF000000"/>
        <rFont val="Calibri"/>
      </rPr>
      <t>3/10 - short SMT U1 (no skip) due 3/12 3/11</t>
    </r>
  </si>
  <si>
    <t>138643
NEW</t>
  </si>
  <si>
    <t>EXPEDITE ship on 3/18
NO CLEAN PROCESS
DEPANEL</t>
  </si>
  <si>
    <t>3/17 - 8:30</t>
  </si>
  <si>
    <t>3/17 - 9:30</t>
  </si>
  <si>
    <t>3/17 - 10:30</t>
  </si>
  <si>
    <t xml:space="preserve">Hoverfly Technologies Inc
</t>
  </si>
  <si>
    <t>need depanel before placing part</t>
  </si>
  <si>
    <t>3/10</t>
  </si>
  <si>
    <t>need depanel before SMT</t>
  </si>
  <si>
    <r>
      <t xml:space="preserve">clear 3/11
</t>
    </r>
    <r>
      <rPr>
        <b/>
        <strike/>
        <sz val="11"/>
        <color rgb="FF000000"/>
        <rFont val="Calibri"/>
      </rPr>
      <t>short, no ETA
short due 3/9</t>
    </r>
  </si>
  <si>
    <r>
      <t xml:space="preserve">3/12 - kit clear
</t>
    </r>
    <r>
      <rPr>
        <b/>
        <strike/>
        <sz val="11"/>
        <color rgb="FF000000"/>
        <rFont val="Calibri"/>
      </rPr>
      <t>3/11 - short SMT D6 and Z111 due 3/12 or 3/13
3/10 - short SMT 3x line items, no ETA</t>
    </r>
  </si>
  <si>
    <t>135989
NEW</t>
  </si>
  <si>
    <r>
      <rPr>
        <b/>
        <sz val="14"/>
        <color rgb="FF000000"/>
        <rFont val="Calibri"/>
      </rPr>
      <t xml:space="preserve">3/18
</t>
    </r>
    <r>
      <rPr>
        <b/>
        <strike/>
        <sz val="14"/>
        <color rgb="FF000000"/>
        <rFont val="Calibri"/>
      </rPr>
      <t xml:space="preserve">03/19
</t>
    </r>
    <r>
      <rPr>
        <b/>
        <sz val="14"/>
        <color rgb="FF3C7D22"/>
        <rFont val="Calibri"/>
      </rPr>
      <t>5D</t>
    </r>
  </si>
  <si>
    <r>
      <rPr>
        <b/>
        <sz val="11"/>
        <color rgb="FF000000"/>
        <rFont val="Calibri"/>
      </rPr>
      <t xml:space="preserve">DO NOT SKIP PREBAKE
"SW1" AFTER WASH
PRESS FIT REQ
"P23" PRESSFIT THEN HALD SOLDER
</t>
    </r>
    <r>
      <rPr>
        <b/>
        <u/>
        <sz val="11"/>
        <color rgb="FF000000"/>
        <rFont val="Calibri"/>
      </rPr>
      <t>POST BAKE 30 MIN</t>
    </r>
    <r>
      <rPr>
        <b/>
        <sz val="11"/>
        <color rgb="FF000000"/>
        <rFont val="Calibri"/>
      </rPr>
      <t xml:space="preserve"> IF BOARDS ARE WASHED
DEPANEL &amp; SAND</t>
    </r>
  </si>
  <si>
    <r>
      <t xml:space="preserve">clear 3/11
</t>
    </r>
    <r>
      <rPr>
        <b/>
        <strike/>
        <sz val="11"/>
        <color rgb="FF000000"/>
        <rFont val="Calibri"/>
      </rPr>
      <t>recv'd 3/10
3/3 - awt new boards
short qty 16 no ETA
2/19 - ETA 2/20</t>
    </r>
  </si>
  <si>
    <t>2/19 - MATL CLEAR</t>
  </si>
  <si>
    <r>
      <t xml:space="preserve">3/2 - </t>
    </r>
    <r>
      <rPr>
        <b/>
        <strike/>
        <sz val="11"/>
        <color rgb="FF000000"/>
        <rFont val="Calibri"/>
      </rPr>
      <t>pcb delam issues
2/26 - ok to run partial (Anne)</t>
    </r>
  </si>
  <si>
    <t>138131
NEW</t>
  </si>
  <si>
    <r>
      <rPr>
        <b/>
        <sz val="14"/>
        <color rgb="FF000000"/>
        <rFont val="Calibri"/>
      </rPr>
      <t xml:space="preserve">03/18
</t>
    </r>
    <r>
      <rPr>
        <b/>
        <strike/>
        <sz val="14"/>
        <color rgb="FF000000"/>
        <rFont val="Calibri"/>
      </rPr>
      <t xml:space="preserve">03/09
</t>
    </r>
    <r>
      <rPr>
        <b/>
        <sz val="14"/>
        <color rgb="FF3C7D22"/>
        <rFont val="Calibri"/>
      </rPr>
      <t>5D</t>
    </r>
  </si>
  <si>
    <t>LEADFREE WASH
SAC305 REQ FOR SMT &amp; T/H
DISREGARD ASSY NOTE 5
DEPANEL</t>
  </si>
  <si>
    <t>3/12 - 11:30</t>
  </si>
  <si>
    <t>3/12 - 2:30</t>
  </si>
  <si>
    <t xml:space="preserve">Boston Dynamics, Inc.
</t>
  </si>
  <si>
    <t>DOC REL 2/18</t>
  </si>
  <si>
    <t>2/19</t>
  </si>
  <si>
    <t>3/6 - PCB CLEAR</t>
  </si>
  <si>
    <r>
      <t xml:space="preserve">3/12 - kit clear
</t>
    </r>
    <r>
      <rPr>
        <b/>
        <strike/>
        <sz val="11"/>
        <color rgb="FF000000"/>
        <rFont val="Calibri"/>
      </rPr>
      <t>3/12 - short dues 3/12
3/9 - short SMT many, no ETA
3/6 - AUDIT INPROCESS</t>
    </r>
  </si>
  <si>
    <r>
      <rPr>
        <b/>
        <sz val="14"/>
        <color rgb="FF000000"/>
        <rFont val="Calibri"/>
      </rPr>
      <t xml:space="preserve">138609
RONC 133767
</t>
    </r>
    <r>
      <rPr>
        <b/>
        <sz val="14"/>
        <color rgb="FFFF0000"/>
        <rFont val="Calibri"/>
      </rPr>
      <t>(DoD-ITAR-CUI)</t>
    </r>
  </si>
  <si>
    <r>
      <rPr>
        <b/>
        <sz val="14"/>
        <color rgb="FF000000"/>
        <rFont val="Calibri"/>
      </rPr>
      <t xml:space="preserve">03/17
</t>
    </r>
    <r>
      <rPr>
        <b/>
        <sz val="14"/>
        <color rgb="FFFF0000"/>
        <rFont val="Calibri"/>
      </rPr>
      <t>3D</t>
    </r>
  </si>
  <si>
    <r>
      <rPr>
        <b/>
        <sz val="11"/>
        <color rgb="FF000000"/>
        <rFont val="Calibri"/>
      </rPr>
      <t>BTD &amp; MARK #53 (C213)
DPAS Rating: DO-A7
CLASS 3
no additional vendor markings
SAC305 WITH NO CLEAN FLUX
REQUIRED
LEAD FREE WASH PROCESS no clean
Aquanox A4639 clean process (Robert)
WILL NEED TO USE CHEMICAL WASH FOR NO CLEAN
SEE ECO ALTA NOTE PRIOR TO RUNNING - NEED TO MAKE SURE THERE IS ENOUGH ATTRITION FOR "</t>
    </r>
    <r>
      <rPr>
        <b/>
        <u/>
        <sz val="11"/>
        <color rgb="FF000000"/>
        <rFont val="Calibri"/>
      </rPr>
      <t>TP6 &amp; RELATED</t>
    </r>
    <r>
      <rPr>
        <b/>
        <sz val="11"/>
        <color rgb="FF000000"/>
        <rFont val="Calibri"/>
      </rPr>
      <t xml:space="preserve">"
</t>
    </r>
    <r>
      <rPr>
        <b/>
        <u/>
        <sz val="11"/>
        <color rgb="FF000000"/>
        <rFont val="Calibri"/>
      </rPr>
      <t>STAKING REQ</t>
    </r>
    <r>
      <rPr>
        <b/>
        <sz val="11"/>
        <color rgb="FF000000"/>
        <rFont val="Calibri"/>
      </rPr>
      <t xml:space="preserve"> use DP100 (last build)
"J2, J6" HARDWARE AND TORQUE REQ PER ECO
COPIES OF CofC'S REQUIRED IN EACH SHIPPING BOX
***BAG &amp; BOX WITH EXTRA CARE - USE MULTIPLE BOXES</t>
    </r>
  </si>
  <si>
    <t>3/13 - 4:00</t>
  </si>
  <si>
    <t>3/13 - 10:30</t>
  </si>
  <si>
    <t>3/14 - 2:30</t>
  </si>
  <si>
    <t>2B 3T</t>
  </si>
  <si>
    <t xml:space="preserve">John Hopkins University Applied Physics Lab
</t>
  </si>
  <si>
    <t>CARE when washing</t>
  </si>
  <si>
    <t>prev build used DP100</t>
  </si>
  <si>
    <r>
      <t xml:space="preserve">clear 3/11
</t>
    </r>
    <r>
      <rPr>
        <b/>
        <strike/>
        <sz val="11"/>
        <color rgb="FF000000"/>
        <rFont val="Calibri"/>
      </rPr>
      <t>short no eta</t>
    </r>
  </si>
  <si>
    <t>2/6 - matl clear</t>
  </si>
  <si>
    <t>137862
NEW</t>
  </si>
  <si>
    <t>SW place after wash
depanel</t>
  </si>
  <si>
    <t>3/13 - 7:00</t>
  </si>
  <si>
    <t>3/13 - 9:00</t>
  </si>
  <si>
    <t>3/13 - 11:00</t>
  </si>
  <si>
    <t>2/6</t>
  </si>
  <si>
    <t>clear 3/2</t>
  </si>
  <si>
    <r>
      <rPr>
        <b/>
        <sz val="11"/>
        <color rgb="FF000000"/>
        <rFont val="Calibri"/>
      </rPr>
      <t xml:space="preserve">3/10 - kit clear
</t>
    </r>
    <r>
      <rPr>
        <b/>
        <strike/>
        <sz val="11"/>
        <color rgb="FF000000"/>
        <rFont val="Calibri"/>
      </rPr>
      <t>3/2 - short SMT R12, R57A due 3/3+
3/5 - short THT XF01 due 3/4
short THT U25, no ETA</t>
    </r>
  </si>
  <si>
    <t>138480
ROWC 135988</t>
  </si>
  <si>
    <t>03/17
10D</t>
  </si>
  <si>
    <r>
      <rPr>
        <b/>
        <sz val="11"/>
        <color rgb="FF000000"/>
        <rFont val="Calibri"/>
      </rPr>
      <t xml:space="preserve">DO NOT SKIP PREBAKE
"L10" AFTER WASH
PRESS FIT REQ
</t>
    </r>
    <r>
      <rPr>
        <b/>
        <u/>
        <sz val="11"/>
        <color rgb="FF000000"/>
        <rFont val="Calibri"/>
      </rPr>
      <t xml:space="preserve">POST BAKE 30 MIN </t>
    </r>
    <r>
      <rPr>
        <b/>
        <sz val="11"/>
        <color rgb="FF000000"/>
        <rFont val="Calibri"/>
      </rPr>
      <t>IF WASHED
*** DEPANEL PER ECO - 0.5MM TOLERANCE</t>
    </r>
  </si>
  <si>
    <t>3/10 - 11:30</t>
  </si>
  <si>
    <t>3/10 - 1:30</t>
  </si>
  <si>
    <t>3/11 - 5:00</t>
  </si>
  <si>
    <t>3/9 - kit clear (awt files release)</t>
  </si>
  <si>
    <t>3/10 - kit clear email date</t>
  </si>
  <si>
    <r>
      <rPr>
        <b/>
        <sz val="14"/>
        <color rgb="FF000000"/>
        <rFont val="Calibri"/>
      </rPr>
      <t xml:space="preserve">03/17
</t>
    </r>
    <r>
      <rPr>
        <b/>
        <sz val="14"/>
        <color rgb="FF3C7D22"/>
        <rFont val="Calibri"/>
      </rPr>
      <t>5D</t>
    </r>
  </si>
  <si>
    <r>
      <rPr>
        <b/>
        <sz val="11"/>
        <color rgb="FF000000"/>
        <rFont val="Calibri"/>
      </rPr>
      <t xml:space="preserve">"U26, U43, T1, T2, T3," MOISTURE SENSITIVE
DEPANEL
REMOVE ANY TAPE AND/OR P&amp;P TABS
NO DISCERNABLE RESIDUE
</t>
    </r>
    <r>
      <rPr>
        <b/>
        <u/>
        <sz val="11"/>
        <color rgb="FF000000"/>
        <rFont val="Calibri"/>
      </rPr>
      <t>install hardware</t>
    </r>
  </si>
  <si>
    <t>3/11 - 8:00</t>
  </si>
  <si>
    <t>3/11 - 11:30</t>
  </si>
  <si>
    <t>3/12 - 8:00</t>
  </si>
  <si>
    <t xml:space="preserve">Nordson Corporation
</t>
  </si>
  <si>
    <r>
      <t xml:space="preserve">clear 3/5
</t>
    </r>
    <r>
      <rPr>
        <b/>
        <strike/>
        <sz val="11"/>
        <color rgb="FF000000"/>
        <rFont val="Calibri"/>
      </rPr>
      <t>short, no ETA 3/5</t>
    </r>
  </si>
  <si>
    <r>
      <t xml:space="preserve">3/5 - kit clear
</t>
    </r>
    <r>
      <rPr>
        <b/>
        <strike/>
        <sz val="11"/>
        <color rgb="FF000000"/>
        <rFont val="Calibri"/>
      </rPr>
      <t xml:space="preserve">2/27 - short SMT C32 due 3/4, Y1, U24 due 3/5, no ETA
short THT P1, no ETA
</t>
    </r>
    <r>
      <rPr>
        <b/>
        <sz val="11"/>
        <color rgb="FF000000"/>
        <rFont val="Calibri"/>
      </rPr>
      <t>short DP420, no ETA</t>
    </r>
  </si>
  <si>
    <r>
      <rPr>
        <b/>
        <sz val="14"/>
        <color rgb="FF000000"/>
        <rFont val="Calibri"/>
      </rPr>
      <t>138263
ROWC 136507
(</t>
    </r>
    <r>
      <rPr>
        <b/>
        <sz val="14"/>
        <color rgb="FFFF0000"/>
        <rFont val="Calibri"/>
      </rPr>
      <t>DoD-ITAR-CUI</t>
    </r>
    <r>
      <rPr>
        <b/>
        <sz val="14"/>
        <color rgb="FF000000"/>
        <rFont val="Calibri"/>
      </rPr>
      <t>)</t>
    </r>
  </si>
  <si>
    <t>03/16
10D</t>
  </si>
  <si>
    <r>
      <rPr>
        <b/>
        <sz val="11"/>
        <color rgb="FF000000"/>
        <rFont val="Calibri"/>
      </rPr>
      <t xml:space="preserve">DOA7 rating
CLASS 3
NO ADDITIONAL STAMPS
</t>
    </r>
    <r>
      <rPr>
        <b/>
        <sz val="11"/>
        <color rgb="FFFF0000"/>
        <rFont val="Calibri"/>
      </rPr>
      <t xml:space="preserve">*** MUST USE ALHPA OM-340 PER ECO NOTE 9
100% SOLDER PASTE INSP REQ PER ECO - DO NOT HAND PRINT
</t>
    </r>
    <r>
      <rPr>
        <b/>
        <sz val="11"/>
        <color rgb="FF000000"/>
        <rFont val="Calibri"/>
      </rPr>
      <t xml:space="preserve">PRESS FIT - CUST TO SUPPLY FIXTURE
XRAY &amp; SAVE IMAGES
</t>
    </r>
    <r>
      <rPr>
        <b/>
        <u/>
        <sz val="11"/>
        <color rgb="FF000000"/>
        <rFont val="Calibri"/>
      </rPr>
      <t>STAKING W/ DP420
MECH &amp; LOCTITE 242</t>
    </r>
    <r>
      <rPr>
        <b/>
        <sz val="11"/>
        <color rgb="FF000000"/>
        <rFont val="Calibri"/>
      </rPr>
      <t xml:space="preserve"> REQ PER ECO NOTE 16
DEPANEL
OVERPACK
</t>
    </r>
    <r>
      <rPr>
        <b/>
        <u/>
        <sz val="11"/>
        <color rgb="FF000000"/>
        <rFont val="Calibri"/>
      </rPr>
      <t>install hardware</t>
    </r>
  </si>
  <si>
    <t>3/6 - 2:00</t>
  </si>
  <si>
    <t>3/9 - 8:30</t>
  </si>
  <si>
    <t>3/9 - 1:00</t>
  </si>
  <si>
    <t>2/27
3/19</t>
  </si>
  <si>
    <t>prev build had special tools?</t>
  </si>
  <si>
    <t>DO STAKING</t>
  </si>
  <si>
    <r>
      <t xml:space="preserve">clear 3/6
</t>
    </r>
    <r>
      <rPr>
        <b/>
        <strike/>
        <sz val="11"/>
        <color rgb="FF000000"/>
        <rFont val="Calibri"/>
      </rPr>
      <t>short due 3/5</t>
    </r>
  </si>
  <si>
    <r>
      <t xml:space="preserve">3/10 - kit clear
</t>
    </r>
    <r>
      <rPr>
        <b/>
        <strike/>
        <sz val="11"/>
        <color rgb="FF000000"/>
        <rFont val="Calibri"/>
      </rPr>
      <t>3/2 - short SMT many, due 3/9 no ETA
SMT U1 maybe DNI</t>
    </r>
  </si>
  <si>
    <t>138246
NEW</t>
  </si>
  <si>
    <r>
      <rPr>
        <b/>
        <sz val="11"/>
        <color rgb="FF000000"/>
        <rFont val="Calibri"/>
      </rPr>
      <t xml:space="preserve">DNI u1
2/18 - PER REVISED PO - </t>
    </r>
    <r>
      <rPr>
        <b/>
        <u/>
        <sz val="11"/>
        <color rgb="FF000000"/>
        <rFont val="Calibri"/>
      </rPr>
      <t>RECYCLE ALL EXCESS PARTS</t>
    </r>
    <r>
      <rPr>
        <b/>
        <sz val="11"/>
        <color rgb="FF000000"/>
        <rFont val="Calibri"/>
      </rPr>
      <t xml:space="preserve"> - ANY CUST SUPPLIED FIXTURES/TOOLING SEND BACK TO CUST
* NO SOLDER BALLS ALLOWED - PLS CHK B4 SHIPPING</t>
    </r>
  </si>
  <si>
    <t>3/11 - 8:30</t>
  </si>
  <si>
    <t>3/11 - 1:00</t>
  </si>
  <si>
    <t xml:space="preserve">Shield AI
</t>
  </si>
  <si>
    <t>DOC REL 2/28</t>
  </si>
  <si>
    <t>#73 THT to SMT?</t>
  </si>
  <si>
    <r>
      <t xml:space="preserve">clear 3/5
</t>
    </r>
    <r>
      <rPr>
        <b/>
        <strike/>
        <sz val="11"/>
        <color rgb="FF000000"/>
        <rFont val="Calibri"/>
      </rPr>
      <t>short, no ETA</t>
    </r>
  </si>
  <si>
    <r>
      <t xml:space="preserve">3/5 - kit clear
</t>
    </r>
    <r>
      <rPr>
        <b/>
        <strike/>
        <sz val="11"/>
        <color rgb="FF000000"/>
        <rFont val="Calibri"/>
      </rPr>
      <t>3/4 - short SMT U24A &amp; U22A, no ETA</t>
    </r>
  </si>
  <si>
    <r>
      <rPr>
        <b/>
        <sz val="14"/>
        <color rgb="FF000000"/>
        <rFont val="Calibri"/>
      </rPr>
      <t xml:space="preserve">137770
NEW
</t>
    </r>
    <r>
      <rPr>
        <b/>
        <sz val="14"/>
        <color rgb="FFFF0000"/>
        <rFont val="Calibri"/>
      </rPr>
      <t>(DoD-ITAR-CUI)</t>
    </r>
  </si>
  <si>
    <r>
      <rPr>
        <b/>
        <sz val="11"/>
        <color rgb="FF000000"/>
        <rFont val="Calibri"/>
      </rPr>
      <t xml:space="preserve">*** DPAS D0-A7 ***
CLASS 3 - LEADFREE, NO CLEAN
NO VENDOR MARKS/STAMPS ALLOWED
* MUST USE ALPHA OM340 PASTE
SOLDER PASTE INSP REQ - SEE ROBERT BEFORE SMT PRINTING
XRAY &amp; SAVE IMAGES
MECH REQ
</t>
    </r>
    <r>
      <rPr>
        <b/>
        <sz val="12"/>
        <color rgb="FFFF0000"/>
        <rFont val="Calibri"/>
      </rPr>
      <t>*** STAKING W/</t>
    </r>
    <r>
      <rPr>
        <b/>
        <u/>
        <sz val="12"/>
        <color rgb="FFFF0000"/>
        <rFont val="Calibri"/>
      </rPr>
      <t xml:space="preserve"> "DP420NS"</t>
    </r>
    <r>
      <rPr>
        <b/>
        <sz val="12"/>
        <color rgb="FFFF0000"/>
        <rFont val="Calibri"/>
      </rPr>
      <t xml:space="preserve"> REQ
</t>
    </r>
    <r>
      <rPr>
        <b/>
        <sz val="11"/>
        <color rgb="FF000000"/>
        <rFont val="Calibri"/>
      </rPr>
      <t xml:space="preserve">DEPANEL &amp; SAND
OVERPACK + </t>
    </r>
    <r>
      <rPr>
        <b/>
        <u/>
        <sz val="11"/>
        <color rgb="FF000000"/>
        <rFont val="Calibri"/>
      </rPr>
      <t xml:space="preserve">ESD stickers
</t>
    </r>
    <r>
      <rPr>
        <b/>
        <sz val="11"/>
        <color rgb="FF000000"/>
        <rFont val="Calibri"/>
      </rPr>
      <t xml:space="preserve">PO TO APPEAR ON ALL PAPERWORK PER ECO NOTE 2
</t>
    </r>
    <r>
      <rPr>
        <b/>
        <u/>
        <sz val="11"/>
        <color rgb="FF000000"/>
        <rFont val="Calibri"/>
      </rPr>
      <t>install nuts</t>
    </r>
  </si>
  <si>
    <t>3/9 - 5:00</t>
  </si>
  <si>
    <t>3/9 - 6:00</t>
  </si>
  <si>
    <t>3/4
3/19</t>
  </si>
  <si>
    <r>
      <rPr>
        <b/>
        <strike/>
        <sz val="9"/>
        <color rgb="FF000000"/>
        <rFont val="Calibri"/>
      </rPr>
      <t xml:space="preserve">#25 &amp; #26 tht to smt
</t>
    </r>
    <r>
      <rPr>
        <b/>
        <sz val="9"/>
        <color rgb="FF000000"/>
        <rFont val="Calibri"/>
      </rPr>
      <t xml:space="preserve">
DO STAKING</t>
    </r>
  </si>
  <si>
    <t>clear 2/24</t>
  </si>
  <si>
    <r>
      <t xml:space="preserve">2/26 - kit clear
</t>
    </r>
    <r>
      <rPr>
        <b/>
        <strike/>
        <sz val="11"/>
        <color rgb="FF000000"/>
        <rFont val="Calibri"/>
      </rPr>
      <t>2/24 - awt SMT (R3) part conf</t>
    </r>
  </si>
  <si>
    <t>135387
RONC 101399</t>
  </si>
  <si>
    <t>03/16
15D</t>
  </si>
  <si>
    <t>3/6 - 10:00</t>
  </si>
  <si>
    <t>UFI</t>
  </si>
  <si>
    <t>2/24
3/19</t>
  </si>
  <si>
    <t>on bag complete alta</t>
  </si>
  <si>
    <t>no photos</t>
  </si>
  <si>
    <r>
      <t xml:space="preserve">clear 3/6
</t>
    </r>
    <r>
      <rPr>
        <b/>
        <strike/>
        <sz val="11"/>
        <color rgb="FF000000"/>
        <rFont val="Calibri"/>
      </rPr>
      <t>short, no ETA 3/6 3/5</t>
    </r>
  </si>
  <si>
    <t>2/23 - matl clear</t>
  </si>
  <si>
    <t>138200
NEW</t>
  </si>
  <si>
    <t>03/13
10D</t>
  </si>
  <si>
    <r>
      <rPr>
        <b/>
        <u/>
        <sz val="11"/>
        <color rgb="FF000000"/>
        <rFont val="Calibri"/>
      </rPr>
      <t xml:space="preserve">EXPEDITE (SHIP 3/13)
</t>
    </r>
    <r>
      <rPr>
        <b/>
        <sz val="11"/>
        <color rgb="FF000000"/>
        <rFont val="Calibri"/>
      </rPr>
      <t>DO NOT SKIP AOI
"PS1, SW1-SW6" AFTER WASH
DEPANEL
*** OVERPACK</t>
    </r>
  </si>
  <si>
    <t>3/7 - 6:00</t>
  </si>
  <si>
    <t xml:space="preserve">Engenious Design
</t>
  </si>
  <si>
    <t>DOC REL 2/21</t>
  </si>
  <si>
    <t>2/23
3/20</t>
  </si>
  <si>
    <r>
      <t>12/3 recvd' s</t>
    </r>
    <r>
      <rPr>
        <b/>
        <strike/>
        <sz val="11"/>
        <color rgb="FF000000"/>
        <rFont val="Calibri"/>
        <family val="2"/>
      </rPr>
      <t>hort due 12/17</t>
    </r>
  </si>
  <si>
    <r>
      <rPr>
        <b/>
        <sz val="11"/>
        <color rgb="FF000000"/>
        <rFont val="Calibri"/>
      </rPr>
      <t xml:space="preserve">3/10 - kit clear
</t>
    </r>
    <r>
      <rPr>
        <b/>
        <strike/>
        <sz val="11"/>
        <color rgb="FF000000"/>
        <rFont val="Calibri"/>
      </rPr>
      <t>11/25 - short THT J1, no ETA</t>
    </r>
  </si>
  <si>
    <t>12/3 - SMT CLEAR</t>
  </si>
  <si>
    <r>
      <rPr>
        <b/>
        <sz val="14"/>
        <color rgb="FF000000"/>
        <rFont val="Calibri"/>
      </rPr>
      <t xml:space="preserve">136861-2PAR
RONC 136319
</t>
    </r>
    <r>
      <rPr>
        <b/>
        <sz val="14"/>
        <color rgb="FFFF0000"/>
        <rFont val="Calibri"/>
      </rPr>
      <t>(AS9100-CUI/ ITAR)</t>
    </r>
  </si>
  <si>
    <r>
      <t xml:space="preserve">03/16
</t>
    </r>
    <r>
      <rPr>
        <b/>
        <strike/>
        <sz val="14"/>
        <color rgb="FF000000"/>
        <rFont val="Calibri"/>
      </rPr>
      <t>20D</t>
    </r>
  </si>
  <si>
    <r>
      <rPr>
        <b/>
        <sz val="11"/>
        <color rgb="FF000000"/>
        <rFont val="Calibri"/>
      </rPr>
      <t xml:space="preserve">must ship on 3/16
prev ship qty 32 on 2/10
photos: B133551
prev build: PCB missing mousebite
CLASS 3
DO NOT SKIP AOI
LEAD-FREE WASH
SEE ECO NOTE 4 FOR SOLDERING WORKMANSHIP
XRAY &amp; SAVE IMAGES
TAD DEPANEL
AS9100 FAIR REQ
</t>
    </r>
    <r>
      <rPr>
        <b/>
        <u/>
        <sz val="11"/>
        <color rgb="FF000000"/>
        <rFont val="Calibri"/>
      </rPr>
      <t>install nuts &amp; rings</t>
    </r>
  </si>
  <si>
    <t>12/10 - 7:30</t>
  </si>
  <si>
    <t>12/10 - 9:30</t>
  </si>
  <si>
    <t>DOC REL 11/19</t>
  </si>
  <si>
    <t>11/25</t>
  </si>
  <si>
    <t>ronc
uploaded
B133551</t>
  </si>
  <si>
    <r>
      <t xml:space="preserve">clear 3/4 </t>
    </r>
    <r>
      <rPr>
        <b/>
        <strike/>
        <sz val="11"/>
        <color rgb="FF000000"/>
        <rFont val="Calibri"/>
      </rPr>
      <t>short due 3/3 3/10</t>
    </r>
  </si>
  <si>
    <t>3/2 -  matl clear</t>
  </si>
  <si>
    <t>138257
NEW</t>
  </si>
  <si>
    <t>T/H ONLY
READ Varex Imaging Document 20001349.PDF FOR CUST WORKMANSHIP REQUIREMENTS
DEPANEL
CofC MUST INCL ROHS</t>
  </si>
  <si>
    <t xml:space="preserve">Varex Imaging Corporation
</t>
  </si>
  <si>
    <t>3/2
3/18</t>
  </si>
  <si>
    <r>
      <t xml:space="preserve">clear 3/6
</t>
    </r>
    <r>
      <rPr>
        <b/>
        <strike/>
        <sz val="11"/>
        <color rgb="FF000000"/>
        <rFont val="Calibri"/>
      </rPr>
      <t>short, no ETA 3/9</t>
    </r>
  </si>
  <si>
    <r>
      <t xml:space="preserve">3/9 - kit clear
</t>
    </r>
    <r>
      <rPr>
        <b/>
        <strike/>
        <sz val="11"/>
        <color rgb="FF000000"/>
        <rFont val="Calibri"/>
      </rPr>
      <t>3/6 - short SMT C24 (skip)
3/3 - shortages due 3/5 - 3/9
3/3 - short SMT U10 &amp; C24, no ETA
short THT J6, no ETA</t>
    </r>
  </si>
  <si>
    <t>138578
ROWC 137253</t>
  </si>
  <si>
    <r>
      <rPr>
        <b/>
        <sz val="14"/>
        <color rgb="FF000000"/>
        <rFont val="Calibri"/>
      </rPr>
      <t xml:space="preserve">03/16
</t>
    </r>
    <r>
      <rPr>
        <b/>
        <sz val="14"/>
        <color rgb="FF3C7D22"/>
        <rFont val="Calibri"/>
      </rPr>
      <t>5D</t>
    </r>
  </si>
  <si>
    <t>DO NOT SKIP PREBAKE
*** USE Sn96.5 Ag3.0 Cu0.5  ONLY
SEE ECO FOR CofC
DEPANEL
OVERPACK</t>
  </si>
  <si>
    <t>3/10 - 6:00</t>
  </si>
  <si>
    <t>3/10 - 8:00</t>
  </si>
  <si>
    <t xml:space="preserve">Packet Digital
</t>
  </si>
  <si>
    <t>3/3</t>
  </si>
  <si>
    <t>clear 3/4</t>
  </si>
  <si>
    <t>3/4 - kit clear</t>
  </si>
  <si>
    <t>3/6 - incorrect stencil</t>
  </si>
  <si>
    <r>
      <rPr>
        <b/>
        <sz val="14"/>
        <color rgb="FF000000"/>
        <rFont val="Calibri"/>
      </rPr>
      <t xml:space="preserve">138241
NEW
</t>
    </r>
    <r>
      <rPr>
        <b/>
        <sz val="14"/>
        <color rgb="FFFF0000"/>
        <rFont val="Calibri"/>
      </rPr>
      <t>(ITAR)</t>
    </r>
  </si>
  <si>
    <t>LEADFREE WASH
OVERPACK</t>
  </si>
  <si>
    <t>3/12 - 7:00</t>
  </si>
  <si>
    <t>Addium Inc.</t>
  </si>
  <si>
    <t>3/4
3/18</t>
  </si>
  <si>
    <r>
      <t xml:space="preserve">clear 2/26
</t>
    </r>
    <r>
      <rPr>
        <b/>
        <strike/>
        <sz val="11"/>
        <color rgb="FF000000"/>
        <rFont val="Calibri"/>
      </rPr>
      <t>SHORT, ETA 03/4</t>
    </r>
  </si>
  <si>
    <r>
      <t xml:space="preserve">2/23 - matl clear
</t>
    </r>
    <r>
      <rPr>
        <b/>
        <strike/>
        <sz val="11"/>
        <color rgb="FF000000"/>
        <rFont val="Calibri"/>
      </rPr>
      <t>2/18-SHORT U21, U2, H1 (SMT), U10 (TH) WITH NO ETA</t>
    </r>
  </si>
  <si>
    <t>138133
ROWC 134863</t>
  </si>
  <si>
    <r>
      <rPr>
        <b/>
        <sz val="14"/>
        <color rgb="FF000000"/>
        <rFont val="Calibri"/>
      </rPr>
      <t xml:space="preserve">03/13
</t>
    </r>
    <r>
      <rPr>
        <b/>
        <strike/>
        <sz val="14"/>
        <color rgb="FF000000"/>
        <rFont val="Calibri"/>
      </rPr>
      <t xml:space="preserve">03/12
</t>
    </r>
    <r>
      <rPr>
        <b/>
        <sz val="14"/>
        <color rgb="FF000000"/>
        <rFont val="Calibri"/>
      </rPr>
      <t>15D</t>
    </r>
  </si>
  <si>
    <r>
      <rPr>
        <b/>
        <sz val="11"/>
        <color rgb="FF000000"/>
        <rFont val="Calibri"/>
      </rPr>
      <t xml:space="preserve">"XF1, </t>
    </r>
    <r>
      <rPr>
        <b/>
        <u/>
        <sz val="11"/>
        <color rgb="FF000000"/>
        <rFont val="Calibri"/>
      </rPr>
      <t>F1</t>
    </r>
    <r>
      <rPr>
        <b/>
        <sz val="11"/>
        <color rgb="FF000000"/>
        <rFont val="Calibri"/>
      </rPr>
      <t xml:space="preserve">" INSTALL PER ECO
"J7, J8, J12, J13" INSTALL PER ECO
DEPANEL
</t>
    </r>
    <r>
      <rPr>
        <b/>
        <u/>
        <sz val="11"/>
        <color rgb="FF000000"/>
        <rFont val="Calibri"/>
      </rPr>
      <t>install Teensy U10</t>
    </r>
  </si>
  <si>
    <t xml:space="preserve">Droplet Measurement Technologies
</t>
  </si>
  <si>
    <t>DOC REL 2/11</t>
  </si>
  <si>
    <t>2/18
3/19</t>
  </si>
  <si>
    <r>
      <t xml:space="preserve">clear 2/17
</t>
    </r>
    <r>
      <rPr>
        <b/>
        <strike/>
        <sz val="11"/>
        <color rgb="FF000000"/>
        <rFont val="Calibri"/>
      </rPr>
      <t>short due 2/19</t>
    </r>
  </si>
  <si>
    <r>
      <t xml:space="preserve">2/17 - matl clear
</t>
    </r>
    <r>
      <rPr>
        <b/>
        <strike/>
        <sz val="11"/>
        <color rgb="FF000000"/>
        <rFont val="Calibri"/>
      </rPr>
      <t>2/12 - awt SMT S1 part conf</t>
    </r>
  </si>
  <si>
    <r>
      <rPr>
        <b/>
        <sz val="11"/>
        <color rgb="FF000000"/>
        <rFont val="Calibri"/>
      </rPr>
      <t xml:space="preserve">3/5 - short S1 for qty 45 boards
3/2 - part shortage S1 x104 </t>
    </r>
    <r>
      <rPr>
        <b/>
        <strike/>
        <sz val="11"/>
        <color rgb="FF000000"/>
        <rFont val="Calibri"/>
      </rPr>
      <t>x2</t>
    </r>
  </si>
  <si>
    <t>137377-2bal
NEW</t>
  </si>
  <si>
    <r>
      <rPr>
        <b/>
        <sz val="14"/>
        <color rgb="FF000000"/>
        <rFont val="Calibri"/>
      </rPr>
      <t xml:space="preserve">???
</t>
    </r>
    <r>
      <rPr>
        <b/>
        <strike/>
        <sz val="14"/>
        <color rgb="FF000000"/>
        <rFont val="Calibri"/>
      </rPr>
      <t xml:space="preserve">03/05
03/03
</t>
    </r>
    <r>
      <rPr>
        <b/>
        <sz val="14"/>
        <color rgb="FF000000"/>
        <rFont val="Calibri"/>
      </rPr>
      <t>10D</t>
    </r>
  </si>
  <si>
    <t>shipped qty 205 on 3/5
Depanel</t>
  </si>
  <si>
    <t>2/26 - 8:00</t>
  </si>
  <si>
    <t>3/2 - 10:30</t>
  </si>
  <si>
    <t>depanel before SMT; notify Robert</t>
  </si>
  <si>
    <t>2/12
3/4</t>
  </si>
  <si>
    <r>
      <t xml:space="preserve">clear 3/11
</t>
    </r>
    <r>
      <rPr>
        <b/>
        <strike/>
        <sz val="11"/>
        <color rgb="FF000000"/>
        <rFont val="Calibri"/>
      </rPr>
      <t>short due 3/10
clear 1/28
short ETA 1/28  1/23</t>
    </r>
  </si>
  <si>
    <r>
      <t xml:space="preserve">3/2 - kit clear
</t>
    </r>
    <r>
      <rPr>
        <b/>
        <strike/>
        <sz val="11"/>
        <color rgb="FF000000"/>
        <rFont val="Calibri"/>
      </rPr>
      <t>2/26 - Short SMT LED due 2/27 or 3/2
1/20 - short SMT EN_G, EN_R &amp; EN_B, no ETA</t>
    </r>
  </si>
  <si>
    <r>
      <rPr>
        <b/>
        <sz val="11"/>
        <color rgb="FF000000"/>
        <rFont val="Calibri"/>
      </rPr>
      <t xml:space="preserve">3/3 - remake
3/2 - </t>
    </r>
    <r>
      <rPr>
        <b/>
        <strike/>
        <sz val="11"/>
        <color rgb="FF000000"/>
        <rFont val="Calibri"/>
      </rPr>
      <t xml:space="preserve">delam; </t>
    </r>
    <r>
      <rPr>
        <b/>
        <strike/>
        <sz val="11"/>
        <color rgb="FFFF0000"/>
        <rFont val="Calibri"/>
      </rPr>
      <t xml:space="preserve">ON HOLD
</t>
    </r>
    <r>
      <rPr>
        <b/>
        <strike/>
        <sz val="11"/>
        <color rgb="FF000000"/>
        <rFont val="Calibri"/>
      </rPr>
      <t>2/24 - extra time alloted + 24 hour bake for flex boards</t>
    </r>
  </si>
  <si>
    <r>
      <rPr>
        <b/>
        <sz val="14"/>
        <color rgb="FF000000"/>
        <rFont val="Calibri"/>
      </rPr>
      <t xml:space="preserve">137593
NEW
</t>
    </r>
    <r>
      <rPr>
        <b/>
        <sz val="14"/>
        <color rgb="FFFF0000"/>
        <rFont val="Calibri"/>
      </rPr>
      <t>(AS9100-ITAR-CUI)</t>
    </r>
  </si>
  <si>
    <r>
      <rPr>
        <b/>
        <sz val="14"/>
        <color rgb="FF000000"/>
        <rFont val="Calibri"/>
      </rPr>
      <t xml:space="preserve">03/12
</t>
    </r>
    <r>
      <rPr>
        <b/>
        <strike/>
        <sz val="14"/>
        <color rgb="FF000000"/>
        <rFont val="Calibri"/>
      </rPr>
      <t xml:space="preserve">03/02
</t>
    </r>
    <r>
      <rPr>
        <b/>
        <sz val="14"/>
        <color rgb="FFFF0000"/>
        <rFont val="Calibri"/>
      </rPr>
      <t>1D</t>
    </r>
  </si>
  <si>
    <r>
      <rPr>
        <b/>
        <sz val="11"/>
        <color rgb="FF000000"/>
        <rFont val="Calibri"/>
      </rPr>
      <t xml:space="preserve">AS9102 FAIR REQ
CLASS 3
AOI REQUIRED
lead-free no-clean
</t>
    </r>
    <r>
      <rPr>
        <b/>
        <strike/>
        <sz val="11"/>
        <color rgb="FF000000"/>
        <rFont val="Calibri"/>
      </rPr>
      <t xml:space="preserve">"EN_ABLE, MOUSE" AFTER WASH
</t>
    </r>
    <r>
      <rPr>
        <b/>
        <sz val="11"/>
        <color rgb="FF000000"/>
        <rFont val="Calibri"/>
      </rPr>
      <t>XRAY &amp; SAVE IMAGES
no Clean boards (Cust Drawing)</t>
    </r>
  </si>
  <si>
    <t>3/12 - 9:00</t>
  </si>
  <si>
    <t>3/12 - 1:30</t>
  </si>
  <si>
    <t>FLEX BOARD
Notify Robert before start
solder paste change</t>
  </si>
  <si>
    <t>DOC REL 1/19</t>
  </si>
  <si>
    <t>1/20</t>
  </si>
  <si>
    <t>no label</t>
  </si>
  <si>
    <r>
      <rPr>
        <b/>
        <sz val="9"/>
        <color rgb="FF000000"/>
        <rFont val="Calibri"/>
        <family val="2"/>
      </rPr>
      <t xml:space="preserve">ROL 0
</t>
    </r>
    <r>
      <rPr>
        <b/>
        <strike/>
        <sz val="9"/>
        <color rgb="FF000000"/>
        <rFont val="Calibri"/>
        <family val="2"/>
      </rPr>
      <t>conf coating</t>
    </r>
  </si>
  <si>
    <t>3/10 - kit clear EMAIL date</t>
  </si>
  <si>
    <r>
      <rPr>
        <b/>
        <sz val="14"/>
        <color rgb="FF000000"/>
        <rFont val="Calibri"/>
      </rPr>
      <t xml:space="preserve">03/12
</t>
    </r>
    <r>
      <rPr>
        <b/>
        <sz val="14"/>
        <color rgb="FFFF0000"/>
        <rFont val="Calibri"/>
      </rPr>
      <t>2D</t>
    </r>
  </si>
  <si>
    <t>After Wash - L1
X2 - X6: Installed flat/flush to PCB
No discernable residue
Remove pick-n-place tabs/stickers</t>
  </si>
  <si>
    <t>3/10 - 2:30</t>
  </si>
  <si>
    <t>uploaded</t>
  </si>
  <si>
    <r>
      <t xml:space="preserve">clear 3/2
</t>
    </r>
    <r>
      <rPr>
        <b/>
        <strike/>
        <sz val="11"/>
        <color rgb="FF000000"/>
        <rFont val="Calibri"/>
      </rPr>
      <t>short due 2/26</t>
    </r>
  </si>
  <si>
    <r>
      <rPr>
        <b/>
        <sz val="14"/>
        <color rgb="FF000000"/>
        <rFont val="Calibri"/>
      </rPr>
      <t xml:space="preserve">138020
NEW
</t>
    </r>
    <r>
      <rPr>
        <b/>
        <sz val="14"/>
        <color rgb="FFFF0000"/>
        <rFont val="Calibri"/>
      </rPr>
      <t>(ITAR)</t>
    </r>
  </si>
  <si>
    <t>03/11
10D</t>
  </si>
  <si>
    <r>
      <rPr>
        <b/>
        <sz val="11"/>
        <color rgb="FF000000"/>
        <rFont val="Calibri"/>
      </rPr>
      <t xml:space="preserve">LEAD PROCESS
CLASS 3
</t>
    </r>
    <r>
      <rPr>
        <b/>
        <u/>
        <sz val="11"/>
        <color rgb="FF000000"/>
        <rFont val="Calibri"/>
      </rPr>
      <t xml:space="preserve">install </t>
    </r>
    <r>
      <rPr>
        <b/>
        <sz val="11"/>
        <color rgb="FF000000"/>
        <rFont val="Calibri"/>
      </rPr>
      <t>SUPP_ORT1, SUPP_ORT2</t>
    </r>
  </si>
  <si>
    <t>3/5 - 10:00</t>
  </si>
  <si>
    <t>3/5 - 11:00</t>
  </si>
  <si>
    <t xml:space="preserve">New Potato Technologies
</t>
  </si>
  <si>
    <t>DOC REL 2/20</t>
  </si>
  <si>
    <t>2/23
3/16</t>
  </si>
  <si>
    <r>
      <t xml:space="preserve">clear 3/2
</t>
    </r>
    <r>
      <rPr>
        <b/>
        <strike/>
        <sz val="11"/>
        <color rgb="FF000000"/>
        <rFont val="Calibri"/>
      </rPr>
      <t>short due 3/2</t>
    </r>
  </si>
  <si>
    <r>
      <t xml:space="preserve">2/26 - matl clear
</t>
    </r>
    <r>
      <rPr>
        <b/>
        <strike/>
        <sz val="11"/>
        <color rgb="FF000000"/>
        <rFont val="Calibri"/>
      </rPr>
      <t>2/25 - short SMT many due 2/26 to 2/27</t>
    </r>
  </si>
  <si>
    <t>138091
RONC 136905</t>
  </si>
  <si>
    <t>3/5 - 8:00</t>
  </si>
  <si>
    <t>3/5 - 9:00</t>
  </si>
  <si>
    <t>2/25
3/16</t>
  </si>
  <si>
    <t>no shipping photos</t>
  </si>
  <si>
    <r>
      <t xml:space="preserve">clear 2/12
</t>
    </r>
    <r>
      <rPr>
        <b/>
        <strike/>
        <sz val="11"/>
        <color rgb="FF000000"/>
        <rFont val="Calibri"/>
      </rPr>
      <t>short due 2/17</t>
    </r>
  </si>
  <si>
    <r>
      <t xml:space="preserve">2/11 - matl clear
</t>
    </r>
    <r>
      <rPr>
        <b/>
        <strike/>
        <sz val="11"/>
        <color rgb="FF000000"/>
        <rFont val="Calibri"/>
      </rPr>
      <t>2/6 - short SMT MH5 due 2/15
short SMT D13, no ETA
short THT B1 due 2/17</t>
    </r>
  </si>
  <si>
    <t>2/17 - U1 does not fit. 20 boards on bot ran</t>
  </si>
  <si>
    <t>137829
NEW
(ITAR)</t>
  </si>
  <si>
    <r>
      <rPr>
        <b/>
        <sz val="14"/>
        <color rgb="FF000000"/>
        <rFont val="Calibri"/>
      </rPr>
      <t xml:space="preserve">03/11
</t>
    </r>
    <r>
      <rPr>
        <b/>
        <strike/>
        <sz val="14"/>
        <color rgb="FF000000"/>
        <rFont val="Calibri"/>
      </rPr>
      <t xml:space="preserve">02/24
</t>
    </r>
    <r>
      <rPr>
        <b/>
        <sz val="14"/>
        <color rgb="FF000000"/>
        <rFont val="Calibri"/>
      </rPr>
      <t>10D</t>
    </r>
  </si>
  <si>
    <t xml:space="preserve">received new UI
SW1 after wash
Do not stack </t>
  </si>
  <si>
    <t>2/20 - 8:00</t>
  </si>
  <si>
    <t>2/20 - 11:30</t>
  </si>
  <si>
    <t>2/23 - 7:00</t>
  </si>
  <si>
    <r>
      <rPr>
        <b/>
        <sz val="11"/>
        <color rgb="FF000000"/>
        <rFont val="Calibri"/>
      </rPr>
      <t xml:space="preserve">UPS RED  </t>
    </r>
    <r>
      <rPr>
        <b/>
        <strike/>
        <sz val="11"/>
        <color rgb="FF000000"/>
        <rFont val="Calibri"/>
      </rPr>
      <t>blue</t>
    </r>
  </si>
  <si>
    <t>DOC REL 2/5</t>
  </si>
  <si>
    <t>2/6
2/27</t>
  </si>
  <si>
    <r>
      <t xml:space="preserve">clear 3/10
</t>
    </r>
    <r>
      <rPr>
        <b/>
        <strike/>
        <sz val="11"/>
        <color rgb="FF000000"/>
        <rFont val="Calibri"/>
      </rPr>
      <t>short due 3/9</t>
    </r>
  </si>
  <si>
    <r>
      <rPr>
        <b/>
        <sz val="14"/>
        <color rgb="FF000000"/>
        <rFont val="Calibri"/>
      </rPr>
      <t xml:space="preserve">138677
NEW
</t>
    </r>
    <r>
      <rPr>
        <b/>
        <sz val="14"/>
        <color rgb="FFFF0000"/>
        <rFont val="Calibri"/>
      </rPr>
      <t>(ITAR)</t>
    </r>
  </si>
  <si>
    <r>
      <rPr>
        <b/>
        <sz val="14"/>
        <color rgb="FF000000"/>
        <rFont val="Calibri"/>
      </rPr>
      <t xml:space="preserve">03/11
</t>
    </r>
    <r>
      <rPr>
        <b/>
        <sz val="14"/>
        <color rgb="FFFF0000"/>
        <rFont val="Calibri"/>
      </rPr>
      <t>1D</t>
    </r>
  </si>
  <si>
    <t>"J1" SEE ECO FOR PLACEMENT
DEPANEL</t>
  </si>
  <si>
    <t>3/11 - 4:00</t>
  </si>
  <si>
    <t xml:space="preserve">Rocky Research
</t>
  </si>
  <si>
    <r>
      <t xml:space="preserve">clear 2/27
</t>
    </r>
    <r>
      <rPr>
        <b/>
        <strike/>
        <sz val="11"/>
        <color rgb="FF000000"/>
        <rFont val="Calibri"/>
      </rPr>
      <t>2/19 - ETA 2/27
SHORT, NO ETA</t>
    </r>
  </si>
  <si>
    <r>
      <t xml:space="preserve">2/26 - matl clear
</t>
    </r>
    <r>
      <rPr>
        <b/>
        <strike/>
        <sz val="11"/>
        <color rgb="FF000000"/>
        <rFont val="Calibri"/>
      </rPr>
      <t>2/13-SHORT some M1 (SMT), no ETA</t>
    </r>
  </si>
  <si>
    <t>138070
ROWC 124259</t>
  </si>
  <si>
    <t>03/10
10D</t>
  </si>
  <si>
    <t>DO NOT SKIP PREBAKE
"J6" AFTER WASH
DE3PANEL</t>
  </si>
  <si>
    <t>3/4 - 10:00</t>
  </si>
  <si>
    <t>3/4 - 12:00</t>
  </si>
  <si>
    <t xml:space="preserve">Graph-Tech USA, LLC
</t>
  </si>
  <si>
    <t>2/13
3/13</t>
  </si>
  <si>
    <t>dni to install uploaded</t>
  </si>
  <si>
    <r>
      <t xml:space="preserve">clear 2/28
</t>
    </r>
    <r>
      <rPr>
        <b/>
        <strike/>
        <sz val="11"/>
        <color rgb="FF000000"/>
        <rFont val="Calibri"/>
      </rPr>
      <t>short due 3/9</t>
    </r>
  </si>
  <si>
    <t>137922
ROWC 131002</t>
  </si>
  <si>
    <t>T/H ONLY
"LED1-LED5" SEE ECO FOR INSTALLATION
DEPANEL
INSTALL FUSES</t>
  </si>
  <si>
    <t xml:space="preserve">Bruker Nano, RMR (FKA RAVE LLC)
</t>
  </si>
  <si>
    <t>2/23
3/13</t>
  </si>
  <si>
    <r>
      <t xml:space="preserve">clear 2/27
</t>
    </r>
    <r>
      <rPr>
        <b/>
        <strike/>
        <sz val="11"/>
        <color rgb="FF000000"/>
        <rFont val="Calibri"/>
      </rPr>
      <t>short due 2/27
2/26</t>
    </r>
  </si>
  <si>
    <r>
      <rPr>
        <b/>
        <sz val="11"/>
        <color rgb="FF000000"/>
        <rFont val="Calibri"/>
      </rPr>
      <t xml:space="preserve">2/27 - awt BGA balls before clear
2/25 - matl clear
</t>
    </r>
    <r>
      <rPr>
        <b/>
        <strike/>
        <sz val="11"/>
        <color rgb="FF000000"/>
        <rFont val="Calibri"/>
      </rPr>
      <t>2/23 - awt SMT PART CONF</t>
    </r>
  </si>
  <si>
    <t>2/18 - NEED TO  START AHEAD IF POSS. A LOT OF EXTRA PROCESSES FOR BACK END - SEE ECO</t>
  </si>
  <si>
    <r>
      <rPr>
        <b/>
        <sz val="12"/>
        <color rgb="FFFF0000"/>
        <rFont val="Calibri"/>
      </rPr>
      <t xml:space="preserve">*** "R2 &amp; R14"  CANNOT GO THROUGH SMT REFLOW. THEY NEED TO BE T/H HAND SOLDERED - PLS CHK B4 RUNNING
</t>
    </r>
    <r>
      <rPr>
        <b/>
        <sz val="11"/>
        <color rgb="FF000000"/>
        <rFont val="Calibri"/>
      </rPr>
      <t xml:space="preserve">REVIEW CUST ASSY DWGS PER ECO NOTE 3 PRIOR TO RUNNING
</t>
    </r>
    <r>
      <rPr>
        <b/>
        <u/>
        <sz val="12"/>
        <color rgb="FFFF0000"/>
        <rFont val="Calibri"/>
      </rPr>
      <t xml:space="preserve">*** "U58" REBALL REQ - READ ECO NOTE 10 - GET THIS DONE EARLY
</t>
    </r>
    <r>
      <rPr>
        <b/>
        <u/>
        <sz val="11"/>
        <color rgb="FF000000"/>
        <rFont val="Calibri"/>
      </rPr>
      <t xml:space="preserve">CHECK PROFILE BEFORE RUNNING - "R2, R14" METAL TAB NOT TO EXCEED 215C
</t>
    </r>
    <r>
      <rPr>
        <b/>
        <sz val="11"/>
        <color rgb="FF000000"/>
        <rFont val="Calibri"/>
      </rPr>
      <t xml:space="preserve">CABLES WIRES PER ECO NOTE 4
</t>
    </r>
    <r>
      <rPr>
        <b/>
        <u/>
        <sz val="11"/>
        <color rgb="FF000000"/>
        <rFont val="Calibri"/>
      </rPr>
      <t xml:space="preserve">LOCTITE </t>
    </r>
    <r>
      <rPr>
        <b/>
        <sz val="11"/>
        <color rgb="FF000000"/>
        <rFont val="Calibri"/>
      </rPr>
      <t xml:space="preserve">REQ
*** SHIPPIING - USE CUST SUPPLIED "PROTECTIVE PAK" BOXES PER ECO NOTE 9
</t>
    </r>
    <r>
      <rPr>
        <b/>
        <u/>
        <sz val="14"/>
        <color rgb="FFFF0000"/>
        <rFont val="Calibri"/>
      </rPr>
      <t>*** SHIP QTY 23 OF "REBALLED" "U58" ASAP, before the assy's are completed</t>
    </r>
  </si>
  <si>
    <t>2/28 - 12:00</t>
  </si>
  <si>
    <t>3/2 - 8:00</t>
  </si>
  <si>
    <t>3/3 - 1:30</t>
  </si>
  <si>
    <t xml:space="preserve">NOV Tuboscope, Inc.
</t>
  </si>
  <si>
    <t>REBALL done?</t>
  </si>
  <si>
    <t>#65 THT TO SMT?</t>
  </si>
  <si>
    <r>
      <t xml:space="preserve">clear 3/2
</t>
    </r>
    <r>
      <rPr>
        <b/>
        <strike/>
        <sz val="11"/>
        <color rgb="FF000000"/>
        <rFont val="Calibri"/>
      </rPr>
      <t>short due 3/2
2/12 - ETA 2/20</t>
    </r>
  </si>
  <si>
    <r>
      <rPr>
        <b/>
        <sz val="14"/>
        <color rgb="FF000000"/>
        <rFont val="Calibri"/>
      </rPr>
      <t xml:space="preserve">131541-FA
NEW
</t>
    </r>
    <r>
      <rPr>
        <b/>
        <sz val="14"/>
        <color rgb="FFFF0000"/>
        <rFont val="Calibri"/>
      </rPr>
      <t>(ITAR)</t>
    </r>
  </si>
  <si>
    <t>03/09
5D</t>
  </si>
  <si>
    <t>*** P/N: 74663125R - FOLLOW MFG RECOMMENDED SOLDER PROFILE - CONFIRM W/ ROBERT
CLASS 3</t>
  </si>
  <si>
    <t>3/5 - 6:00</t>
  </si>
  <si>
    <t>3/5 - 7:00</t>
  </si>
  <si>
    <r>
      <rPr>
        <b/>
        <sz val="11"/>
        <color rgb="FF000000"/>
        <rFont val="Calibri"/>
      </rPr>
      <t xml:space="preserve">FEDEX P1
</t>
    </r>
    <r>
      <rPr>
        <b/>
        <strike/>
        <sz val="11"/>
        <color rgb="FF000000"/>
        <rFont val="Calibri"/>
      </rPr>
      <t>2DAY</t>
    </r>
  </si>
  <si>
    <t>Leidos</t>
  </si>
  <si>
    <t>2/24</t>
  </si>
  <si>
    <t>NO LABELS</t>
  </si>
  <si>
    <r>
      <t xml:space="preserve">clear 3/2
</t>
    </r>
    <r>
      <rPr>
        <b/>
        <strike/>
        <sz val="11"/>
        <color rgb="FF000000"/>
        <rFont val="Calibri"/>
      </rPr>
      <t>2/19 - ETA 3/2
2/11 - ETA 2/19</t>
    </r>
  </si>
  <si>
    <r>
      <rPr>
        <b/>
        <sz val="11"/>
        <color rgb="FF000000"/>
        <rFont val="Calibri"/>
      </rPr>
      <t xml:space="preserve">3/2 - kit clear
</t>
    </r>
    <r>
      <rPr>
        <b/>
        <strike/>
        <sz val="11"/>
        <color rgb="FF000000"/>
        <rFont val="Calibri"/>
      </rPr>
      <t>2/19 - LET ROBERT KNOW ASA PCB &amp; PARTS COME IN</t>
    </r>
  </si>
  <si>
    <r>
      <rPr>
        <b/>
        <sz val="14"/>
        <color rgb="FF000000"/>
        <rFont val="Calibri"/>
      </rPr>
      <t xml:space="preserve">131540-FA
NEW
</t>
    </r>
    <r>
      <rPr>
        <b/>
        <sz val="14"/>
        <color rgb="FFFF0000"/>
        <rFont val="Calibri"/>
      </rPr>
      <t>(ITAR)</t>
    </r>
  </si>
  <si>
    <t>*** P/N: 74663125R - FOLLOW MFG RECOMMENDED SOLDER PROFILE - CONFIRM W/ ROBERT</t>
  </si>
  <si>
    <t>2/20</t>
  </si>
  <si>
    <t>clear 2/26</t>
  </si>
  <si>
    <t>2/26 - kit clear</t>
  </si>
  <si>
    <t>03/09
10D</t>
  </si>
  <si>
    <t>DEPANEL &amp; SAND (0.07-0.20MM CALL OUT ON ECO)</t>
  </si>
  <si>
    <t>3/4 - 6:00</t>
  </si>
  <si>
    <t>3/4 - 8:00</t>
  </si>
  <si>
    <t>3/4 - 11:30</t>
  </si>
  <si>
    <t>DOC REL 2/25</t>
  </si>
  <si>
    <t>2/26
3/12</t>
  </si>
  <si>
    <r>
      <t xml:space="preserve">clear 3/2
</t>
    </r>
    <r>
      <rPr>
        <b/>
        <strike/>
        <sz val="11"/>
        <color rgb="FF000000"/>
        <rFont val="Calibri"/>
      </rPr>
      <t>2/20 - ETA 2/26</t>
    </r>
  </si>
  <si>
    <r>
      <t xml:space="preserve">2/24 - matl clear
</t>
    </r>
    <r>
      <rPr>
        <b/>
        <strike/>
        <sz val="11"/>
        <color rgb="FF000000"/>
        <rFont val="Calibri"/>
      </rPr>
      <t>2/23 - short SMT U30 due 2/24
2/19 - SHORT SMT "U30" WTG FOR TRACKING</t>
    </r>
  </si>
  <si>
    <t>138331
RONC 136171</t>
  </si>
  <si>
    <t>"Y1" AFTER WASH
DEPANEL
OVERPACK</t>
  </si>
  <si>
    <t>3/3 - 5:00</t>
  </si>
  <si>
    <t>3/3 - 6:00</t>
  </si>
  <si>
    <t xml:space="preserve">Anduril Maritime Quincy, MA
</t>
  </si>
  <si>
    <r>
      <t xml:space="preserve">clear 3/2
</t>
    </r>
    <r>
      <rPr>
        <b/>
        <strike/>
        <sz val="11"/>
        <color rgb="FF000000"/>
        <rFont val="Calibri"/>
      </rPr>
      <t>short qty 11 ETA 3/13
short due 2/18 1/10 11/17</t>
    </r>
  </si>
  <si>
    <r>
      <t xml:space="preserve">2/17 - matl clear
</t>
    </r>
    <r>
      <rPr>
        <b/>
        <strike/>
        <sz val="11"/>
        <color rgb="FF000000"/>
        <rFont val="Calibri"/>
      </rPr>
      <t>12/31 - short THT A29410-065F due 2/11
11/3 - CLEAR
 10/31 - short THT</t>
    </r>
    <r>
      <rPr>
        <b/>
        <sz val="11"/>
        <color rgb="FF000000"/>
        <rFont val="Calibri"/>
      </rPr>
      <t xml:space="preserve"> </t>
    </r>
    <r>
      <rPr>
        <b/>
        <strike/>
        <sz val="11"/>
        <color rgb="FF000000"/>
        <rFont val="Calibri"/>
      </rPr>
      <t xml:space="preserve">#10 (JP1) due 11/3 </t>
    </r>
    <r>
      <rPr>
        <b/>
        <sz val="11"/>
        <color rgb="FF000000"/>
        <rFont val="Calibri"/>
      </rPr>
      <t>&amp; #15 (T3AJ1) DNI now</t>
    </r>
    <r>
      <rPr>
        <b/>
        <strike/>
        <sz val="11"/>
        <color rgb="FF000000"/>
        <rFont val="Calibri"/>
      </rPr>
      <t xml:space="preserve"> no ETA</t>
    </r>
  </si>
  <si>
    <t>2/17 - run &amp; ship qty 4</t>
  </si>
  <si>
    <t>135775-2bal
NEW</t>
  </si>
  <si>
    <r>
      <rPr>
        <b/>
        <u/>
        <sz val="11"/>
        <color rgb="FF000000"/>
        <rFont val="Calibri"/>
      </rPr>
      <t xml:space="preserve">*** INSTALL J111
A29410-065F is installed
</t>
    </r>
    <r>
      <rPr>
        <b/>
        <sz val="11"/>
        <color rgb="FF000000"/>
        <rFont val="Calibri"/>
      </rPr>
      <t>LEAD WASH
DEPANEL
heavy THT: run ASAP</t>
    </r>
  </si>
  <si>
    <t>3/3 - 7:00</t>
  </si>
  <si>
    <t>3/3 - 9:00</t>
  </si>
  <si>
    <t>3/3 - 10:30</t>
  </si>
  <si>
    <t>Summit Santa Clara-Streamline Circuits</t>
  </si>
  <si>
    <t>heavy THT. run ASAP
J111 install (prog/stencil)</t>
  </si>
  <si>
    <t>DOC REL 10/30</t>
  </si>
  <si>
    <t>10/31</t>
  </si>
  <si>
    <t>PAID REWORK
REMOVE AND REPLACE "EMI1" - WORKMANSHIP ISSUE W/ THE SOLDER
XRAY AND SAVE IMAGES</t>
  </si>
  <si>
    <t>FEDEX P2</t>
  </si>
  <si>
    <t>SOLO PACE</t>
  </si>
  <si>
    <r>
      <t xml:space="preserve">clear 2/26
</t>
    </r>
    <r>
      <rPr>
        <b/>
        <strike/>
        <sz val="11"/>
        <color rgb="FF000000"/>
        <rFont val="Calibri"/>
      </rPr>
      <t>short due 2/26
2/20 - NO ETA</t>
    </r>
  </si>
  <si>
    <r>
      <t xml:space="preserve">2/26 - kit clear
</t>
    </r>
    <r>
      <rPr>
        <b/>
        <strike/>
        <sz val="11"/>
        <color rgb="FF000000"/>
        <rFont val="Calibri"/>
      </rPr>
      <t>2/20 - SMT "U14" due 2/26 NO ETA</t>
    </r>
  </si>
  <si>
    <t>2/26 - U14 is baking</t>
  </si>
  <si>
    <t>137781
RONC 135136</t>
  </si>
  <si>
    <r>
      <rPr>
        <b/>
        <sz val="11"/>
        <color rgb="FF000000"/>
        <rFont val="Calibri"/>
      </rPr>
      <t xml:space="preserve">*** MAKE SURE PARTS ARE PREBAKED PER MSL LEVELS!!! - ESPECIALLY ITEM 20 (VCA2616YT) PARTS ARE OBSOLETE </t>
    </r>
    <r>
      <rPr>
        <b/>
        <u/>
        <sz val="11"/>
        <color rgb="FF000000"/>
        <rFont val="Calibri"/>
      </rPr>
      <t xml:space="preserve">AND EXCEEDED MAX SHELF LIFE
</t>
    </r>
    <r>
      <rPr>
        <b/>
        <sz val="11"/>
        <color rgb="FF000000"/>
        <rFont val="Calibri"/>
      </rPr>
      <t>RUN QTY 5 &amp; HOLD SET UP - CUST WILL APPROVE FA IN 1-2 DAYS
*** SEE ALTA QUALITY ALERT
*** 100% INSP REQ - BOARDS MUST BE PERFECT!!!
*** SOLDER BRIDGE REQ (SEE TRI FOR TRAINING) @ ""U14, U15, U20, U21, U26, U27, U32 and U33"" @ PINS 22, 23 &amp; 24
XRAY &amp; SAVE IMAGES
DEPANEL
QR code label matches board &amp; bag</t>
    </r>
  </si>
  <si>
    <t>3/4 - 1:00</t>
  </si>
  <si>
    <t>3/6 - 7:00</t>
  </si>
  <si>
    <t xml:space="preserve">QT Imaging Inc.
</t>
  </si>
  <si>
    <t>2/20
3/12</t>
  </si>
  <si>
    <t>eco</t>
  </si>
  <si>
    <t>2/18-KIT CLEAR</t>
  </si>
  <si>
    <t>127866
ROWC 119130</t>
  </si>
  <si>
    <r>
      <rPr>
        <b/>
        <sz val="14"/>
        <color rgb="FF000000"/>
        <rFont val="Calibri"/>
      </rPr>
      <t xml:space="preserve">03/09
</t>
    </r>
    <r>
      <rPr>
        <b/>
        <strike/>
        <sz val="14"/>
        <color rgb="FF000000"/>
        <rFont val="Calibri"/>
      </rPr>
      <t>03/04
20D</t>
    </r>
  </si>
  <si>
    <t>EXPEDITE (LT 10)
CLASS 3
BOARDS ARE REV C PER ECO
"J3, J4" MOUNT BOTTOM SIDE
BAG &amp; TAG ANY BTD AND/OR DNI A&amp; NOTE ON PAPERWORK</t>
  </si>
  <si>
    <t>2/26 - 9:30</t>
  </si>
  <si>
    <t>3/2 - 2:30</t>
  </si>
  <si>
    <t>3/4 - 2:30</t>
  </si>
  <si>
    <t>DOC REL 12/17</t>
  </si>
  <si>
    <r>
      <rPr>
        <b/>
        <sz val="11"/>
        <color rgb="FF000000"/>
        <rFont val="Calibri"/>
      </rPr>
      <t xml:space="preserve">2/18
3/09
</t>
    </r>
    <r>
      <rPr>
        <b/>
        <strike/>
        <sz val="11"/>
        <color rgb="FF000000"/>
        <rFont val="Calibri"/>
      </rPr>
      <t>3/18</t>
    </r>
  </si>
  <si>
    <t>prev build j3, j4 screw reversed</t>
  </si>
  <si>
    <t>clear 2/11</t>
  </si>
  <si>
    <r>
      <t xml:space="preserve">2/23 - matl clear
</t>
    </r>
    <r>
      <rPr>
        <b/>
        <strike/>
        <sz val="11"/>
        <color rgb="FF000000"/>
        <rFont val="Calibri"/>
      </rPr>
      <t>2/20 - ONLY PARTIAL SHORT "U43" ETA 2/23
"U14" OK TO USE
2/11 - awt SMT parts conf U14 4x
short SMT partial U43 (top side), no ETA
awt THT parts conf 2x
short THT P4, no ETA</t>
    </r>
  </si>
  <si>
    <t>2/20 - OK TO S/U &amp; RUN BOT &amp; TOP PARTIAL
2/10 - HIGH T/H COUNT
*NEED TO START ON DAY 1 OR SOONER</t>
  </si>
  <si>
    <t>137807
NEW</t>
  </si>
  <si>
    <t>03/06
10D</t>
  </si>
  <si>
    <t>*** NEED TO RUN SMT ON DAY 1 OR SOONER! (3 DAYS FOR SMT)
pre-bake boards
Ensure T1 &amp; T2 is Masked off
CofC requirements (See ECO)
Excess Matl requirements (See ECO)</t>
  </si>
  <si>
    <t>2/24 - 7:00</t>
  </si>
  <si>
    <t>2/24 - 12:30</t>
  </si>
  <si>
    <t>2/26 - 10:00</t>
  </si>
  <si>
    <t>GL Communications</t>
  </si>
  <si>
    <t>DOC REL 2/10</t>
  </si>
  <si>
    <t>2/11
3/9</t>
  </si>
  <si>
    <r>
      <t xml:space="preserve">clear 2/27
</t>
    </r>
    <r>
      <rPr>
        <b/>
        <strike/>
        <sz val="11"/>
        <color rgb="FF000000"/>
        <rFont val="Calibri"/>
      </rPr>
      <t>short no eta 2/27 2/26</t>
    </r>
  </si>
  <si>
    <r>
      <t xml:space="preserve">2/27 - kit clear
</t>
    </r>
    <r>
      <rPr>
        <b/>
        <strike/>
        <sz val="11"/>
        <color rgb="FF000000"/>
        <rFont val="Calibri"/>
      </rPr>
      <t>2/23 - short SMT U2 (no skip) &amp; R12 (ok to skip), no ETA 2/26
short THT XF01, no ETA</t>
    </r>
  </si>
  <si>
    <t>2/24 - SMT top side 1st</t>
  </si>
  <si>
    <t>135988
NEW</t>
  </si>
  <si>
    <t>03/06
5D</t>
  </si>
  <si>
    <r>
      <rPr>
        <b/>
        <sz val="11"/>
        <color rgb="FF000000"/>
        <rFont val="Calibri"/>
      </rPr>
      <t xml:space="preserve">DO NOT SKIP PREBAKE
"L10" AFTER WASH
PRESS FIT REQ
</t>
    </r>
    <r>
      <rPr>
        <b/>
        <u/>
        <sz val="11"/>
        <color rgb="FF000000"/>
        <rFont val="Calibri"/>
      </rPr>
      <t>POST BAKE 30 MIN</t>
    </r>
    <r>
      <rPr>
        <b/>
        <sz val="11"/>
        <color rgb="FF000000"/>
        <rFont val="Calibri"/>
      </rPr>
      <t xml:space="preserve"> IF WASHED
*** DEPANEL PER ECO - 0.5MM TOLERANCE</t>
    </r>
  </si>
  <si>
    <t>3/2 - 1:00</t>
  </si>
  <si>
    <t>2/23</t>
  </si>
  <si>
    <t>clear 2/27</t>
  </si>
  <si>
    <t>2/27 - kit clear</t>
  </si>
  <si>
    <t>136196-2nd
RONC 1st Article</t>
  </si>
  <si>
    <t>2/28 - 11:00</t>
  </si>
  <si>
    <t>3/2 - 7:00</t>
  </si>
  <si>
    <t>2/27</t>
  </si>
  <si>
    <r>
      <t xml:space="preserve">2/25 - kit clear
</t>
    </r>
    <r>
      <rPr>
        <b/>
        <strike/>
        <sz val="11"/>
        <color rgb="FF000000"/>
        <rFont val="Calibri"/>
      </rPr>
      <t>2/24 - short SMT RIOV1 &amp; JEIC1 (qty very few) await BTD status
short part conf many</t>
    </r>
  </si>
  <si>
    <t>3/4 - #23 no fit silkscreen
2/26 - SMT line hold (Trinh)</t>
  </si>
  <si>
    <r>
      <rPr>
        <b/>
        <sz val="14"/>
        <color rgb="FF000000"/>
        <rFont val="Calibri"/>
      </rPr>
      <t xml:space="preserve">136828
NEW
</t>
    </r>
    <r>
      <rPr>
        <b/>
        <sz val="14"/>
        <color rgb="FFFF0000"/>
        <rFont val="Calibri"/>
      </rPr>
      <t>(ITAR)</t>
    </r>
  </si>
  <si>
    <t>DNI #23
BTD: JEIC1, RIOV1_KUPA, JDAM1_KUPA
ok to no load if no fit: JCLKN, SWKK
"QSFP_CGBE &amp; RELATED" - PLACE AS T/H PER ECO NOTE 1 &amp; 2 - *HAVE QA CHECK BEFORE SOLDERING</t>
  </si>
  <si>
    <t>2/26 - 11:00</t>
  </si>
  <si>
    <t>2/28 - 9:00</t>
  </si>
  <si>
    <t xml:space="preserve">Jefferson Labs
</t>
  </si>
  <si>
    <t>2/24
3/11</t>
  </si>
  <si>
    <t>FOLDER</t>
  </si>
  <si>
    <t>clear 2/28</t>
  </si>
  <si>
    <r>
      <rPr>
        <b/>
        <sz val="11"/>
        <color rgb="FF000000"/>
        <rFont val="Calibri"/>
      </rPr>
      <t xml:space="preserve">3/2 - kit clear
</t>
    </r>
    <r>
      <rPr>
        <b/>
        <strike/>
        <sz val="11"/>
        <color rgb="FF000000"/>
        <rFont val="Calibri"/>
      </rPr>
      <t>2/28 - short THT U3, due 3/2</t>
    </r>
  </si>
  <si>
    <t>3/2 - PLEASE RUN ON DAY 1 OR SOONER - TAD NEEDS XTRA TIME FOR PRESS FIT SHIELDS</t>
  </si>
  <si>
    <r>
      <rPr>
        <b/>
        <sz val="14"/>
        <color rgb="FF000000"/>
        <rFont val="Calibri"/>
      </rPr>
      <t xml:space="preserve">03/06
</t>
    </r>
    <r>
      <rPr>
        <b/>
        <strike/>
        <sz val="14"/>
        <color rgb="FF000000"/>
        <rFont val="Calibri"/>
      </rPr>
      <t xml:space="preserve">03/09
</t>
    </r>
    <r>
      <rPr>
        <b/>
        <sz val="14"/>
        <color rgb="FF000000"/>
        <rFont val="Calibri"/>
      </rPr>
      <t>5D</t>
    </r>
  </si>
  <si>
    <r>
      <rPr>
        <b/>
        <sz val="11"/>
        <color rgb="FF000000"/>
        <rFont val="Calibri"/>
      </rPr>
      <t xml:space="preserve">Do Not Open U1 until SMT starts
SMT: Use Orange Plus on U1
2nd Article press-fit U3 (shield)
Depanel
Shipping: </t>
    </r>
    <r>
      <rPr>
        <b/>
        <u/>
        <sz val="11"/>
        <color rgb="FF000000"/>
        <rFont val="Calibri"/>
      </rPr>
      <t>Use plastic container</t>
    </r>
    <r>
      <rPr>
        <b/>
        <sz val="11"/>
        <color rgb="FF000000"/>
        <rFont val="Calibri"/>
      </rPr>
      <t xml:space="preserve"> or see TAD (see shipping photos)</t>
    </r>
  </si>
  <si>
    <t>3/4 - 5:00</t>
  </si>
  <si>
    <t xml:space="preserve">Reprieve Cardiovascular, Inc.
</t>
  </si>
  <si>
    <r>
      <rPr>
        <b/>
        <sz val="11"/>
        <color rgb="FF000000"/>
        <rFont val="Calibri"/>
      </rPr>
      <t xml:space="preserve">3/2 - part shortage S1 x104 </t>
    </r>
    <r>
      <rPr>
        <b/>
        <strike/>
        <sz val="11"/>
        <color rgb="FF000000"/>
        <rFont val="Calibri"/>
      </rPr>
      <t>x2</t>
    </r>
  </si>
  <si>
    <t>137377-1par
NEW</t>
  </si>
  <si>
    <r>
      <rPr>
        <b/>
        <sz val="14"/>
        <color rgb="FF000000"/>
        <rFont val="Calibri"/>
      </rPr>
      <t xml:space="preserve">03/05
</t>
    </r>
    <r>
      <rPr>
        <b/>
        <strike/>
        <sz val="14"/>
        <color rgb="FF000000"/>
        <rFont val="Calibri"/>
      </rPr>
      <t xml:space="preserve">03/03
</t>
    </r>
    <r>
      <rPr>
        <b/>
        <sz val="14"/>
        <color rgb="FF000000"/>
        <rFont val="Calibri"/>
      </rPr>
      <t>10D</t>
    </r>
  </si>
  <si>
    <t>bal qty 45 remain
Depanel</t>
  </si>
  <si>
    <t>03/05
5D</t>
  </si>
  <si>
    <t>BTD #44 (R32)
DEPANEL &amp; SAND (0.07-0.20MM CALL OUT ON ECO)</t>
  </si>
  <si>
    <t>2/27 - 6:00</t>
  </si>
  <si>
    <t>2/27 - 9:00</t>
  </si>
  <si>
    <t>2/26</t>
  </si>
  <si>
    <t>#36 THT TO SMT</t>
  </si>
  <si>
    <r>
      <t xml:space="preserve">clear 2/25
</t>
    </r>
    <r>
      <rPr>
        <b/>
        <strike/>
        <sz val="11"/>
        <color rgb="FF000000"/>
        <rFont val="Calibri"/>
      </rPr>
      <t>2/19 - ETA 2/25</t>
    </r>
  </si>
  <si>
    <r>
      <t xml:space="preserve">2/24 - matl clear
</t>
    </r>
    <r>
      <rPr>
        <b/>
        <strike/>
        <sz val="11"/>
        <color rgb="FF000000"/>
        <rFont val="Calibri"/>
      </rPr>
      <t>2/19 - "S1" SHIELD FRAME NO ETA - CANNOT SKIP</t>
    </r>
  </si>
  <si>
    <t>138337
RONC 137560</t>
  </si>
  <si>
    <t>03/04
5D</t>
  </si>
  <si>
    <r>
      <rPr>
        <b/>
        <sz val="11"/>
        <color rgb="FF000000"/>
        <rFont val="Calibri"/>
      </rPr>
      <t xml:space="preserve">""U2, 4, 6, 8"" MASK PADS PER ECO
*** </t>
    </r>
    <r>
      <rPr>
        <b/>
        <sz val="11"/>
        <color rgb="FFFF0000"/>
        <rFont val="Calibri"/>
      </rPr>
      <t>KEEP GRID HOLES FREE FROM SOLDER</t>
    </r>
    <r>
      <rPr>
        <b/>
        <sz val="11"/>
        <color rgb="FF000000"/>
        <rFont val="Calibri"/>
      </rPr>
      <t xml:space="preserve"> (GRID TAPED ON BOTH SIDES)
""S1, S1COVER"" INSPECT PARTS UNDERNEATH BEFORE INSTALLING COVER
DEPANEL
MAKE SURE BOARDS ARE FREE &amp; CLEAN OF DUST, DEBIS ETC
</t>
    </r>
    <r>
      <rPr>
        <b/>
        <u/>
        <sz val="11"/>
        <color rgb="FF000000"/>
        <rFont val="Calibri"/>
      </rPr>
      <t>install S1COVER</t>
    </r>
  </si>
  <si>
    <t>2/27 - 7:00</t>
  </si>
  <si>
    <t>2/27 - 11:00</t>
  </si>
  <si>
    <t xml:space="preserve">Technical Manufacturing Corp
</t>
  </si>
  <si>
    <r>
      <t xml:space="preserve">clear 2/2
</t>
    </r>
    <r>
      <rPr>
        <b/>
        <strike/>
        <sz val="11"/>
        <color rgb="FF000000"/>
        <rFont val="Calibri"/>
        <family val="2"/>
      </rPr>
      <t>short, no ETA 1/30</t>
    </r>
  </si>
  <si>
    <r>
      <t xml:space="preserve">2/27 - kit clear
</t>
    </r>
    <r>
      <rPr>
        <b/>
        <strike/>
        <sz val="11"/>
        <color rgb="FF000000"/>
        <rFont val="Calibri"/>
      </rPr>
      <t>2/26 - Short SMT D1 due 2/27 or 3/2
1/21 - Short SMT D1 &amp; D3 (no skip), no ETA 3/2 3/26
Awt SMT part conf: LED2</t>
    </r>
  </si>
  <si>
    <t>3/2 - LED shortage
2/5 - shortage SMT top side</t>
  </si>
  <si>
    <r>
      <rPr>
        <b/>
        <sz val="14"/>
        <color rgb="FF000000"/>
        <rFont val="Calibri"/>
      </rPr>
      <t xml:space="preserve">137598
NEW
</t>
    </r>
    <r>
      <rPr>
        <b/>
        <sz val="14"/>
        <color rgb="FFFF0000"/>
        <rFont val="Calibri"/>
      </rPr>
      <t>(AS9100-ITAR-CUI)</t>
    </r>
  </si>
  <si>
    <r>
      <rPr>
        <b/>
        <sz val="14"/>
        <color rgb="FF000000"/>
        <rFont val="Calibri"/>
      </rPr>
      <t xml:space="preserve">???
</t>
    </r>
    <r>
      <rPr>
        <b/>
        <strike/>
        <sz val="14"/>
        <color rgb="FF000000"/>
        <rFont val="Calibri"/>
      </rPr>
      <t xml:space="preserve">03/02
</t>
    </r>
    <r>
      <rPr>
        <b/>
        <sz val="14"/>
        <color rgb="FFFF0000"/>
        <rFont val="Calibri"/>
      </rPr>
      <t>1D</t>
    </r>
  </si>
  <si>
    <t>AS9102 FAIR REQ
CLASS 3
leaded WASH
AOI REQUIRED
XRAY &amp; SAVE IMAGES
Tad depanel
sand required (Cust Drawing)</t>
  </si>
  <si>
    <t>2/6 - 8:00</t>
  </si>
  <si>
    <t>2/27 - 12:30</t>
  </si>
  <si>
    <t>2/28 - 7:00</t>
  </si>
  <si>
    <t>1/21</t>
  </si>
  <si>
    <r>
      <t xml:space="preserve">1/16-CLR
</t>
    </r>
    <r>
      <rPr>
        <b/>
        <strike/>
        <sz val="11"/>
        <color rgb="FF000000"/>
        <rFont val="Calibri"/>
        <family val="2"/>
      </rPr>
      <t>short due 1/13</t>
    </r>
  </si>
  <si>
    <r>
      <t xml:space="preserve">2/10 - matl clear
</t>
    </r>
    <r>
      <rPr>
        <b/>
        <strike/>
        <sz val="11"/>
        <color rgb="FF000000"/>
        <rFont val="Calibri"/>
      </rPr>
      <t>12/16 - short SMT C54 &amp; D7 (skip permission?) due 12/31
short THT J1 &amp; J8 due 12/31</t>
    </r>
  </si>
  <si>
    <t>1/20 - ok to run SMT bot (Tad)</t>
  </si>
  <si>
    <r>
      <rPr>
        <b/>
        <sz val="14"/>
        <color rgb="FF000000"/>
        <rFont val="Calibri"/>
        <family val="2"/>
      </rPr>
      <t xml:space="preserve">137150
NEW
</t>
    </r>
    <r>
      <rPr>
        <b/>
        <sz val="14"/>
        <color rgb="FFFF0000"/>
        <rFont val="Calibri"/>
        <family val="2"/>
      </rPr>
      <t>(ITAR)</t>
    </r>
  </si>
  <si>
    <t>03/04
20D</t>
  </si>
  <si>
    <r>
      <rPr>
        <b/>
        <sz val="11"/>
        <color rgb="FF000000"/>
        <rFont val="Calibri"/>
      </rPr>
      <t xml:space="preserve">LEADFREE WASH
</t>
    </r>
    <r>
      <rPr>
        <b/>
        <u/>
        <sz val="12"/>
        <color rgb="FFFF0000"/>
        <rFont val="Calibri"/>
      </rPr>
      <t xml:space="preserve">*** "LED1" 12/16 UPDATED ECO FROM CUST - "INSTALL W/ CATHODE @ THE DOT, NOT THE LETTER "C"
</t>
    </r>
    <r>
      <rPr>
        <b/>
        <sz val="11"/>
        <color rgb="FF000000"/>
        <rFont val="Calibri"/>
      </rPr>
      <t xml:space="preserve">"M1" AFTER WASH
</t>
    </r>
    <r>
      <rPr>
        <b/>
        <u/>
        <sz val="11"/>
        <color rgb="FF000000"/>
        <rFont val="Calibri"/>
      </rPr>
      <t>install BT1</t>
    </r>
  </si>
  <si>
    <t>1/21 - 1:30</t>
  </si>
  <si>
    <t>2/17 - 7:00</t>
  </si>
  <si>
    <t>12/16
3/11</t>
  </si>
  <si>
    <r>
      <t xml:space="preserve">clear 2/17
</t>
    </r>
    <r>
      <rPr>
        <b/>
        <strike/>
        <sz val="11"/>
        <color rgb="FF000000"/>
        <rFont val="Calibri"/>
      </rPr>
      <t>short, no eta</t>
    </r>
  </si>
  <si>
    <r>
      <rPr>
        <b/>
        <sz val="11"/>
        <color rgb="FF000000"/>
        <rFont val="Calibri"/>
      </rPr>
      <t xml:space="preserve">2/27 - kit clear
</t>
    </r>
    <r>
      <rPr>
        <b/>
        <strike/>
        <sz val="11"/>
        <color rgb="FF000000"/>
        <rFont val="Calibri"/>
      </rPr>
      <t>2/10 - short THT LS1, no ETA</t>
    </r>
  </si>
  <si>
    <t>137872
NEW</t>
  </si>
  <si>
    <t>LS1 After Wash
Depanel</t>
  </si>
  <si>
    <t>2/21 - 2:30</t>
  </si>
  <si>
    <r>
      <t xml:space="preserve">clear 2/24
</t>
    </r>
    <r>
      <rPr>
        <b/>
        <strike/>
        <sz val="11"/>
        <color rgb="FF000000"/>
        <rFont val="Calibri"/>
      </rPr>
      <t>2/19 - ETA 2/26</t>
    </r>
  </si>
  <si>
    <t>137725
NEW</t>
  </si>
  <si>
    <t>03/02
10D</t>
  </si>
  <si>
    <t>CLASS 3
DEPANEL</t>
  </si>
  <si>
    <t>2/26 - 7:00</t>
  </si>
  <si>
    <t>2/19
3/2</t>
  </si>
  <si>
    <r>
      <rPr>
        <b/>
        <sz val="14"/>
        <color rgb="FF000000"/>
        <rFont val="Calibri"/>
      </rPr>
      <t xml:space="preserve">03/02
</t>
    </r>
    <r>
      <rPr>
        <b/>
        <sz val="14"/>
        <color rgb="FFFF0000"/>
        <rFont val="Calibri"/>
      </rPr>
      <t>1D</t>
    </r>
  </si>
  <si>
    <t>R&amp;R “U14”, qty 8 per board
100% photos</t>
  </si>
  <si>
    <t>QT IMAGING</t>
  </si>
  <si>
    <t>n/a</t>
  </si>
  <si>
    <t>138013-reball
NEW</t>
  </si>
  <si>
    <r>
      <rPr>
        <b/>
        <sz val="14"/>
        <color rgb="FFFF0000"/>
        <rFont val="Calibri"/>
      </rPr>
      <t xml:space="preserve">*** "R2 &amp; R14"  CANNOT GO THROUGH SMT REFLOW. THEY NEED TO BE T/H HAND SOLDERED - PLS CHK B4 RUNNING
</t>
    </r>
    <r>
      <rPr>
        <b/>
        <sz val="11"/>
        <color rgb="FF000000"/>
        <rFont val="Calibri"/>
      </rPr>
      <t xml:space="preserve">REVIEW CUST ASSY DWGS PER ECO NOTE 3 PRIOR TO RUNNING
</t>
    </r>
    <r>
      <rPr>
        <b/>
        <u/>
        <sz val="12"/>
        <color rgb="FFFF0000"/>
        <rFont val="Calibri"/>
      </rPr>
      <t xml:space="preserve">*** "U58" REBALL REQ - READ ECO NOTE 10 - GET THIS DONE EARLY
</t>
    </r>
    <r>
      <rPr>
        <b/>
        <u/>
        <sz val="11"/>
        <color rgb="FF000000"/>
        <rFont val="Calibri"/>
      </rPr>
      <t xml:space="preserve">CHECK PROFILE BEFORE RUNNING - "R2, R14" METAL TAB NOT TO EXCEED 215C
</t>
    </r>
    <r>
      <rPr>
        <b/>
        <sz val="11"/>
        <color rgb="FF000000"/>
        <rFont val="Calibri"/>
      </rPr>
      <t xml:space="preserve">CABLES WIRES PER ECO NOTE 4
</t>
    </r>
    <r>
      <rPr>
        <b/>
        <u/>
        <sz val="11"/>
        <color rgb="FF000000"/>
        <rFont val="Calibri"/>
      </rPr>
      <t xml:space="preserve">LOCTITE </t>
    </r>
    <r>
      <rPr>
        <b/>
        <sz val="11"/>
        <color rgb="FF000000"/>
        <rFont val="Calibri"/>
      </rPr>
      <t xml:space="preserve">REQ
*** SHIPPIING - USE CUST SUPPLIED "PROTECTIVE PAK" BOXES PER ECO NOTE 9
</t>
    </r>
    <r>
      <rPr>
        <b/>
        <u/>
        <sz val="14"/>
        <color rgb="FFFF0000"/>
        <rFont val="Calibri"/>
      </rPr>
      <t>*** SHIP QTY 23 OF "REBALLED" "U58" ASAP, before the assy's are completed</t>
    </r>
  </si>
  <si>
    <t>2/24 - pin issue on SMT line
2/23 - SMT top first (per Trinh)</t>
  </si>
  <si>
    <t>137944
NEW
(ITAR)</t>
  </si>
  <si>
    <t>02/27
10D</t>
  </si>
  <si>
    <r>
      <rPr>
        <b/>
        <sz val="11"/>
        <color rgb="FF000000"/>
        <rFont val="Calibri"/>
      </rPr>
      <t>*</t>
    </r>
    <r>
      <rPr>
        <b/>
        <sz val="11"/>
        <color rgb="FFFF0000"/>
        <rFont val="Calibri"/>
      </rPr>
      <t xml:space="preserve"> USE ORGANIC SOLDER PASTE &amp; DI WASH</t>
    </r>
    <r>
      <rPr>
        <b/>
        <sz val="11"/>
        <color rgb="FF000000"/>
        <rFont val="Calibri"/>
      </rPr>
      <t xml:space="preserve"> PER ECO NOTE 1, OPTION 1
"SW1" SEE ECO FOR INSTALL - "P1" NEEDS TO GET INSTALLED 1ST
"PF1-PF6" MUST SIT FLUSH PER ECO
OVERPACK</t>
    </r>
  </si>
  <si>
    <t>2/23 - 11:00</t>
  </si>
  <si>
    <t>2/23 - 2:00</t>
  </si>
  <si>
    <t>2/18
3/4</t>
  </si>
  <si>
    <r>
      <t xml:space="preserve">clear 2/6
</t>
    </r>
    <r>
      <rPr>
        <b/>
        <strike/>
        <sz val="11"/>
        <color rgb="FF000000"/>
        <rFont val="Calibri"/>
        <family val="2"/>
      </rPr>
      <t>short, no eta</t>
    </r>
  </si>
  <si>
    <t>2/5 - matl clear</t>
  </si>
  <si>
    <t>137667
RONC 125278</t>
  </si>
  <si>
    <r>
      <rPr>
        <b/>
        <sz val="14"/>
        <color rgb="FF000000"/>
        <rFont val="Calibri"/>
      </rPr>
      <t xml:space="preserve">02/26
</t>
    </r>
    <r>
      <rPr>
        <b/>
        <strike/>
        <sz val="14"/>
        <color rgb="FF000000"/>
        <rFont val="Calibri"/>
      </rPr>
      <t xml:space="preserve">2/23
</t>
    </r>
    <r>
      <rPr>
        <b/>
        <sz val="14"/>
        <color rgb="FF000000"/>
        <rFont val="Calibri"/>
      </rPr>
      <t>15D</t>
    </r>
  </si>
  <si>
    <t>T/H ONLY
LEAD PROCESS
"J1" MOUNT ABOVE PCB PER ECO
"J2" SEE ECO
DEPANEL</t>
  </si>
  <si>
    <t xml:space="preserve">PCM of NC, Inc.
</t>
  </si>
  <si>
    <t>2/5
3/2</t>
  </si>
  <si>
    <r>
      <t xml:space="preserve">clear 2/23
</t>
    </r>
    <r>
      <rPr>
        <b/>
        <strike/>
        <sz val="11"/>
        <color rgb="FF000000"/>
        <rFont val="Calibri"/>
      </rPr>
      <t>on track due 2/19  '2/2
short pcb no ETA</t>
    </r>
  </si>
  <si>
    <t>12/23 - matl clear</t>
  </si>
  <si>
    <t>137265
RONC 133035</t>
  </si>
  <si>
    <r>
      <rPr>
        <b/>
        <sz val="14"/>
        <color rgb="FF000000"/>
        <rFont val="Calibri"/>
      </rPr>
      <t xml:space="preserve">02/26
</t>
    </r>
    <r>
      <rPr>
        <b/>
        <sz val="14"/>
        <color rgb="FFFF0000"/>
        <rFont val="Calibri"/>
      </rPr>
      <t>3D</t>
    </r>
  </si>
  <si>
    <r>
      <rPr>
        <b/>
        <sz val="11"/>
        <color rgb="FF000000"/>
        <rFont val="Calibri"/>
      </rPr>
      <t xml:space="preserve">DEPANEL
prev build: flex boards came as singles </t>
    </r>
    <r>
      <rPr>
        <b/>
        <strike/>
        <sz val="11"/>
        <color rgb="FF000000"/>
        <rFont val="Calibri"/>
      </rPr>
      <t>depanel not required</t>
    </r>
  </si>
  <si>
    <t>2/26 - 6:00</t>
  </si>
  <si>
    <t>2/26 - 9:00</t>
  </si>
  <si>
    <t xml:space="preserve">Teal Drones, Inc.
</t>
  </si>
  <si>
    <t>12/23</t>
  </si>
  <si>
    <r>
      <t xml:space="preserve">clear 2/23
</t>
    </r>
    <r>
      <rPr>
        <b/>
        <strike/>
        <sz val="11"/>
        <color rgb="FF000000"/>
        <rFont val="Calibri"/>
      </rPr>
      <t>short, no ETA 2/17 2/4</t>
    </r>
  </si>
  <si>
    <r>
      <rPr>
        <b/>
        <sz val="11"/>
        <color rgb="FF000000"/>
        <rFont val="Calibri"/>
      </rPr>
      <t xml:space="preserve">2/6 - matl clear
</t>
    </r>
    <r>
      <rPr>
        <b/>
        <strike/>
        <sz val="11"/>
        <color rgb="FF000000"/>
        <rFont val="Calibri"/>
      </rPr>
      <t>1/28 - short SMT L1 recvd' (no skip), no ETA 2/4
short THT BT1, no ETA 2/4</t>
    </r>
  </si>
  <si>
    <r>
      <rPr>
        <b/>
        <strike/>
        <sz val="11"/>
        <color rgb="FF000000"/>
        <rFont val="Calibri"/>
      </rPr>
      <t xml:space="preserve">2/13 - TAD MOVED JOB UP
NO NEED TO SET UP  EARLY ON 2/14
</t>
    </r>
    <r>
      <rPr>
        <b/>
        <sz val="11"/>
        <color rgb="FF000000"/>
        <rFont val="Calibri"/>
      </rPr>
      <t xml:space="preserve">(CUST REQ TO EXP QTY 20 BUT WE ARE NOT ACCOMODATING
2/11 - CUST REQ TO EXP QTY 20
</t>
    </r>
    <r>
      <rPr>
        <b/>
        <strike/>
        <sz val="11"/>
        <color rgb="FF000000"/>
        <rFont val="Calibri"/>
      </rPr>
      <t>2/3 - FAB hold (Anne)</t>
    </r>
  </si>
  <si>
    <t>137354
RONC 130474</t>
  </si>
  <si>
    <r>
      <rPr>
        <b/>
        <sz val="11"/>
        <color rgb="FFFF0000"/>
        <rFont val="Calibri"/>
      </rPr>
      <t xml:space="preserve">*** 2/11 - CUST REQ TO EXPEDITE QTY 20
</t>
    </r>
    <r>
      <rPr>
        <b/>
        <sz val="11"/>
        <color rgb="FF000000"/>
        <rFont val="Calibri"/>
      </rPr>
      <t xml:space="preserve">pre-bake required
Leaded True No-Clean
</t>
    </r>
    <r>
      <rPr>
        <b/>
        <strike/>
        <sz val="11"/>
        <color rgb="FF000000"/>
        <rFont val="Calibri"/>
      </rPr>
      <t xml:space="preserve">install BT1 &amp; BT2
</t>
    </r>
    <r>
      <rPr>
        <b/>
        <sz val="11"/>
        <color rgb="FF000000"/>
        <rFont val="Calibri"/>
      </rPr>
      <t>Ship H1 back to customer</t>
    </r>
  </si>
  <si>
    <t>2/24 - 8:30</t>
  </si>
  <si>
    <t>2/24 - 11:30</t>
  </si>
  <si>
    <t>2/25 - 8:00</t>
  </si>
  <si>
    <t>DOC REL 1/26</t>
  </si>
  <si>
    <t>1/28</t>
  </si>
  <si>
    <t>clear 2/17</t>
  </si>
  <si>
    <r>
      <rPr>
        <b/>
        <sz val="11"/>
        <color rgb="FF000000"/>
        <rFont val="Calibri"/>
      </rPr>
      <t xml:space="preserve">2/23 - matl clear
</t>
    </r>
    <r>
      <rPr>
        <b/>
        <strike/>
        <sz val="11"/>
        <color rgb="FF000000"/>
        <rFont val="Calibri"/>
      </rPr>
      <t>2/19 - ETA 2/23-2/24
2/17 - short SMT 1 pc U01SOC00 top side (skip)</t>
    </r>
  </si>
  <si>
    <t>02/26
5D</t>
  </si>
  <si>
    <r>
      <rPr>
        <b/>
        <sz val="12"/>
        <color rgb="FF000000"/>
        <rFont val="Calibri"/>
      </rPr>
      <t xml:space="preserve">*** NEED TO START BEFORE DAY ONE AND/OR WORK OT
</t>
    </r>
    <r>
      <rPr>
        <b/>
        <sz val="11"/>
        <color rgb="FF000000"/>
        <rFont val="Calibri"/>
      </rPr>
      <t>prev ship qty 3 on 1/30 or 2/2</t>
    </r>
  </si>
  <si>
    <t>2/18 - 10:30</t>
  </si>
  <si>
    <t>2/19 - 2:00</t>
  </si>
  <si>
    <t xml:space="preserve">Honeywell International, Inc.
</t>
  </si>
  <si>
    <t>2/17</t>
  </si>
  <si>
    <r>
      <t xml:space="preserve">clear 2/12
</t>
    </r>
    <r>
      <rPr>
        <b/>
        <strike/>
        <sz val="11"/>
        <color rgb="FF000000"/>
        <rFont val="Calibri"/>
      </rPr>
      <t>short qty 55, no ETA</t>
    </r>
  </si>
  <si>
    <r>
      <t xml:space="preserve">2/12 - kit clear
</t>
    </r>
    <r>
      <rPr>
        <b/>
        <strike/>
        <sz val="11"/>
        <color rgb="FF000000"/>
        <rFont val="Calibri"/>
      </rPr>
      <t>12/5 - awt SMT part conf Q3
11/25 - short SMT many, no ETA</t>
    </r>
  </si>
  <si>
    <t>2/24 - short caps</t>
  </si>
  <si>
    <r>
      <rPr>
        <b/>
        <sz val="14"/>
        <color rgb="FF000000"/>
        <rFont val="Calibri"/>
      </rPr>
      <t xml:space="preserve">02/27
</t>
    </r>
    <r>
      <rPr>
        <b/>
        <strike/>
        <sz val="14"/>
        <color rgb="FF000000"/>
        <rFont val="Calibri"/>
      </rPr>
      <t xml:space="preserve">02/24
</t>
    </r>
    <r>
      <rPr>
        <b/>
        <sz val="14"/>
        <color rgb="FF000000"/>
        <rFont val="Calibri"/>
      </rPr>
      <t>10D</t>
    </r>
  </si>
  <si>
    <t>SMT: care when run (special parts)
Split shipment on assembly. Qty 35 on 10 days and Qty 65 on 10 days.
Do not send excess components back to the customer. 
Please recycle in house.</t>
  </si>
  <si>
    <t>2/17 - 1:00</t>
  </si>
  <si>
    <t>2/18 - 6:00</t>
  </si>
  <si>
    <t>DOC REL 11/21</t>
  </si>
  <si>
    <t>11/25
2/27</t>
  </si>
  <si>
    <t>smt: care when run (special parts)</t>
  </si>
  <si>
    <r>
      <t xml:space="preserve">clear 2/24
</t>
    </r>
    <r>
      <rPr>
        <b/>
        <strike/>
        <sz val="11"/>
        <color rgb="FF000000"/>
        <rFont val="Calibri"/>
      </rPr>
      <t>2/19 - ETA 2/23
SHORT, NO ETA</t>
    </r>
  </si>
  <si>
    <r>
      <t xml:space="preserve">2/24 - kit clear
</t>
    </r>
    <r>
      <rPr>
        <b/>
        <strike/>
        <sz val="11"/>
        <color rgb="FF000000"/>
        <rFont val="Calibri"/>
      </rPr>
      <t>2/19 - ONLY SHORT "D16"
2/18-SHORT D16 (SMT) NO ETA| U20, FB7, RV1, T3, Q2, and Q1 WAIT FOR C/F</t>
    </r>
  </si>
  <si>
    <r>
      <t xml:space="preserve">2/19 - </t>
    </r>
    <r>
      <rPr>
        <b/>
        <strike/>
        <sz val="11"/>
        <color rgb="FF000000"/>
        <rFont val="Calibri"/>
      </rPr>
      <t>"D16" OK TO SKIP</t>
    </r>
  </si>
  <si>
    <t>138284-FA
NEW</t>
  </si>
  <si>
    <r>
      <rPr>
        <b/>
        <sz val="14"/>
        <color rgb="FF000000"/>
        <rFont val="Calibri"/>
      </rPr>
      <t xml:space="preserve">02/26
</t>
    </r>
    <r>
      <rPr>
        <b/>
        <sz val="14"/>
        <color rgb="FFFF0000"/>
        <rFont val="Calibri"/>
      </rPr>
      <t>1D</t>
    </r>
  </si>
  <si>
    <r>
      <rPr>
        <b/>
        <sz val="11"/>
        <color rgb="FF000000"/>
        <rFont val="Calibri"/>
      </rPr>
      <t xml:space="preserve">"U26, U43, T1, T2, T3," MOISTURE SENSITIVE
DEPANEL
</t>
    </r>
    <r>
      <rPr>
        <b/>
        <u/>
        <sz val="11"/>
        <color rgb="FF000000"/>
        <rFont val="Calibri"/>
      </rPr>
      <t xml:space="preserve">REMOVE ANY TAPE AND/OR P&amp;P TABS
</t>
    </r>
    <r>
      <rPr>
        <b/>
        <sz val="11"/>
        <color rgb="FF000000"/>
        <rFont val="Calibri"/>
      </rPr>
      <t xml:space="preserve">NO DISCERNABLE RESIDUE
</t>
    </r>
    <r>
      <rPr>
        <b/>
        <u/>
        <sz val="11"/>
        <color rgb="FF000000"/>
        <rFont val="Calibri"/>
      </rPr>
      <t>install hardware</t>
    </r>
  </si>
  <si>
    <t>2/25 - 7:30</t>
  </si>
  <si>
    <t>2/25 - 11:00</t>
  </si>
  <si>
    <t>2/25 - 2:30</t>
  </si>
  <si>
    <t>COMPLETE
alta</t>
  </si>
  <si>
    <r>
      <rPr>
        <b/>
        <sz val="11"/>
        <color rgb="FF000000"/>
        <rFont val="Calibri"/>
      </rPr>
      <t xml:space="preserve">2/24 - kit clear
</t>
    </r>
    <r>
      <rPr>
        <b/>
        <strike/>
        <sz val="11"/>
        <color rgb="FF000000"/>
        <rFont val="Calibri"/>
      </rPr>
      <t>2/19 - ETA "RV1" NEXT WEEK
2/17 - SMT clear
SHORT PARTIAL "RV1"</t>
    </r>
  </si>
  <si>
    <t>137749-2BAL
NEW</t>
  </si>
  <si>
    <r>
      <rPr>
        <b/>
        <sz val="14"/>
        <color rgb="FF000000"/>
        <rFont val="Calibri"/>
      </rPr>
      <t xml:space="preserve">02/25
</t>
    </r>
    <r>
      <rPr>
        <b/>
        <sz val="14"/>
        <color rgb="FFFF0000"/>
        <rFont val="Calibri"/>
      </rPr>
      <t>1D</t>
    </r>
  </si>
  <si>
    <t>new RV1 2-pin ver (TMOV25SP175E)
install fuses
CR1..Q1.. height req
DEPANEL
NO DISCERNABLE RESIDUE
"K1, K2" REMOVE VENT HOLE TAPE PRIOR TO SHIPPING</t>
  </si>
  <si>
    <t>DOC REL 2/13</t>
  </si>
  <si>
    <r>
      <t xml:space="preserve">clear 2/12
</t>
    </r>
    <r>
      <rPr>
        <b/>
        <strike/>
        <sz val="11"/>
        <color rgb="FF000000"/>
        <rFont val="Calibri"/>
      </rPr>
      <t>short due 2/16</t>
    </r>
  </si>
  <si>
    <t>2/10 - matl clear</t>
  </si>
  <si>
    <t>137874
NEW</t>
  </si>
  <si>
    <t>02/24
10D</t>
  </si>
  <si>
    <t>2/18 - 7:00</t>
  </si>
  <si>
    <t>2/10
2/27</t>
  </si>
  <si>
    <r>
      <t xml:space="preserve">clear 2/17
</t>
    </r>
    <r>
      <rPr>
        <b/>
        <strike/>
        <sz val="11"/>
        <color rgb="FF000000"/>
        <rFont val="Calibri"/>
      </rPr>
      <t>short due 2/18 1/10 11/17</t>
    </r>
  </si>
  <si>
    <t>135775-1par
NEW</t>
  </si>
  <si>
    <t>02/24
5D</t>
  </si>
  <si>
    <r>
      <rPr>
        <b/>
        <sz val="11"/>
        <color rgb="FF000000"/>
        <rFont val="Calibri"/>
      </rPr>
      <t xml:space="preserve">balance remain qty 11
dni T3AJ1 </t>
    </r>
    <r>
      <rPr>
        <b/>
        <strike/>
        <sz val="11"/>
        <color rgb="FF000000"/>
        <rFont val="Calibri"/>
      </rPr>
      <t xml:space="preserve">&amp; A29410-065F
</t>
    </r>
    <r>
      <rPr>
        <b/>
        <sz val="11"/>
        <color rgb="FF000000"/>
        <rFont val="Calibri"/>
      </rPr>
      <t>LEAD WASH
DEPANEL
heavy THT: run ASAP</t>
    </r>
  </si>
  <si>
    <t>2/19 - 12:00</t>
  </si>
  <si>
    <t>2/20 - 4:00</t>
  </si>
  <si>
    <r>
      <t xml:space="preserve">clear 2/12
</t>
    </r>
    <r>
      <rPr>
        <b/>
        <strike/>
        <sz val="11"/>
        <color rgb="FF000000"/>
        <rFont val="Calibri"/>
      </rPr>
      <t>short due 2/11
clear 1/27
1/23- REC'D short, no ETA</t>
    </r>
  </si>
  <si>
    <r>
      <t xml:space="preserve">2/13-kit clear </t>
    </r>
    <r>
      <rPr>
        <b/>
        <strike/>
        <sz val="11"/>
        <color rgb="FF000000"/>
        <rFont val="Calibri"/>
      </rPr>
      <t xml:space="preserve">2/11 - SHORT smt J600 &amp; J601 due 2/13, no ETA
1/27 - kit clear
12/23 -WAIT FOR C/F  short SMT Y900, Y902 &amp; J601, no ETA
short THT P1A, no ETA </t>
    </r>
  </si>
  <si>
    <r>
      <t xml:space="preserve">2/11 - REMAKE
</t>
    </r>
    <r>
      <rPr>
        <b/>
        <strike/>
        <sz val="11"/>
        <color rgb="FF000000"/>
        <rFont val="Calibri"/>
      </rPr>
      <t>2/3 - P1A - P1C missing drill holes</t>
    </r>
  </si>
  <si>
    <t>FSU 1</t>
  </si>
  <si>
    <t>136545
NEW</t>
  </si>
  <si>
    <r>
      <rPr>
        <b/>
        <sz val="14"/>
        <color rgb="FF000000"/>
        <rFont val="Calibri"/>
      </rPr>
      <t xml:space="preserve">02/24
</t>
    </r>
    <r>
      <rPr>
        <b/>
        <strike/>
        <sz val="14"/>
        <color rgb="FF000000"/>
        <rFont val="Calibri"/>
      </rPr>
      <t>02/05
10D</t>
    </r>
  </si>
  <si>
    <r>
      <rPr>
        <b/>
        <sz val="11"/>
        <color rgb="FFFF0000"/>
        <rFont val="Calibri"/>
      </rPr>
      <t xml:space="preserve">*** EXPEDITE DUE TO REMAKE
</t>
    </r>
    <r>
      <rPr>
        <b/>
        <sz val="11"/>
        <color rgb="FF000000"/>
        <rFont val="Calibri"/>
      </rPr>
      <t xml:space="preserve">CLASS 3
"U502" AFTER WASH
"U101" INSTALL HEAT SINK &amp; </t>
    </r>
    <r>
      <rPr>
        <b/>
        <u/>
        <sz val="11"/>
        <color rgb="FF000000"/>
        <rFont val="Calibri"/>
      </rPr>
      <t xml:space="preserve">HARDWARE </t>
    </r>
    <r>
      <rPr>
        <b/>
        <sz val="11"/>
        <color rgb="FF000000"/>
        <rFont val="Calibri"/>
      </rPr>
      <t xml:space="preserve">PER ECO
</t>
    </r>
    <r>
      <rPr>
        <b/>
        <u/>
        <sz val="11"/>
        <color rgb="FF000000"/>
        <rFont val="Calibri"/>
      </rPr>
      <t xml:space="preserve">install SPRT1, SPRT2, LP1 &amp; LP2
</t>
    </r>
    <r>
      <rPr>
        <b/>
        <sz val="11"/>
        <color rgb="FF000000"/>
        <rFont val="Calibri"/>
      </rPr>
      <t>PRESSFIT REQ
DEPANEL</t>
    </r>
  </si>
  <si>
    <t>2/20 - 6:00</t>
  </si>
  <si>
    <r>
      <rPr>
        <b/>
        <sz val="11"/>
        <color rgb="FF000000"/>
        <rFont val="Calibri"/>
      </rPr>
      <t xml:space="preserve">12/23
</t>
    </r>
    <r>
      <rPr>
        <b/>
        <strike/>
        <sz val="11"/>
        <color rgb="FF000000"/>
        <rFont val="Calibri"/>
      </rPr>
      <t>2/10</t>
    </r>
  </si>
  <si>
    <r>
      <rPr>
        <b/>
        <sz val="11"/>
        <color rgb="FF000000"/>
        <rFont val="Calibri"/>
      </rPr>
      <t>clear 2/</t>
    </r>
    <r>
      <rPr>
        <b/>
        <strike/>
        <sz val="11"/>
        <color rgb="FF000000"/>
        <rFont val="Calibri"/>
      </rPr>
      <t>1</t>
    </r>
    <r>
      <rPr>
        <b/>
        <sz val="11"/>
        <color rgb="FF000000"/>
        <rFont val="Calibri"/>
      </rPr>
      <t xml:space="preserve">7
2/13 - NEW PCB ETA 2/13 OR 2/16
solder mask cracks
</t>
    </r>
    <r>
      <rPr>
        <b/>
        <strike/>
        <sz val="11"/>
        <color rgb="FF000000"/>
        <rFont val="Calibri"/>
      </rPr>
      <t>clear 2/4
short, no ETA 2/6 1/8</t>
    </r>
  </si>
  <si>
    <r>
      <t xml:space="preserve">12/29 - matl clear
</t>
    </r>
    <r>
      <rPr>
        <b/>
        <strike/>
        <sz val="11"/>
        <color rgb="FF000000"/>
        <rFont val="Calibri"/>
      </rPr>
      <t>11/12 - short SMT 3x line items
short THT 3x line items</t>
    </r>
  </si>
  <si>
    <r>
      <t>2/4 -</t>
    </r>
    <r>
      <rPr>
        <b/>
        <strike/>
        <sz val="11"/>
        <color rgb="FF000000"/>
        <rFont val="Calibri"/>
        <family val="2"/>
      </rPr>
      <t xml:space="preserve"> day 1 is 2/6 (Anne)</t>
    </r>
  </si>
  <si>
    <r>
      <rPr>
        <b/>
        <sz val="14"/>
        <color rgb="FF000000"/>
        <rFont val="Calibri"/>
      </rPr>
      <t>136031
NEW
(</t>
    </r>
    <r>
      <rPr>
        <b/>
        <sz val="14"/>
        <color rgb="FFFF0000"/>
        <rFont val="Calibri"/>
      </rPr>
      <t>AS9100-ITAR-CUI</t>
    </r>
    <r>
      <rPr>
        <b/>
        <sz val="14"/>
        <color rgb="FF000000"/>
        <rFont val="Calibri"/>
      </rPr>
      <t>)</t>
    </r>
  </si>
  <si>
    <r>
      <t xml:space="preserve">02/24
</t>
    </r>
    <r>
      <rPr>
        <b/>
        <strike/>
        <sz val="14"/>
        <color rgb="FF000000"/>
        <rFont val="Calibri"/>
      </rPr>
      <t xml:space="preserve">02/12
</t>
    </r>
    <r>
      <rPr>
        <b/>
        <sz val="14"/>
        <color rgb="FF000000"/>
        <rFont val="Calibri"/>
      </rPr>
      <t>5D</t>
    </r>
  </si>
  <si>
    <r>
      <rPr>
        <b/>
        <sz val="11"/>
        <color rgb="FF000000"/>
        <rFont val="Calibri"/>
      </rPr>
      <t xml:space="preserve">No-Clean (wash w/ Aquanox)
AS9102 FAIR
DPAS RATING: </t>
    </r>
    <r>
      <rPr>
        <b/>
        <sz val="11"/>
        <color rgb="FFFF0000"/>
        <rFont val="Calibri"/>
      </rPr>
      <t>DX-A1</t>
    </r>
    <r>
      <rPr>
        <b/>
        <sz val="11"/>
        <color rgb="FF000000"/>
        <rFont val="Calibri"/>
      </rPr>
      <t xml:space="preserve"> (SHIP EARLY)
CLASS 3
LEAD, NO CLEAN - SEE ECO FOR SPECIFIC SOLDER PASTE TYPE</t>
    </r>
  </si>
  <si>
    <t xml:space="preserve">2/17 - </t>
  </si>
  <si>
    <t xml:space="preserve">Crescent Systems Inc
</t>
  </si>
  <si>
    <t>DOC REL 11/11</t>
  </si>
  <si>
    <t>11/12</t>
  </si>
  <si>
    <t>confirm proess (clean or no-clean)</t>
  </si>
  <si>
    <r>
      <t>2/13-Recvd</t>
    </r>
    <r>
      <rPr>
        <b/>
        <strike/>
        <sz val="11"/>
        <color rgb="FF000000"/>
        <rFont val="Calibri"/>
      </rPr>
      <t>'short due 2/17</t>
    </r>
  </si>
  <si>
    <r>
      <rPr>
        <b/>
        <sz val="11"/>
        <color rgb="FF000000"/>
        <rFont val="Calibri"/>
      </rPr>
      <t xml:space="preserve">2/19 - KIT CLEAR
</t>
    </r>
    <r>
      <rPr>
        <b/>
        <strike/>
        <sz val="11"/>
        <color rgb="FF000000"/>
        <rFont val="Calibri"/>
      </rPr>
      <t>2/12 - short SMT Q1150 due 2/16 *No Track#
2/6 - Short SMT #32 (U401) &amp; #135 (Q1150..), no ETA</t>
    </r>
  </si>
  <si>
    <t>2/13 - OK TO SKIP "Q1150" IF NEEDED</t>
  </si>
  <si>
    <t>137225
NEW</t>
  </si>
  <si>
    <t>02/24
3D</t>
  </si>
  <si>
    <t>Class 3
Press-Fit &amp; Mechanical required
Depanel
post-bake required (30 min)</t>
  </si>
  <si>
    <t>2/17 - 10:30</t>
  </si>
  <si>
    <t>2/17 - 2:00</t>
  </si>
  <si>
    <r>
      <t xml:space="preserve">clear 2/23
</t>
    </r>
    <r>
      <rPr>
        <b/>
        <strike/>
        <sz val="11"/>
        <color rgb="FF000000"/>
        <rFont val="Calibri"/>
      </rPr>
      <t xml:space="preserve">2/20 - PCB DELAYED
2/18 - ETA 2/23
</t>
    </r>
    <r>
      <rPr>
        <b/>
        <sz val="11"/>
        <color rgb="FF000000"/>
        <rFont val="Calibri"/>
      </rPr>
      <t xml:space="preserve">Short, </t>
    </r>
    <r>
      <rPr>
        <b/>
        <strike/>
        <sz val="11"/>
        <color rgb="FF000000"/>
        <rFont val="Calibri"/>
      </rPr>
      <t>No ETA 2/19</t>
    </r>
  </si>
  <si>
    <r>
      <t xml:space="preserve">2/6 - matl clear
</t>
    </r>
    <r>
      <rPr>
        <b/>
        <strike/>
        <sz val="11"/>
        <color rgb="FF000000"/>
        <rFont val="Calibri"/>
      </rPr>
      <t>1/30-short J3 (THT) wait for C/F *will hold back updating AA to give SMT additional time.</t>
    </r>
  </si>
  <si>
    <t>2/2 - SMT top 1st
1/30 - ANNE/PHUONG WIL TRY TO BUY TIME</t>
  </si>
  <si>
    <r>
      <rPr>
        <b/>
        <sz val="14"/>
        <color rgb="FF000000"/>
        <rFont val="Calibri"/>
      </rPr>
      <t xml:space="preserve">137625
NEW
</t>
    </r>
    <r>
      <rPr>
        <b/>
        <sz val="14"/>
        <color rgb="FFFF0000"/>
        <rFont val="Calibri"/>
      </rPr>
      <t>(AS9100-ITAR-CUI)</t>
    </r>
  </si>
  <si>
    <r>
      <rPr>
        <b/>
        <sz val="14"/>
        <color rgb="FF000000"/>
        <rFont val="Calibri"/>
      </rPr>
      <t xml:space="preserve">02/24
</t>
    </r>
    <r>
      <rPr>
        <b/>
        <sz val="14"/>
        <color rgb="FFFF0000"/>
        <rFont val="Calibri"/>
      </rPr>
      <t>1D</t>
    </r>
  </si>
  <si>
    <t>LEADFREE ROL0 0R ROL1 REQ
1/28 - UPDATED TO NO CLEAN &amp; ADD AQUANOX THEN DI WATER WASH
XRAY &amp; AOI PER PO
DEPANEL
BOARDS TO BE FREE &amp; CLEAN OF DEBRIS</t>
  </si>
  <si>
    <t>2/23 - 9:00</t>
  </si>
  <si>
    <t>2/23 - 1:00</t>
  </si>
  <si>
    <t>1/30</t>
  </si>
  <si>
    <r>
      <rPr>
        <b/>
        <sz val="11"/>
        <color rgb="FF000000"/>
        <rFont val="Calibri"/>
      </rPr>
      <t xml:space="preserve">2/23 - kit clear
</t>
    </r>
    <r>
      <rPr>
        <b/>
        <strike/>
        <sz val="11"/>
        <color rgb="FF000000"/>
        <rFont val="Calibri"/>
      </rPr>
      <t>2/19 - ETA "RV1" NEXT WEEK
2/17 - SMT clear
SHORT PARTIAL "RV1"</t>
    </r>
  </si>
  <si>
    <t>137749-1PAR
NEW</t>
  </si>
  <si>
    <t>BAL QTY REMAIN 16
SHORT "RV1" T/H ONLY ENOUGH FOR QTY 14 - RUN FULL QTY SMT PER ECO NOTE 2
install fuses
CR1..Q1.. height req
DEPANEL
NO DISCERNABLE RESIDUE
"K1, K2" REMOVE VENT HOLE TAPE PRIOR TO SHIPPING</t>
  </si>
  <si>
    <t>clear 2/12</t>
  </si>
  <si>
    <r>
      <t xml:space="preserve">2/17 - kit clear
</t>
    </r>
    <r>
      <rPr>
        <b/>
        <strike/>
        <sz val="11"/>
        <color rgb="FF000000"/>
        <rFont val="Calibri"/>
      </rPr>
      <t>2/12 - short SMT R1, no ETA
2/12 - awt SMT R1 part conf</t>
    </r>
  </si>
  <si>
    <t>138065
NEW</t>
  </si>
  <si>
    <t>Depanel</t>
  </si>
  <si>
    <t xml:space="preserve">Atlas Devices
</t>
  </si>
  <si>
    <t>2/12</t>
  </si>
  <si>
    <t>ALTA</t>
  </si>
  <si>
    <r>
      <t xml:space="preserve">clear 2/16
</t>
    </r>
    <r>
      <rPr>
        <b/>
        <strike/>
        <sz val="11"/>
        <color rgb="FF000000"/>
        <rFont val="Calibri"/>
      </rPr>
      <t>short due 2/16</t>
    </r>
  </si>
  <si>
    <t>2/12 - matl clear</t>
  </si>
  <si>
    <t>138082
NEW</t>
  </si>
  <si>
    <t>02/23
5D</t>
  </si>
  <si>
    <t>SW1 After wash
*** Depanel (see ECO) - De-panel required. Tabs from de-paneling shall be .015 max beyond the board outline and .015 max below flush to the board outline.
Trim requirements (see Cust doc)</t>
  </si>
  <si>
    <t>2/19 - 8:00</t>
  </si>
  <si>
    <t>2/19 - 8:30</t>
  </si>
  <si>
    <t>2/19 - 9:30</t>
  </si>
  <si>
    <t xml:space="preserve">Flex Radio Systems
</t>
  </si>
  <si>
    <t>clear 2/2</t>
  </si>
  <si>
    <r>
      <t xml:space="preserve">2/11 - kit clear
</t>
    </r>
    <r>
      <rPr>
        <b/>
        <strike/>
        <sz val="11"/>
        <color rgb="FF000000"/>
        <rFont val="Calibri"/>
      </rPr>
      <t>2/2 - short SMT Y1 &amp; Y2 due 2/12
short SMT C2 (no skip qty too high) &amp; L4, no ETA
short THT J6, no ETA</t>
    </r>
  </si>
  <si>
    <t>137811
RONC 131630</t>
  </si>
  <si>
    <t>02/23
10D</t>
  </si>
  <si>
    <r>
      <rPr>
        <b/>
        <sz val="12"/>
        <color rgb="FF000000"/>
        <rFont val="Calibri"/>
      </rPr>
      <t xml:space="preserve">*** PLEASE READ POWERPOINT DOC PRIOR TO RELEASING
***PLEASE ADDRESS ALL ISSUES ON THE POWERPOINT DOC BEFORE RUNNING
</t>
    </r>
    <r>
      <rPr>
        <b/>
        <sz val="11"/>
        <color rgb="FF000000"/>
        <rFont val="Calibri"/>
      </rPr>
      <t>DEPANEL
* SHIP BACK PARTS WITH BOARDS</t>
    </r>
  </si>
  <si>
    <t>2/17 - 8:00</t>
  </si>
  <si>
    <t>2/17 - 9:30</t>
  </si>
  <si>
    <t>DOC REL 1/30</t>
  </si>
  <si>
    <t>2/2
2/26</t>
  </si>
  <si>
    <r>
      <rPr>
        <b/>
        <sz val="11"/>
        <color rgb="FF000000"/>
        <rFont val="Calibri"/>
      </rPr>
      <t xml:space="preserve">clear 2/16
</t>
    </r>
    <r>
      <rPr>
        <b/>
        <strike/>
        <sz val="11"/>
        <color rgb="FF000000"/>
        <rFont val="Calibri"/>
      </rPr>
      <t>short due 2/16</t>
    </r>
  </si>
  <si>
    <t>137778
NEW</t>
  </si>
  <si>
    <t>DO NOT SKIP PREBAKE
NO CLEAN SOLDER OK TO USE
DEPANEL
*** SEE ECO FOR SPECIFIC LABELING</t>
  </si>
  <si>
    <t>2/19 - 6:00</t>
  </si>
  <si>
    <t xml:space="preserve">HunterLab
</t>
  </si>
  <si>
    <r>
      <rPr>
        <b/>
        <sz val="11"/>
        <color rgb="FF000000"/>
        <rFont val="Calibri"/>
      </rPr>
      <t>2/13 - CLR</t>
    </r>
    <r>
      <rPr>
        <b/>
        <strike/>
        <sz val="11"/>
        <color rgb="FF000000"/>
        <rFont val="Calibri"/>
      </rPr>
      <t xml:space="preserve"> shot due 2/18</t>
    </r>
  </si>
  <si>
    <t>2/13-KIT CLEAR
2/6 - matl clear</t>
  </si>
  <si>
    <t>137795
NEW</t>
  </si>
  <si>
    <t>2/18 - 8:00</t>
  </si>
  <si>
    <t>2/18 - 10:00</t>
  </si>
  <si>
    <t>2/18 - 2:30</t>
  </si>
  <si>
    <t>Blur Development Group</t>
  </si>
  <si>
    <t>list</t>
  </si>
  <si>
    <r>
      <t xml:space="preserve">2/19 - QTY 36 ETA 2/19
short, </t>
    </r>
    <r>
      <rPr>
        <b/>
        <strike/>
        <sz val="11"/>
        <color rgb="FF000000"/>
        <rFont val="Calibri"/>
      </rPr>
      <t>no ETA 2/18 2/23</t>
    </r>
  </si>
  <si>
    <r>
      <t xml:space="preserve">2/3 - matl clear
</t>
    </r>
    <r>
      <rPr>
        <b/>
        <strike/>
        <sz val="11"/>
        <color rgb="FF000000"/>
        <rFont val="Calibri"/>
        <family val="2"/>
      </rPr>
      <t>2/2 - short SMT R81 (ok to skip), no ETA</t>
    </r>
  </si>
  <si>
    <t>2/19 - "R437" IS NOW DNI
2/19 - RUN QTY NOW 36 - CLOSE SHORT</t>
  </si>
  <si>
    <t>137727
NEW
(AS9100-ITAR-CUI)</t>
  </si>
  <si>
    <r>
      <rPr>
        <b/>
        <sz val="14"/>
        <color rgb="FF000000"/>
        <rFont val="Calibri"/>
      </rPr>
      <t xml:space="preserve">02/23
</t>
    </r>
    <r>
      <rPr>
        <b/>
        <sz val="14"/>
        <color rgb="FFFF0000"/>
        <rFont val="Calibri"/>
      </rPr>
      <t>1D</t>
    </r>
  </si>
  <si>
    <t>* 2/19 - QTY CHANGED TO 36
AS9102 FAIR REQ
CLASS 3
AOI REQUIRED
XRAY &amp; SAVE IMAGES
TAD DEPANEL
sand required (customer doc)</t>
  </si>
  <si>
    <t>2/20 - 1:30</t>
  </si>
  <si>
    <t>2/2</t>
  </si>
  <si>
    <r>
      <t>clear</t>
    </r>
    <r>
      <rPr>
        <b/>
        <strike/>
        <sz val="11"/>
        <color rgb="FF000000"/>
        <rFont val="Calibri"/>
      </rPr>
      <t xml:space="preserve"> 2/12short, no ETA 2/16</t>
    </r>
  </si>
  <si>
    <t>2/17 - awt fixture</t>
  </si>
  <si>
    <t>138116-FA
RONC 135880</t>
  </si>
  <si>
    <t>02/20
5D</t>
  </si>
  <si>
    <r>
      <rPr>
        <b/>
        <sz val="11"/>
        <color rgb="FF000000"/>
        <rFont val="Calibri"/>
      </rPr>
      <t xml:space="preserve">balance qty remain 370
Do Not Open U1 until SMT starts
SMT: Use Orange Plus on U1
FA only DNI U3 (shield)
Depanel
Shipping: </t>
    </r>
    <r>
      <rPr>
        <b/>
        <u/>
        <sz val="11"/>
        <color rgb="FF000000"/>
        <rFont val="Calibri"/>
      </rPr>
      <t>Use plastic container</t>
    </r>
    <r>
      <rPr>
        <b/>
        <sz val="11"/>
        <color rgb="FF000000"/>
        <rFont val="Calibri"/>
      </rPr>
      <t xml:space="preserve"> or see TAD (see shipping photos)</t>
    </r>
  </si>
  <si>
    <t>2/17 - 12:00</t>
  </si>
  <si>
    <t>2/17 - 2:30</t>
  </si>
  <si>
    <t>confirm with SMT if we have enough plugs</t>
  </si>
  <si>
    <r>
      <t xml:space="preserve">clear 2/12
</t>
    </r>
    <r>
      <rPr>
        <b/>
        <strike/>
        <sz val="11"/>
        <color rgb="FF000000"/>
        <rFont val="Calibri"/>
      </rPr>
      <t>short due 2/11</t>
    </r>
  </si>
  <si>
    <r>
      <t xml:space="preserve">2/12 - kit clear
</t>
    </r>
    <r>
      <rPr>
        <b/>
        <strike/>
        <sz val="11"/>
        <color rgb="FF000000"/>
        <rFont val="Calibri"/>
      </rPr>
      <t>2/4 - short SMT U01DD00 (can skip??), no ETA
awt SMT part conf S01UC00</t>
    </r>
  </si>
  <si>
    <r>
      <rPr>
        <b/>
        <sz val="14"/>
        <color rgb="FF000000"/>
        <rFont val="Calibri"/>
      </rPr>
      <t xml:space="preserve">136539
NEW
</t>
    </r>
    <r>
      <rPr>
        <b/>
        <sz val="14"/>
        <color rgb="FFFF0000"/>
        <rFont val="Calibri"/>
      </rPr>
      <t>(ITAR)</t>
    </r>
  </si>
  <si>
    <t>02/20
10D</t>
  </si>
  <si>
    <r>
      <rPr>
        <b/>
        <sz val="11"/>
        <color rgb="FF000000"/>
        <rFont val="Calibri"/>
      </rPr>
      <t xml:space="preserve">ASSEMBLY SHIP TO CZECK REPUBLIC P1
EXCESS SHIP LAKEWOOD CA P1
</t>
    </r>
    <r>
      <rPr>
        <b/>
        <sz val="11"/>
        <color rgb="FFFF0000"/>
        <rFont val="Calibri"/>
      </rPr>
      <t>EXCESS MATL MUST BE ESD PACKAGED INDIVIDUALLY INCL REELS</t>
    </r>
    <r>
      <rPr>
        <b/>
        <sz val="11"/>
        <color rgb="FF000000"/>
        <rFont val="Calibri"/>
      </rPr>
      <t xml:space="preserve"> - VACUUM SEAL - SEE ECO NOTE 1
***AA SALES NEED TO APPROVE THE COMMERCIAL INVOICE BEFORE DHL ACCT IS PROVIDED PER ECO NOTE 2
SHIP EXCESS MATL W/ BOARDS</t>
    </r>
  </si>
  <si>
    <t>2/17 - 6:00</t>
  </si>
  <si>
    <t>2/17- 8:00</t>
  </si>
  <si>
    <t>DHL INTL</t>
  </si>
  <si>
    <t xml:space="preserve">HONEYWELL INTERNATIONAL S.R.O.
</t>
  </si>
  <si>
    <t>2/4</t>
  </si>
  <si>
    <r>
      <t xml:space="preserve">clear 1/7
</t>
    </r>
    <r>
      <rPr>
        <b/>
        <strike/>
        <sz val="11"/>
        <color rgb="FF000000"/>
        <rFont val="Calibri"/>
        <family val="2"/>
      </rPr>
      <t>short due 12/22</t>
    </r>
  </si>
  <si>
    <r>
      <t xml:space="preserve">2/9 - matl clear
</t>
    </r>
    <r>
      <rPr>
        <b/>
        <strike/>
        <sz val="11"/>
        <color rgb="FF000000"/>
        <rFont val="Calibri"/>
      </rPr>
      <t>2/5 SMT U8 eta 2/9
1/7 - short SMT U8 (no skip), no ETA
12/8 - short SMT many, no ETA
SMT D5 - ok to use</t>
    </r>
  </si>
  <si>
    <r>
      <rPr>
        <b/>
        <sz val="11"/>
        <color rgb="FF000000"/>
        <rFont val="Calibri"/>
      </rPr>
      <t>2/9 -</t>
    </r>
    <r>
      <rPr>
        <b/>
        <strike/>
        <sz val="11"/>
        <color rgb="FF000000"/>
        <rFont val="Calibri"/>
      </rPr>
      <t xml:space="preserve"> clear to run, no ship date currently
1/12 - SMT bot comp
12/9 - matl clear to run bottom</t>
    </r>
  </si>
  <si>
    <t>137044
NEW</t>
  </si>
  <si>
    <r>
      <rPr>
        <b/>
        <sz val="14"/>
        <color rgb="FF000000"/>
        <rFont val="Calibri"/>
      </rPr>
      <t xml:space="preserve">2/20
</t>
    </r>
    <r>
      <rPr>
        <b/>
        <strike/>
        <sz val="14"/>
        <color rgb="FF000000"/>
        <rFont val="Calibri"/>
      </rPr>
      <t xml:space="preserve">02/18
</t>
    </r>
    <r>
      <rPr>
        <b/>
        <sz val="14"/>
        <color rgb="FF000000"/>
        <rFont val="Calibri"/>
      </rPr>
      <t>10D</t>
    </r>
  </si>
  <si>
    <r>
      <rPr>
        <b/>
        <sz val="12"/>
        <color rgb="FFFF0000"/>
        <rFont val="Calibri"/>
      </rPr>
      <t xml:space="preserve">***EXPEDITE IF POSSIBLE
</t>
    </r>
    <r>
      <rPr>
        <b/>
        <sz val="11"/>
        <color rgb="FF000000"/>
        <rFont val="Calibri"/>
      </rPr>
      <t>DO NOT SKIP PREBAKE
SEE ECO FOR SPECIFIC LABEL REQUIREMENTS
DEPANEL
OVERPACK
ShIP TO: Austin TX address for Paul Matthews PER ECO</t>
    </r>
  </si>
  <si>
    <t>1/9 - 11:30</t>
  </si>
  <si>
    <t>2/13 - 5:00</t>
  </si>
  <si>
    <t>2/14 - 1:30</t>
  </si>
  <si>
    <t>12/8
2/23*</t>
  </si>
  <si>
    <t>clear 2/6</t>
  </si>
  <si>
    <t>2/6 - kit clear</t>
  </si>
  <si>
    <t>137779
NEW</t>
  </si>
  <si>
    <t>Install Jumpers
Depanel</t>
  </si>
  <si>
    <t>2/10 - 8:00</t>
  </si>
  <si>
    <t>2/12 - 12:00</t>
  </si>
  <si>
    <t>2/13 - 6:00</t>
  </si>
  <si>
    <t>2/6
2/23</t>
  </si>
  <si>
    <r>
      <rPr>
        <b/>
        <sz val="11"/>
        <color rgb="FF000000"/>
        <rFont val="Calibri"/>
      </rPr>
      <t xml:space="preserve">CLEAR 2/18
</t>
    </r>
    <r>
      <rPr>
        <b/>
        <strike/>
        <sz val="11"/>
        <color rgb="FF000000"/>
        <rFont val="Calibri"/>
      </rPr>
      <t>short, no ETA 2/18</t>
    </r>
  </si>
  <si>
    <r>
      <rPr>
        <b/>
        <sz val="11"/>
        <color rgb="FF000000"/>
        <rFont val="Calibri"/>
      </rPr>
      <t xml:space="preserve">2/18-KIT CLEAR </t>
    </r>
    <r>
      <rPr>
        <b/>
        <strike/>
        <sz val="11"/>
        <color rgb="FF000000"/>
        <rFont val="Calibri"/>
      </rPr>
      <t>2/12 -short THT F1x partial
awt THT part 2x conf</t>
    </r>
  </si>
  <si>
    <t>137748
ROWC 137431</t>
  </si>
  <si>
    <r>
      <rPr>
        <b/>
        <sz val="14"/>
        <color rgb="FF000000"/>
        <rFont val="Calibri"/>
      </rPr>
      <t xml:space="preserve">2/19
</t>
    </r>
    <r>
      <rPr>
        <b/>
        <sz val="14"/>
        <color rgb="FFFF0000"/>
        <rFont val="Calibri"/>
      </rPr>
      <t>1D</t>
    </r>
  </si>
  <si>
    <r>
      <rPr>
        <b/>
        <sz val="11"/>
        <color rgb="FF000000"/>
        <rFont val="Calibri"/>
      </rPr>
      <t xml:space="preserve">No Discernible Reside
Install </t>
    </r>
    <r>
      <rPr>
        <b/>
        <u/>
        <sz val="11"/>
        <color rgb="FF000000"/>
        <rFont val="Calibri"/>
      </rPr>
      <t xml:space="preserve">fuse, fuse cover
"FX_1 x24 &amp; F3_3 &amp; RELATED " SEE ECO NOTE 4 FOR INSTALLATION
</t>
    </r>
    <r>
      <rPr>
        <b/>
        <sz val="11"/>
        <color rgb="FF000000"/>
        <rFont val="Calibri"/>
      </rPr>
      <t>Depanel</t>
    </r>
  </si>
  <si>
    <t>2/18 - 3:30</t>
  </si>
  <si>
    <t>2/18 - 4:00</t>
  </si>
  <si>
    <t>dni to load
uploaded</t>
  </si>
  <si>
    <r>
      <rPr>
        <b/>
        <sz val="11"/>
        <color rgb="FF000000"/>
        <rFont val="Calibri"/>
        <family val="2"/>
      </rPr>
      <t xml:space="preserve">clear 2/2
</t>
    </r>
    <r>
      <rPr>
        <b/>
        <strike/>
        <sz val="11"/>
        <color rgb="FF000000"/>
        <rFont val="Calibri"/>
        <family val="2"/>
      </rPr>
      <t>SHORT, ETA 1/30 in STKRM,wait for recv'd then clear 1/26</t>
    </r>
  </si>
  <si>
    <r>
      <rPr>
        <b/>
        <sz val="11"/>
        <color rgb="FF000000"/>
        <rFont val="Calibri"/>
        <family val="2"/>
      </rPr>
      <t xml:space="preserve">1/29 - matl clear
</t>
    </r>
    <r>
      <rPr>
        <b/>
        <strike/>
        <sz val="11"/>
        <color rgb="FF000000"/>
        <rFont val="Calibri"/>
        <family val="2"/>
      </rPr>
      <t xml:space="preserve">1/16-SHORT for L3 (THT)  No ETA </t>
    </r>
  </si>
  <si>
    <t>2/4 - SMT top 1st</t>
  </si>
  <si>
    <r>
      <rPr>
        <b/>
        <sz val="14"/>
        <color rgb="FF000000"/>
        <rFont val="Calibri"/>
        <family val="2"/>
      </rPr>
      <t xml:space="preserve">136837
NEW
</t>
    </r>
    <r>
      <rPr>
        <b/>
        <sz val="14"/>
        <color rgb="FFFF0000"/>
        <rFont val="Calibri"/>
        <family val="2"/>
      </rPr>
      <t>(AS9100-ITAR)</t>
    </r>
  </si>
  <si>
    <r>
      <rPr>
        <b/>
        <sz val="14"/>
        <color rgb="FF000000"/>
        <rFont val="Calibri"/>
      </rPr>
      <t xml:space="preserve">2/19
</t>
    </r>
    <r>
      <rPr>
        <b/>
        <strike/>
        <sz val="14"/>
        <color rgb="FF000000"/>
        <rFont val="Calibri"/>
      </rPr>
      <t xml:space="preserve">02/17
</t>
    </r>
    <r>
      <rPr>
        <b/>
        <sz val="14"/>
        <color rgb="FF000000"/>
        <rFont val="Calibri"/>
      </rPr>
      <t>15D</t>
    </r>
  </si>
  <si>
    <r>
      <rPr>
        <b/>
        <sz val="11"/>
        <color rgb="FF000000"/>
        <rFont val="Calibri"/>
      </rPr>
      <t xml:space="preserve">AS9102 FAIR REQ
"BEAD1, BEAD2" ADD BEFORE SOLDERING - SEE ECO
</t>
    </r>
    <r>
      <rPr>
        <b/>
        <strike/>
        <u/>
        <sz val="11"/>
        <color rgb="FF000000"/>
        <rFont val="Calibri"/>
      </rPr>
      <t>rtv required</t>
    </r>
  </si>
  <si>
    <t>2/5 - 7:30</t>
  </si>
  <si>
    <t>2/5 - 12:00</t>
  </si>
  <si>
    <t xml:space="preserve">Acutronic USA, Inc.
</t>
  </si>
  <si>
    <t>1/19
2/24</t>
  </si>
  <si>
    <t>clear 2/1</t>
  </si>
  <si>
    <t>2/2 - kit clear</t>
  </si>
  <si>
    <r>
      <rPr>
        <b/>
        <sz val="11"/>
        <color rgb="FF000000"/>
        <rFont val="Calibri"/>
      </rPr>
      <t xml:space="preserve">2/11 - Expedite Confirmed
2/1 - expedite (per Anne)
</t>
    </r>
    <r>
      <rPr>
        <b/>
        <strike/>
        <sz val="11"/>
        <color rgb="FF000000"/>
        <rFont val="Calibri"/>
      </rPr>
      <t>1/28 - CUST WILL TEST THE QTY 5 FA AND GET BACK TO ALTA IN 24 HRS TO RUN THE BALANCE QTY 115</t>
    </r>
  </si>
  <si>
    <r>
      <rPr>
        <b/>
        <sz val="14"/>
        <color rgb="FF000000"/>
        <rFont val="Calibri"/>
      </rPr>
      <t xml:space="preserve">
02/18
</t>
    </r>
    <r>
      <rPr>
        <b/>
        <strike/>
        <sz val="14"/>
        <color rgb="FF000000"/>
        <rFont val="Calibri"/>
      </rPr>
      <t xml:space="preserve">02/17
</t>
    </r>
    <r>
      <rPr>
        <b/>
        <sz val="14"/>
        <color rgb="FF000000"/>
        <rFont val="Calibri"/>
      </rPr>
      <t>15D</t>
    </r>
  </si>
  <si>
    <r>
      <rPr>
        <b/>
        <sz val="11"/>
        <color rgb="FFFF0000"/>
        <rFont val="Calibri"/>
        <family val="2"/>
      </rPr>
      <t>EXPEDITE</t>
    </r>
    <r>
      <rPr>
        <b/>
        <sz val="11"/>
        <color rgb="FF000000"/>
        <rFont val="Calibri"/>
        <family val="2"/>
      </rPr>
      <t xml:space="preserve">! (confirm)
*** MAKE SURE PARTS ARE PREBAKED PER MSL LEVELS!!! - ESPECIALLY ITEM 20 (VCA2616YT) PARTS ARE OBSOLETE </t>
    </r>
    <r>
      <rPr>
        <b/>
        <u/>
        <sz val="11"/>
        <color rgb="FF000000"/>
        <rFont val="Calibri"/>
        <family val="2"/>
      </rPr>
      <t xml:space="preserve">AND EXCEEDED MAX SHELF LIFE
</t>
    </r>
    <r>
      <rPr>
        <b/>
        <sz val="11"/>
        <color rgb="FF000000"/>
        <rFont val="Calibri"/>
        <family val="2"/>
      </rPr>
      <t>RUN QTY 5 &amp; HOLD SET UP - CUST WILL APPROVE FA IN 1-2 DAYS
*** SEE ALTA QUALITY ALERT
*** 100% INSP REQ - BOARDS MUST BE PERFECT!!!
*** SOLDER BRIDGE REQ (SEE TRI FOR TRAINING) @ ""U14, U15, U20, U21, U26, U27, U32 and U33"" @ PINS 22, 23 &amp; 24
XRAY &amp; SAVE IMAGES
DEPANEL
QR code label matches board &amp; bag</t>
    </r>
  </si>
  <si>
    <t>2/6 - 5:00</t>
  </si>
  <si>
    <t>2/6 - 12:30</t>
  </si>
  <si>
    <t>2/7 - 12:00</t>
  </si>
  <si>
    <t xml:space="preserve">QT Imaging, Inc.
</t>
  </si>
  <si>
    <t>DOC REL 2/2</t>
  </si>
  <si>
    <t>2/2
2/24</t>
  </si>
  <si>
    <t>ronc uploaded</t>
  </si>
  <si>
    <r>
      <t xml:space="preserve">clear 2/6
</t>
    </r>
    <r>
      <rPr>
        <b/>
        <strike/>
        <sz val="11"/>
        <color rgb="FF000000"/>
        <rFont val="Calibri"/>
      </rPr>
      <t>short qty 66 due 1/28
due 1/23 &amp; bal due 1/28
short due 1/21</t>
    </r>
  </si>
  <si>
    <r>
      <t xml:space="preserve">1/21 - matl clear
</t>
    </r>
    <r>
      <rPr>
        <b/>
        <strike/>
        <sz val="11"/>
        <color rgb="FF000000"/>
        <rFont val="Calibri"/>
        <family val="2"/>
      </rPr>
      <t>1/20 - enough matl for qty 66 PCB
1/12 - short SMT D1 &amp; L2, no ETA
awt SMT part conf U46</t>
    </r>
  </si>
  <si>
    <t>1/21 - clear for qty 66 of 132; DAY 1 is 1/26 (Anne)</t>
  </si>
  <si>
    <r>
      <rPr>
        <b/>
        <sz val="14"/>
        <color rgb="FF000000"/>
        <rFont val="Calibri"/>
      </rPr>
      <t>137373-2bal
ROWC 136862
(</t>
    </r>
    <r>
      <rPr>
        <b/>
        <sz val="14"/>
        <color rgb="FFFF0000"/>
        <rFont val="Calibri"/>
      </rPr>
      <t>AS9100-ITAR-CUI</t>
    </r>
    <r>
      <rPr>
        <b/>
        <sz val="14"/>
        <color rgb="FF000000"/>
        <rFont val="Calibri"/>
      </rPr>
      <t>)</t>
    </r>
  </si>
  <si>
    <r>
      <rPr>
        <b/>
        <sz val="14"/>
        <color rgb="FF000000"/>
        <rFont val="Calibri"/>
      </rPr>
      <t xml:space="preserve">2/18
</t>
    </r>
    <r>
      <rPr>
        <b/>
        <strike/>
        <sz val="14"/>
        <color rgb="FF000000"/>
        <rFont val="Calibri"/>
      </rPr>
      <t xml:space="preserve">02/13
</t>
    </r>
    <r>
      <rPr>
        <b/>
        <sz val="14"/>
        <color rgb="FF000000"/>
        <rFont val="Calibri"/>
      </rPr>
      <t>5D</t>
    </r>
  </si>
  <si>
    <r>
      <rPr>
        <b/>
        <u/>
        <sz val="12"/>
        <color rgb="FFFF0000"/>
        <rFont val="Calibri"/>
      </rPr>
      <t xml:space="preserve">* AS9102 *
*** ALERT!!! ITEM 68 &amp; 69 TOP COVERS CAME OFF DURING AQUANOX &amp; DI WASH
</t>
    </r>
    <r>
      <rPr>
        <b/>
        <sz val="11"/>
        <color rgb="FF000000"/>
        <rFont val="Calibri"/>
      </rPr>
      <t xml:space="preserve">prev ship qty 66 on 1/30
*** ALTA ALERT!!! - "BAT1" FELL OFF FA BOARDS - PLEASE ENSURE EXTRA SOLDER  AND TEST TO SEE IF HOLDER WILL COME OFF
*** USE ROL0 OR ROL1 SOLDER PASTE
AOI, xray &amp; save images required
LEAD-FREE no-clean (Aquanox)
QR code - S/N: Start at 00217
reminder photos: don't forget to take shots of singles
</t>
    </r>
    <r>
      <rPr>
        <b/>
        <u/>
        <sz val="11"/>
        <color rgb="FF000000"/>
        <rFont val="Calibri"/>
      </rPr>
      <t>CHECK "LP1" FITS - IF NOT DNI &amp; ship with boards</t>
    </r>
  </si>
  <si>
    <t>2/9 - 10:30</t>
  </si>
  <si>
    <t>2/10 - 1:30</t>
  </si>
  <si>
    <t>2/11 - 9:00</t>
  </si>
  <si>
    <t>1/12</t>
  </si>
  <si>
    <t>RMA PREV BUILD</t>
  </si>
  <si>
    <t>p/n
uploaded</t>
  </si>
  <si>
    <t>fit check LP1</t>
  </si>
  <si>
    <r>
      <rPr>
        <b/>
        <sz val="11"/>
        <color rgb="FF000000"/>
        <rFont val="Calibri"/>
        <family val="2"/>
      </rPr>
      <t xml:space="preserve">1/30-CLR. </t>
    </r>
    <r>
      <rPr>
        <b/>
        <strike/>
        <sz val="11"/>
        <color rgb="FF000000"/>
        <rFont val="Calibri"/>
        <family val="2"/>
      </rPr>
      <t>short no ETA 1/26
 no ETA 12/11</t>
    </r>
  </si>
  <si>
    <r>
      <t xml:space="preserve">11/24 - matl clear
</t>
    </r>
    <r>
      <rPr>
        <b/>
        <strike/>
        <sz val="11"/>
        <color theme="1"/>
        <rFont val="Calibri"/>
        <family val="2"/>
      </rPr>
      <t>11/20 - short THT A1_JA qty 36
11/17 - short SMT A9_J1 (no skip)</t>
    </r>
  </si>
  <si>
    <r>
      <rPr>
        <b/>
        <sz val="11"/>
        <color rgb="FF000000"/>
        <rFont val="Calibri"/>
        <family val="2"/>
      </rPr>
      <t xml:space="preserve">2/3 - </t>
    </r>
    <r>
      <rPr>
        <b/>
        <sz val="11"/>
        <color rgb="FFFF0000"/>
        <rFont val="Calibri"/>
        <family val="2"/>
      </rPr>
      <t>A1_JA undersized</t>
    </r>
  </si>
  <si>
    <r>
      <rPr>
        <b/>
        <sz val="14"/>
        <color rgb="FF000000"/>
        <rFont val="Calibri"/>
        <family val="2"/>
      </rPr>
      <t xml:space="preserve">136488
NEW
</t>
    </r>
    <r>
      <rPr>
        <b/>
        <sz val="14"/>
        <color rgb="FFFF0000"/>
        <rFont val="Calibri"/>
        <family val="2"/>
      </rPr>
      <t>(DoD-CUI/ ITAR)</t>
    </r>
  </si>
  <si>
    <r>
      <rPr>
        <b/>
        <sz val="14"/>
        <color rgb="FF000000"/>
        <rFont val="Calibri"/>
        <family val="2"/>
      </rPr>
      <t xml:space="preserve">???
</t>
    </r>
    <r>
      <rPr>
        <b/>
        <strike/>
        <sz val="14"/>
        <color rgb="FF000000"/>
        <rFont val="Calibri"/>
        <family val="2"/>
      </rPr>
      <t xml:space="preserve">02/04
</t>
    </r>
    <r>
      <rPr>
        <b/>
        <sz val="14"/>
        <color rgb="FFFF0000"/>
        <rFont val="Calibri"/>
        <family val="2"/>
      </rPr>
      <t>3D</t>
    </r>
  </si>
  <si>
    <r>
      <rPr>
        <b/>
        <sz val="11"/>
        <color rgb="FF000000"/>
        <rFont val="Calibri"/>
        <family val="2"/>
      </rPr>
      <t xml:space="preserve">Class 3
Lead-Free Clean
SMT 125 mil clear of THT
Press Fit A1_JA x43
</t>
    </r>
    <r>
      <rPr>
        <b/>
        <u/>
        <sz val="11"/>
        <color rgb="FF000000"/>
        <rFont val="Calibri"/>
        <family val="2"/>
      </rPr>
      <t>A1_LPA x28 hardware &amp; torque required (12 lb-in)
DEPANEL</t>
    </r>
  </si>
  <si>
    <t>2/2 - 12:00</t>
  </si>
  <si>
    <t>DOC REL 11/14</t>
  </si>
  <si>
    <t>11/17</t>
  </si>
  <si>
    <r>
      <t xml:space="preserve">clear for FA
</t>
    </r>
    <r>
      <rPr>
        <b/>
        <strike/>
        <sz val="11"/>
        <color rgb="FF000000"/>
        <rFont val="Calibri"/>
      </rPr>
      <t>2/8 - recv qty 26</t>
    </r>
  </si>
  <si>
    <r>
      <t xml:space="preserve">2/11 - kit clear
</t>
    </r>
    <r>
      <rPr>
        <b/>
        <strike/>
        <sz val="11"/>
        <color rgb="FF000000"/>
        <rFont val="Calibri"/>
      </rPr>
      <t>2/6 - short SMT C105, no ETA
2/5 - awt SMT part conf 4x
short THT rtv</t>
    </r>
  </si>
  <si>
    <t>2/9 - day 1 is 2/10 (Anne)</t>
  </si>
  <si>
    <t>135902-FA
NEW</t>
  </si>
  <si>
    <t>02/17
5D</t>
  </si>
  <si>
    <r>
      <rPr>
        <b/>
        <sz val="11"/>
        <color rgb="FF000000"/>
        <rFont val="Calibri"/>
      </rPr>
      <t xml:space="preserve">balance remain qty 45
DO NOT SKIP PREBAKE
LEAD PROCESS
"L3, U30, U32,U40" MOISTURE SENSITIVE
"F1" DO NOT INSTALL PER ECO #12 - </t>
    </r>
    <r>
      <rPr>
        <b/>
        <u/>
        <sz val="11"/>
        <color rgb="FF000000"/>
        <rFont val="Calibri"/>
      </rPr>
      <t xml:space="preserve">*PACKAGE IN SEPARATE ESD BAGS - FUSE WILL BREAK
</t>
    </r>
    <r>
      <rPr>
        <b/>
        <sz val="11"/>
        <color rgb="FF000000"/>
        <rFont val="Calibri"/>
      </rPr>
      <t xml:space="preserve">DNI "XP1, F1, F2, J17, J20 PER ECO #13
DEPANEL
</t>
    </r>
    <r>
      <rPr>
        <b/>
        <strike/>
        <u/>
        <sz val="11"/>
        <color rgb="FF000000"/>
        <rFont val="Calibri"/>
      </rPr>
      <t>DP420-black required (see cust doc)</t>
    </r>
  </si>
  <si>
    <t>2/10 - 2:00</t>
  </si>
  <si>
    <t>2/10 - 10:00</t>
  </si>
  <si>
    <t>cust drawing</t>
  </si>
  <si>
    <r>
      <t xml:space="preserve">clear 2/5
</t>
    </r>
    <r>
      <rPr>
        <b/>
        <strike/>
        <sz val="11"/>
        <color rgb="FF000000"/>
        <rFont val="Calibri"/>
        <family val="2"/>
      </rPr>
      <t>short due 2/12</t>
    </r>
  </si>
  <si>
    <r>
      <t xml:space="preserve">2/3 - matl clear
</t>
    </r>
    <r>
      <rPr>
        <b/>
        <strike/>
        <sz val="11"/>
        <color rgb="FF000000"/>
        <rFont val="Calibri"/>
        <family val="2"/>
      </rPr>
      <t>1/26 - short SMT 4x no ETA</t>
    </r>
  </si>
  <si>
    <t>137578
ROWC 133231</t>
  </si>
  <si>
    <t>02/17
10D</t>
  </si>
  <si>
    <t>LEAD PROCESS
DEPANEL</t>
  </si>
  <si>
    <t>2/6 - 11:30</t>
  </si>
  <si>
    <t>2/9 - 12:00</t>
  </si>
  <si>
    <t xml:space="preserve">Safe Foods
</t>
  </si>
  <si>
    <t>DOC REL 1/22</t>
  </si>
  <si>
    <t>1/26
2/20</t>
  </si>
  <si>
    <t>clear 2/3</t>
  </si>
  <si>
    <r>
      <t xml:space="preserve">2/10 - matl clear
</t>
    </r>
    <r>
      <rPr>
        <b/>
        <strike/>
        <sz val="11"/>
        <color rgb="FF000000"/>
        <rFont val="Calibri"/>
      </rPr>
      <t>2/5 - short SMT U24 qty 48, no ETA
2/3 - short SMT C96 (top), U24 (top) &amp; J1 (top), no ETA 2/5
1/29 - NEED HEAD START &amp; OVERTIME!!!</t>
    </r>
  </si>
  <si>
    <r>
      <t xml:space="preserve">2/10 - expedite qty 30
</t>
    </r>
    <r>
      <rPr>
        <b/>
        <strike/>
        <sz val="11"/>
        <color rgb="FF000000"/>
        <rFont val="Calibri"/>
      </rPr>
      <t>2/6 - new J17 due 2/9
2/5 - J17 &amp; J18 replace
2/5 - clear for qty 52</t>
    </r>
  </si>
  <si>
    <t>2</t>
  </si>
  <si>
    <t>137877-1par
NEW</t>
  </si>
  <si>
    <t>02/13
5D</t>
  </si>
  <si>
    <r>
      <rPr>
        <b/>
        <u/>
        <sz val="11"/>
        <color rgb="FFE97132"/>
        <rFont val="Calibri"/>
      </rPr>
      <t xml:space="preserve">*** </t>
    </r>
    <r>
      <rPr>
        <b/>
        <u/>
        <sz val="11"/>
        <color rgb="FFFF0000"/>
        <rFont val="Calibri"/>
      </rPr>
      <t xml:space="preserve">NEED HEAD START &amp; OVERTIME!!!
</t>
    </r>
    <r>
      <rPr>
        <b/>
        <sz val="11"/>
        <color rgb="FF000000"/>
        <rFont val="Calibri"/>
      </rPr>
      <t xml:space="preserve">"L19, L77, L80, L81" SEE ECO #2 FOR MARKING
"BZ1 &amp; U27" AFTER WASH MOISTURE SENSITIVE
</t>
    </r>
    <r>
      <rPr>
        <b/>
        <u/>
        <sz val="11"/>
        <color rgb="FF000000"/>
        <rFont val="Calibri"/>
      </rPr>
      <t>"J46" DNI &amp; SHIP BACK w/BOARDS</t>
    </r>
  </si>
  <si>
    <t>2/4 - 11:00</t>
  </si>
  <si>
    <t>2/5 - 12:30</t>
  </si>
  <si>
    <t>2/12 - 9:00</t>
  </si>
  <si>
    <t>2/3</t>
  </si>
  <si>
    <t>j6, j8 depanel?</t>
  </si>
  <si>
    <t>137877-2bal
NEW</t>
  </si>
  <si>
    <t>02/18
5D</t>
  </si>
  <si>
    <r>
      <rPr>
        <b/>
        <u/>
        <sz val="11"/>
        <color rgb="FFE97132"/>
        <rFont val="Calibri"/>
        <family val="2"/>
      </rPr>
      <t xml:space="preserve">*** </t>
    </r>
    <r>
      <rPr>
        <b/>
        <u/>
        <sz val="11"/>
        <color rgb="FFFF0000"/>
        <rFont val="Calibri"/>
        <family val="2"/>
      </rPr>
      <t xml:space="preserve">NEED HEAD START &amp; OVERTIME!!!
</t>
    </r>
    <r>
      <rPr>
        <b/>
        <sz val="11"/>
        <color rgb="FF000000"/>
        <rFont val="Calibri"/>
        <family val="2"/>
      </rPr>
      <t xml:space="preserve">"L19, L77, L80, L81" SEE ECO #2 FOR MARKING
"BZ1 &amp; U27" AFTER WASH MOISTURE SENSITIVE
</t>
    </r>
    <r>
      <rPr>
        <b/>
        <u/>
        <sz val="11"/>
        <color rgb="FF000000"/>
        <rFont val="Calibri"/>
        <family val="2"/>
      </rPr>
      <t>"J46" DNI &amp; SHIP BACK w/BOARDS</t>
    </r>
  </si>
  <si>
    <r>
      <t xml:space="preserve">clear 2/12
</t>
    </r>
    <r>
      <rPr>
        <b/>
        <strike/>
        <sz val="11"/>
        <color rgb="FF000000"/>
        <rFont val="Calibri"/>
      </rPr>
      <t>short due 2/13</t>
    </r>
  </si>
  <si>
    <t>2/11 - matl clear</t>
  </si>
  <si>
    <t>1</t>
  </si>
  <si>
    <t>137901-FA
NEW</t>
  </si>
  <si>
    <r>
      <rPr>
        <b/>
        <sz val="14"/>
        <color rgb="FF000000"/>
        <rFont val="Calibri"/>
      </rPr>
      <t xml:space="preserve">02/13
</t>
    </r>
    <r>
      <rPr>
        <b/>
        <sz val="14"/>
        <color rgb="FFFF0000"/>
        <rFont val="Calibri"/>
      </rPr>
      <t>1D</t>
    </r>
  </si>
  <si>
    <r>
      <rPr>
        <b/>
        <sz val="11"/>
        <color rgb="FF000000"/>
        <rFont val="Calibri"/>
      </rPr>
      <t xml:space="preserve">balance remaining qty 55
After Wash - L1
X2 - X6: Installed flat/flush to PCB
</t>
    </r>
    <r>
      <rPr>
        <b/>
        <u/>
        <sz val="11"/>
        <color rgb="FF000000"/>
        <rFont val="Calibri"/>
      </rPr>
      <t>No discernable residue
Remove pick-n-place tabs/stickers</t>
    </r>
  </si>
  <si>
    <t>2/12 - 1:30</t>
  </si>
  <si>
    <t>2/13 - 7:00</t>
  </si>
  <si>
    <t>2/11</t>
  </si>
  <si>
    <t>compete</t>
  </si>
  <si>
    <t>clear 2/4</t>
  </si>
  <si>
    <t>2/4 - kit clear</t>
  </si>
  <si>
    <r>
      <rPr>
        <b/>
        <sz val="14"/>
        <color rgb="FF000000"/>
        <rFont val="Calibri"/>
        <family val="2"/>
      </rPr>
      <t xml:space="preserve">135330
RONC 128817
</t>
    </r>
    <r>
      <rPr>
        <b/>
        <sz val="14"/>
        <color rgb="FFFF0000"/>
        <rFont val="Calibri"/>
        <family val="2"/>
      </rPr>
      <t>(AS9100)</t>
    </r>
  </si>
  <si>
    <t>2/13
10D</t>
  </si>
  <si>
    <t>AS9102 Fair
THT only
Board clean and free of debris
see ECO for pin placement
reseal parts bags</t>
  </si>
  <si>
    <t xml:space="preserve">Aptiv Services 3 US, LLC
</t>
  </si>
  <si>
    <t>2/4
2/19</t>
  </si>
  <si>
    <t>complete eco bag</t>
  </si>
  <si>
    <r>
      <t xml:space="preserve">clear 2/3
</t>
    </r>
    <r>
      <rPr>
        <b/>
        <strike/>
        <sz val="11"/>
        <color rgb="FF000000"/>
        <rFont val="Calibri"/>
        <family val="2"/>
      </rPr>
      <t>short qty 5 due 2/12
short qty 5 due soon
not clear
clear 1/12</t>
    </r>
  </si>
  <si>
    <r>
      <t xml:space="preserve">2/3 - matl clear
</t>
    </r>
    <r>
      <rPr>
        <b/>
        <strike/>
        <sz val="11"/>
        <color rgb="FF000000"/>
        <rFont val="Calibri"/>
        <family val="2"/>
      </rPr>
      <t>1/12 - short SMT D1 due 1/14</t>
    </r>
  </si>
  <si>
    <r>
      <rPr>
        <b/>
        <sz val="11"/>
        <color rgb="FF000000"/>
        <rFont val="Calibri"/>
      </rPr>
      <t xml:space="preserve">2/11 - do not ship (Tad)
2/4 - day 1 is 2/5 (Anne)
</t>
    </r>
    <r>
      <rPr>
        <b/>
        <strike/>
        <sz val="11"/>
        <color rgb="FF000000"/>
        <rFont val="Calibri"/>
      </rPr>
      <t>1/23 - OK TO RUN QTY 52 PER TAD
1/20 - do not run.  Talk to Robert first</t>
    </r>
  </si>
  <si>
    <t>137033
RONC 131098</t>
  </si>
  <si>
    <r>
      <rPr>
        <b/>
        <sz val="14"/>
        <color rgb="FF000000"/>
        <rFont val="Calibri"/>
      </rPr>
      <t xml:space="preserve">???
</t>
    </r>
    <r>
      <rPr>
        <b/>
        <strike/>
        <sz val="14"/>
        <color rgb="FF000000"/>
        <rFont val="Calibri"/>
      </rPr>
      <t xml:space="preserve">02/13
</t>
    </r>
    <r>
      <rPr>
        <b/>
        <sz val="14"/>
        <color rgb="FF000000"/>
        <rFont val="Calibri"/>
      </rPr>
      <t>10D</t>
    </r>
  </si>
  <si>
    <r>
      <rPr>
        <b/>
        <sz val="12"/>
        <color rgb="FFFF0000"/>
        <rFont val="Calibri"/>
      </rPr>
      <t xml:space="preserve">***DO NOT SAND PCB EDGES***
</t>
    </r>
    <r>
      <rPr>
        <b/>
        <sz val="11"/>
        <color rgb="FF000000"/>
        <rFont val="Calibri"/>
      </rPr>
      <t xml:space="preserve">Lead-Free Wash
measure PCBs dimensions prior to start(see ECO #2)
DEPANEL &amp; SAND PER ECO - 0.015 MAX
BOARDS TO BE FREE &amp; CLEAN OF DEBRIS AND RESIDUE
reminder: take photos
</t>
    </r>
    <r>
      <rPr>
        <b/>
        <sz val="12"/>
        <color rgb="FFFF0000"/>
        <rFont val="Calibri"/>
      </rPr>
      <t>*** DO NOT SAND PCB EDGES *** - BOARD HAS DIMENSIONAL TOLERANCES</t>
    </r>
  </si>
  <si>
    <t>1/26 - 9:00</t>
  </si>
  <si>
    <t>2/5 - 8:00</t>
  </si>
  <si>
    <t>INFORM ROBERT AFTER BOARDS DEPANELED</t>
  </si>
  <si>
    <t>DOC REL 1/9</t>
  </si>
  <si>
    <t>1/12
2/19</t>
  </si>
  <si>
    <t>ronc
no photos taken</t>
  </si>
  <si>
    <t>CONTACT ROBERT</t>
  </si>
  <si>
    <r>
      <t xml:space="preserve">clear 11/11
</t>
    </r>
    <r>
      <rPr>
        <b/>
        <strike/>
        <sz val="11"/>
        <color rgb="FF000000"/>
        <rFont val="Calibri"/>
        <family val="2"/>
      </rPr>
      <t>short, no ETA</t>
    </r>
  </si>
  <si>
    <r>
      <t xml:space="preserve">2/9 - kit clear
</t>
    </r>
    <r>
      <rPr>
        <b/>
        <strike/>
        <sz val="11"/>
        <color rgb="FF000000"/>
        <rFont val="Calibri"/>
      </rPr>
      <t>2/6 - J1 due 2/9
10/24 - short THT J1, no ETA Dec</t>
    </r>
  </si>
  <si>
    <r>
      <rPr>
        <b/>
        <sz val="14"/>
        <color rgb="FF000000"/>
        <rFont val="Calibri"/>
      </rPr>
      <t xml:space="preserve">136319-2bal
RONC 133551
</t>
    </r>
    <r>
      <rPr>
        <b/>
        <sz val="14"/>
        <color rgb="FFFF0000"/>
        <rFont val="Calibri"/>
      </rPr>
      <t>(AS9100-CUI/ ITAR)</t>
    </r>
  </si>
  <si>
    <r>
      <rPr>
        <b/>
        <sz val="14"/>
        <color rgb="FF000000"/>
        <rFont val="Calibri"/>
      </rPr>
      <t xml:space="preserve">02/11
</t>
    </r>
    <r>
      <rPr>
        <b/>
        <sz val="14"/>
        <color rgb="FFFF0000"/>
        <rFont val="Calibri"/>
      </rPr>
      <t>2D</t>
    </r>
  </si>
  <si>
    <r>
      <rPr>
        <b/>
        <sz val="11"/>
        <color rgb="FF000000"/>
        <rFont val="Calibri"/>
      </rPr>
      <t xml:space="preserve">prev build: PCB missing mousebite
CLASS 3
DO NOT SKIP AOI
LEAD-FREE WASH
SEE ECO NOTE 4 FOR SOLDERING WORKMANSHIP
XRAY &amp; SAVE IMAGES
TAD DEPANEL
AS9100 FAIR REQ
</t>
    </r>
    <r>
      <rPr>
        <b/>
        <u/>
        <sz val="11"/>
        <color rgb="FF000000"/>
        <rFont val="Calibri"/>
      </rPr>
      <t>install nuts &amp; rings</t>
    </r>
  </si>
  <si>
    <t>11/25 - 6:00</t>
  </si>
  <si>
    <t>11/25 - 8:00</t>
  </si>
  <si>
    <t>DOC REL 10/23</t>
  </si>
  <si>
    <t>10/24</t>
  </si>
  <si>
    <t>confirm PCB has mousebites</t>
  </si>
  <si>
    <t>2/9 - "J1" QTY 31 RECVD
11/25 - short THT J1, no ETA</t>
  </si>
  <si>
    <t>136861-1PAR
RONC 136319
(AS9100-CUI/ ITAR)</t>
  </si>
  <si>
    <t>2/10
20D</t>
  </si>
  <si>
    <r>
      <rPr>
        <b/>
        <sz val="11"/>
        <color rgb="FF000000"/>
        <rFont val="Calibri"/>
      </rPr>
      <t xml:space="preserve">photos: B133551
prev build: PCB missing mousebite
CLASS 3
DO NOT SKIP AOI
LEAD-FREE WASH
SEE ECO NOTE 4 FOR SOLDERING WORKMANSHIP
XRAY &amp; SAVE IMAGES
TAD DEPANEL
AS9100 FAIR REQ
</t>
    </r>
    <r>
      <rPr>
        <b/>
        <u/>
        <sz val="11"/>
        <color rgb="FF000000"/>
        <rFont val="Calibri"/>
      </rPr>
      <t>install nuts &amp; rings</t>
    </r>
  </si>
  <si>
    <r>
      <t xml:space="preserve">1/30-Recv' </t>
    </r>
    <r>
      <rPr>
        <b/>
        <strike/>
        <sz val="11"/>
        <color rgb="FF000000"/>
        <rFont val="Calibri"/>
        <family val="2"/>
      </rPr>
      <t>short due 1/29 1/23</t>
    </r>
  </si>
  <si>
    <r>
      <rPr>
        <b/>
        <sz val="11"/>
        <color rgb="FF000000"/>
        <rFont val="Calibri"/>
      </rPr>
      <t xml:space="preserve">2/9 - kit clear
</t>
    </r>
    <r>
      <rPr>
        <b/>
        <strike/>
        <sz val="11"/>
        <color rgb="FF000000"/>
        <rFont val="Calibri"/>
      </rPr>
      <t>1/30 - SMT CLEAR
1/21 - short THT J2, no ETA 3/10</t>
    </r>
  </si>
  <si>
    <r>
      <rPr>
        <b/>
        <sz val="14"/>
        <color rgb="FF000000"/>
        <rFont val="Calibri"/>
      </rPr>
      <t xml:space="preserve">137597
NEW
</t>
    </r>
    <r>
      <rPr>
        <b/>
        <sz val="14"/>
        <color rgb="FFFF0000"/>
        <rFont val="Calibri"/>
      </rPr>
      <t>(AS9100-ITAR-CUI)</t>
    </r>
  </si>
  <si>
    <r>
      <rPr>
        <b/>
        <sz val="14"/>
        <color rgb="FF000000"/>
        <rFont val="Calibri"/>
      </rPr>
      <t xml:space="preserve">2/10
</t>
    </r>
    <r>
      <rPr>
        <b/>
        <sz val="14"/>
        <color rgb="FFFF0000"/>
        <rFont val="Calibri"/>
      </rPr>
      <t>1D</t>
    </r>
  </si>
  <si>
    <r>
      <rPr>
        <b/>
        <sz val="11"/>
        <color rgb="FF000000"/>
        <rFont val="Calibri"/>
      </rPr>
      <t xml:space="preserve">AS9102 FAIR REQ
CLASS 3
AOI REQUIRED
Leaded WASH
"J2" SEE ECO FOR MOUNTING
XRAY &amp; SAVE IMAGES
Tad Depanel
Sand required (Customer Drawing)
</t>
    </r>
    <r>
      <rPr>
        <b/>
        <u/>
        <sz val="11"/>
        <color rgb="FF000000"/>
        <rFont val="Calibri"/>
      </rPr>
      <t>install hardware</t>
    </r>
  </si>
  <si>
    <t>FLEX BOARD
Notify Robert before start</t>
  </si>
  <si>
    <r>
      <t xml:space="preserve">1/30-Recv'
</t>
    </r>
    <r>
      <rPr>
        <b/>
        <strike/>
        <sz val="11"/>
        <color rgb="FF000000"/>
        <rFont val="Calibri"/>
        <family val="2"/>
      </rPr>
      <t>short due 1/29 1/23</t>
    </r>
  </si>
  <si>
    <r>
      <t xml:space="preserve">2/9 - kit clear
</t>
    </r>
    <r>
      <rPr>
        <b/>
        <strike/>
        <sz val="11"/>
        <color rgb="FF000000"/>
        <rFont val="Calibri"/>
      </rPr>
      <t>1/30 - SMT CLEAR
1/20 - short THT P2, no ETA march</t>
    </r>
  </si>
  <si>
    <r>
      <rPr>
        <b/>
        <sz val="14"/>
        <color rgb="FF000000"/>
        <rFont val="Calibri"/>
      </rPr>
      <t xml:space="preserve">137596
NEW
</t>
    </r>
    <r>
      <rPr>
        <b/>
        <sz val="14"/>
        <color rgb="FFFF0000"/>
        <rFont val="Calibri"/>
      </rPr>
      <t>(AS9100-ITAR-CUI)</t>
    </r>
  </si>
  <si>
    <r>
      <rPr>
        <b/>
        <sz val="11"/>
        <color rgb="FF000000"/>
        <rFont val="Calibri"/>
      </rPr>
      <t xml:space="preserve">AS9102 FAIR REQ
CLASS 3
Lead-Free Wash
AOI, XRAY &amp; SAVE IMAGES
"P2" SEE ECO FOR MOUNTING
Clean boards (Cust Drawing)
</t>
    </r>
    <r>
      <rPr>
        <b/>
        <u/>
        <sz val="11"/>
        <color rgb="FF000000"/>
        <rFont val="Calibri"/>
      </rPr>
      <t>install nuts</t>
    </r>
  </si>
  <si>
    <t>conformal coating</t>
  </si>
  <si>
    <t>1/30-CLR</t>
  </si>
  <si>
    <r>
      <rPr>
        <b/>
        <sz val="11"/>
        <color rgb="FF000000"/>
        <rFont val="Calibri"/>
        <family val="2"/>
      </rPr>
      <t>1/30-CLEAR -</t>
    </r>
    <r>
      <rPr>
        <b/>
        <strike/>
        <sz val="11"/>
        <color rgb="FF000000"/>
        <rFont val="Calibri"/>
        <family val="2"/>
      </rPr>
      <t>U8 (SMT) reccvd', C/F okay to use?</t>
    </r>
    <r>
      <rPr>
        <b/>
        <sz val="11"/>
        <color rgb="FF000000"/>
        <rFont val="Calibri"/>
        <family val="2"/>
      </rPr>
      <t xml:space="preserve"> *</t>
    </r>
    <r>
      <rPr>
        <b/>
        <sz val="11"/>
        <color rgb="FFFF0000"/>
        <rFont val="Calibri"/>
        <family val="2"/>
      </rPr>
      <t xml:space="preserve">take good care of U7,not lose or damage. </t>
    </r>
  </si>
  <si>
    <t>137796
RONC 136582</t>
  </si>
  <si>
    <t>02/10
10D</t>
  </si>
  <si>
    <t>CARE!  U7 - exact given 
DEPANEL</t>
  </si>
  <si>
    <t>2/4 - 8:00</t>
  </si>
  <si>
    <t>2/4 - 10:00</t>
  </si>
  <si>
    <t>2/4 - 12:00</t>
  </si>
  <si>
    <t xml:space="preserve">Open Source Instruments, Inc.
</t>
  </si>
  <si>
    <t>1/30
2/13</t>
  </si>
  <si>
    <t>137830
ROWC 136998</t>
  </si>
  <si>
    <t>02/09
5D</t>
  </si>
  <si>
    <t>B136998 2nd Article Cancelled 01-30-2026
Transfer remaining boards/material to B137830
DO NOT SKIP PREBAKE
"SW1" AFTER WASH
DEPANEL</t>
  </si>
  <si>
    <t>2/4 - 1:30</t>
  </si>
  <si>
    <t>2/5 - 7:00</t>
  </si>
  <si>
    <t>alot of changes
uploaded</t>
  </si>
  <si>
    <t>prev build had bare board issue</t>
  </si>
  <si>
    <r>
      <t xml:space="preserve">clear 2/2
</t>
    </r>
    <r>
      <rPr>
        <b/>
        <strike/>
        <sz val="11"/>
        <color rgb="FF000000"/>
        <rFont val="Calibri"/>
        <family val="2"/>
      </rPr>
      <t>SHORT, NO ETA 2/2</t>
    </r>
  </si>
  <si>
    <r>
      <rPr>
        <b/>
        <sz val="11"/>
        <color rgb="FF000000"/>
        <rFont val="Calibri"/>
        <family val="2"/>
      </rPr>
      <t xml:space="preserve">2/2 - kit clear
</t>
    </r>
    <r>
      <rPr>
        <b/>
        <strike/>
        <sz val="11"/>
        <color rgb="FF000000"/>
        <rFont val="Calibri"/>
        <family val="2"/>
      </rPr>
      <t>1/23- SHORT R39  (SMT) with no ETA (SHIPPED BUT STUCK IN WEATHER)</t>
    </r>
  </si>
  <si>
    <t>137740
NEW</t>
  </si>
  <si>
    <t>2/4 - 4:00</t>
  </si>
  <si>
    <t>move THT #39 to SMT</t>
  </si>
  <si>
    <t>clear 1/26</t>
  </si>
  <si>
    <t>1/26 matl clear</t>
  </si>
  <si>
    <r>
      <rPr>
        <b/>
        <sz val="11"/>
        <color rgb="FF000000"/>
        <rFont val="Calibri"/>
        <family val="2"/>
      </rPr>
      <t xml:space="preserve">1/28 - stencil &amp; fixture in-house
</t>
    </r>
    <r>
      <rPr>
        <b/>
        <strike/>
        <sz val="11"/>
        <color rgb="FF000000"/>
        <rFont val="Calibri"/>
        <family val="2"/>
      </rPr>
      <t xml:space="preserve">1/27 - awt stencil and fixture
</t>
    </r>
    <r>
      <rPr>
        <b/>
        <sz val="11"/>
        <color rgb="FF000000"/>
        <rFont val="Calibri"/>
        <family val="2"/>
      </rPr>
      <t>1/26 - expedite LT10</t>
    </r>
  </si>
  <si>
    <t>137144
RONC 114318</t>
  </si>
  <si>
    <t>02/09
20D</t>
  </si>
  <si>
    <t>EXPEDITE (TAD)
DEPANEL</t>
  </si>
  <si>
    <t>1/27 - 10:00</t>
  </si>
  <si>
    <t>1/29 - 11:00</t>
  </si>
  <si>
    <t>1/29 - 2:30</t>
  </si>
  <si>
    <t>DOC REL 12/21</t>
  </si>
  <si>
    <t>1/26
2/9 (Tad)</t>
  </si>
  <si>
    <r>
      <t xml:space="preserve">clear 2/5
</t>
    </r>
    <r>
      <rPr>
        <b/>
        <strike/>
        <sz val="11"/>
        <color rgb="FF000000"/>
        <rFont val="Calibri"/>
        <family val="2"/>
      </rPr>
      <t>short due 2/5</t>
    </r>
  </si>
  <si>
    <t>1/29 - matl clear</t>
  </si>
  <si>
    <r>
      <rPr>
        <b/>
        <sz val="14"/>
        <color rgb="FF000000"/>
        <rFont val="Calibri"/>
        <family val="2"/>
      </rPr>
      <t xml:space="preserve">137757
NEW
</t>
    </r>
    <r>
      <rPr>
        <b/>
        <sz val="14"/>
        <color rgb="FFFF0000"/>
        <rFont val="Calibri"/>
        <family val="2"/>
      </rPr>
      <t>(AS9100-ITAR-CUI)</t>
    </r>
  </si>
  <si>
    <r>
      <rPr>
        <b/>
        <sz val="14"/>
        <color rgb="FF000000"/>
        <rFont val="Calibri"/>
        <family val="2"/>
      </rPr>
      <t xml:space="preserve">02/09
</t>
    </r>
    <r>
      <rPr>
        <b/>
        <strike/>
        <sz val="14"/>
        <color rgb="FF000000"/>
        <rFont val="Calibri"/>
        <family val="2"/>
      </rPr>
      <t xml:space="preserve">02/06
</t>
    </r>
    <r>
      <rPr>
        <b/>
        <sz val="14"/>
        <color rgb="FFFF0000"/>
        <rFont val="Calibri"/>
        <family val="2"/>
      </rPr>
      <t>1D</t>
    </r>
  </si>
  <si>
    <t>AS9102 FAIR REQ
T/H ONLY
CLASS 3
AOI, XRAY &amp; SAVE IMAGES REQ
DEPANEL (TAD ONLY)</t>
  </si>
  <si>
    <t>1/29</t>
  </si>
  <si>
    <t>complete alta bag</t>
  </si>
  <si>
    <r>
      <t xml:space="preserve">clear 1/28
</t>
    </r>
    <r>
      <rPr>
        <b/>
        <strike/>
        <sz val="11"/>
        <color rgb="FF000000"/>
        <rFont val="Calibri"/>
        <family val="2"/>
      </rPr>
      <t>short, no ETA</t>
    </r>
  </si>
  <si>
    <t>1/27 - matl clear</t>
  </si>
  <si>
    <r>
      <rPr>
        <b/>
        <sz val="11"/>
        <color rgb="FF000000"/>
        <rFont val="Calibri"/>
        <family val="2"/>
      </rPr>
      <t xml:space="preserve">2/3 - </t>
    </r>
    <r>
      <rPr>
        <b/>
        <strike/>
        <sz val="11"/>
        <color rgb="FF000000"/>
        <rFont val="Calibri"/>
        <family val="2"/>
      </rPr>
      <t>TP2x11 too short</t>
    </r>
  </si>
  <si>
    <t>137066
NEW</t>
  </si>
  <si>
    <r>
      <rPr>
        <b/>
        <sz val="14"/>
        <color rgb="FF000000"/>
        <rFont val="Calibri"/>
        <family val="2"/>
      </rPr>
      <t xml:space="preserve">02/09
</t>
    </r>
    <r>
      <rPr>
        <b/>
        <strike/>
        <sz val="14"/>
        <color rgb="FF000000"/>
        <rFont val="Calibri"/>
        <family val="2"/>
      </rPr>
      <t xml:space="preserve">02/06
</t>
    </r>
    <r>
      <rPr>
        <b/>
        <sz val="14"/>
        <color rgb="FF000000"/>
        <rFont val="Calibri"/>
        <family val="2"/>
      </rPr>
      <t>10D</t>
    </r>
  </si>
  <si>
    <t>DNI TP2x11
DEPANEL BY TAD ONLY
NO CLEAN BUILD
100% INSPECTION REQUIRED PER ECO
XRAY &amp; SAVE IMAGES</t>
  </si>
  <si>
    <t>2/2 - 8:00</t>
  </si>
  <si>
    <t>2/2 - 9:00</t>
  </si>
  <si>
    <t>2/2 - 10:30</t>
  </si>
  <si>
    <t xml:space="preserve">Medtronic Inc.
</t>
  </si>
  <si>
    <t>DOC REL 1/21</t>
  </si>
  <si>
    <t>1/27
2/11</t>
  </si>
  <si>
    <r>
      <t xml:space="preserve">clear 1/21
</t>
    </r>
    <r>
      <rPr>
        <b/>
        <strike/>
        <sz val="11"/>
        <color theme="1"/>
        <rFont val="Calibri"/>
        <family val="2"/>
      </rPr>
      <t>short due 12/15</t>
    </r>
  </si>
  <si>
    <r>
      <rPr>
        <b/>
        <sz val="11"/>
        <color rgb="FF000000"/>
        <rFont val="Calibri"/>
        <family val="2"/>
      </rPr>
      <t xml:space="preserve">01/30- KIT CLEAR 
|J1 and U18 </t>
    </r>
    <r>
      <rPr>
        <b/>
        <strike/>
        <sz val="11"/>
        <color rgb="FF000000"/>
        <rFont val="Calibri"/>
        <family val="2"/>
      </rPr>
      <t xml:space="preserve"> C/F if </t>
    </r>
    <r>
      <rPr>
        <b/>
        <sz val="11"/>
        <color rgb="FF000000"/>
        <rFont val="Calibri"/>
        <family val="2"/>
      </rPr>
      <t>ok BTD|</t>
    </r>
    <r>
      <rPr>
        <b/>
        <strike/>
        <sz val="11"/>
        <color rgb="FF000000"/>
        <rFont val="Calibri"/>
        <family val="2"/>
      </rPr>
      <t xml:space="preserve"> FL6, Z1, and Z2 C/F if ok to use? 1/21 - short many due soon</t>
    </r>
    <r>
      <rPr>
        <b/>
        <sz val="11"/>
        <color rgb="FF000000"/>
        <rFont val="Calibri"/>
        <family val="2"/>
      </rPr>
      <t xml:space="preserve"> 
</t>
    </r>
    <r>
      <rPr>
        <b/>
        <strike/>
        <sz val="11"/>
        <color rgb="FF000000"/>
        <rFont val="Calibri"/>
        <family val="2"/>
      </rPr>
      <t>12/1 - short all many, no ETA</t>
    </r>
  </si>
  <si>
    <r>
      <rPr>
        <b/>
        <sz val="14"/>
        <color rgb="FF000000"/>
        <rFont val="Calibri"/>
        <family val="2"/>
      </rPr>
      <t xml:space="preserve">136133
NEW
</t>
    </r>
    <r>
      <rPr>
        <b/>
        <sz val="14"/>
        <color rgb="FFFF0000"/>
        <rFont val="Calibri"/>
        <family val="2"/>
      </rPr>
      <t>(CUI/ITAR)</t>
    </r>
  </si>
  <si>
    <t>02/06
5D</t>
  </si>
  <si>
    <r>
      <rPr>
        <b/>
        <sz val="14"/>
        <color rgb="FFFF0000"/>
        <rFont val="Calibri"/>
        <family val="2"/>
      </rPr>
      <t xml:space="preserve">*** DPAS RATING - DO-A7
</t>
    </r>
    <r>
      <rPr>
        <b/>
        <sz val="11"/>
        <color rgb="FF000000"/>
        <rFont val="Calibri"/>
        <family val="2"/>
      </rPr>
      <t xml:space="preserve">CLASS 3
100% INSPECTION REQ PER ECO
LEAD, NO CLEAN
AQUANOX IN THE ULTRASONIC TANK
</t>
    </r>
    <r>
      <rPr>
        <b/>
        <u/>
        <sz val="11"/>
        <color rgb="FF000000"/>
        <rFont val="Calibri"/>
        <family val="2"/>
      </rPr>
      <t>"J40" LOCTITE AND TORQUE</t>
    </r>
    <r>
      <rPr>
        <b/>
        <sz val="11"/>
        <color rgb="FF000000"/>
        <rFont val="Calibri"/>
        <family val="2"/>
      </rPr>
      <t xml:space="preserve"> PER ECO
DEPANEL &amp; SAND
TRIM LEADS PER IPC CLASS 3
OVERPACK + ESD labels
</t>
    </r>
    <r>
      <rPr>
        <b/>
        <u/>
        <sz val="11"/>
        <color rgb="FF000000"/>
        <rFont val="Calibri"/>
        <family val="2"/>
      </rPr>
      <t>confirm nuts * shields installed</t>
    </r>
  </si>
  <si>
    <t>2/2 - 12:30</t>
  </si>
  <si>
    <t>2/3 - 3:30</t>
  </si>
  <si>
    <t>2/4 - 11:30</t>
  </si>
  <si>
    <t>John Hopkins University Applied Physics Lab</t>
  </si>
  <si>
    <t>DOC REL 10/15</t>
  </si>
  <si>
    <t>12/1</t>
  </si>
  <si>
    <t>confirm THT #129 Z1 &amp; #130 Z2</t>
  </si>
  <si>
    <r>
      <t xml:space="preserve">clear 1/27
</t>
    </r>
    <r>
      <rPr>
        <b/>
        <strike/>
        <sz val="11"/>
        <color rgb="FF000000"/>
        <rFont val="Calibri"/>
        <family val="2"/>
      </rPr>
      <t xml:space="preserve">C/F today? due 1/22 or 1/23
short, no ETA 12/29 </t>
    </r>
  </si>
  <si>
    <r>
      <rPr>
        <b/>
        <sz val="11"/>
        <color rgb="FF000000"/>
        <rFont val="Calibri"/>
        <family val="2"/>
      </rPr>
      <t xml:space="preserve">1/28 - kit clear
</t>
    </r>
    <r>
      <rPr>
        <b/>
        <strike/>
        <sz val="11"/>
        <color rgb="FF000000"/>
        <rFont val="Calibri"/>
        <family val="2"/>
      </rPr>
      <t>1/20 - short THT J10 qty 5, no ETA 01/27 BTD
12/17 - matl clear
12/9 - short SMT T1, no ETA 12/17
short THT many, no ETA 12/17</t>
    </r>
  </si>
  <si>
    <t>* START SMT ON OR BEFORE DAY ONE</t>
  </si>
  <si>
    <t>137052
NEW</t>
  </si>
  <si>
    <t>02/06
10D</t>
  </si>
  <si>
    <r>
      <rPr>
        <b/>
        <sz val="11"/>
        <color rgb="FF000000"/>
        <rFont val="Calibri"/>
        <family val="2"/>
      </rPr>
      <t xml:space="preserve">"PF1" AFTER WASH
</t>
    </r>
    <r>
      <rPr>
        <b/>
        <u/>
        <sz val="11"/>
        <color rgb="FFFF0000"/>
        <rFont val="Calibri"/>
        <family val="2"/>
      </rPr>
      <t xml:space="preserve">"RL1" DO NOT WASH!!!
</t>
    </r>
    <r>
      <rPr>
        <b/>
        <sz val="11"/>
        <color rgb="FF000000"/>
        <rFont val="Calibri"/>
        <family val="2"/>
      </rPr>
      <t xml:space="preserve">mix pop:
qty 53 RL-12636
qty 47 </t>
    </r>
    <r>
      <rPr>
        <b/>
        <strike/>
        <sz val="11"/>
        <color rgb="FF000000"/>
        <rFont val="Calibri"/>
        <family val="2"/>
      </rPr>
      <t>43</t>
    </r>
    <r>
      <rPr>
        <b/>
        <sz val="11"/>
        <color rgb="FF000000"/>
        <rFont val="Calibri"/>
        <family val="2"/>
      </rPr>
      <t xml:space="preserve"> RL-12576
</t>
    </r>
    <r>
      <rPr>
        <b/>
        <strike/>
        <sz val="11"/>
        <color rgb="FF000000"/>
        <rFont val="Calibri"/>
        <family val="2"/>
      </rPr>
      <t>qty 4 DNI</t>
    </r>
    <r>
      <rPr>
        <b/>
        <sz val="11"/>
        <color rgb="FF000000"/>
        <rFont val="Calibri"/>
        <family val="2"/>
      </rPr>
      <t xml:space="preserve"> (see email)
INSTALL GAP PAD'S PER ECO 5
SEE ECO FOR SPECIFIC LABEL INSTRUCTIONS
DEPANEL
OVERPACK
SHIP TO AUSTIN TX PAUL MATTHEWS</t>
    </r>
  </si>
  <si>
    <t>1/28 - 9:00</t>
  </si>
  <si>
    <t>1/29 - 10:00</t>
  </si>
  <si>
    <t>DOC REL 12/5</t>
  </si>
  <si>
    <r>
      <rPr>
        <b/>
        <sz val="11"/>
        <color rgb="FF000000"/>
        <rFont val="Calibri"/>
        <family val="2"/>
      </rPr>
      <t xml:space="preserve">12/9
2/10
</t>
    </r>
    <r>
      <rPr>
        <b/>
        <strike/>
        <sz val="11"/>
        <color rgb="FF000000"/>
        <rFont val="Calibri"/>
        <family val="2"/>
      </rPr>
      <t>2/11</t>
    </r>
  </si>
  <si>
    <r>
      <t xml:space="preserve">clear 1/28
</t>
    </r>
    <r>
      <rPr>
        <b/>
        <strike/>
        <sz val="11"/>
        <color rgb="FF000000"/>
        <rFont val="Calibri"/>
        <family val="2"/>
      </rPr>
      <t>short due 1/28 1/23</t>
    </r>
  </si>
  <si>
    <t>1/13 - matl clear</t>
  </si>
  <si>
    <t>136904
RONC 133581</t>
  </si>
  <si>
    <t>DOC REL 1/12</t>
  </si>
  <si>
    <t>1/13
2/11</t>
  </si>
  <si>
    <r>
      <t xml:space="preserve">clear 1/22
</t>
    </r>
    <r>
      <rPr>
        <b/>
        <strike/>
        <sz val="11"/>
        <color rgb="FF000000"/>
        <rFont val="Calibri"/>
        <family val="2"/>
      </rPr>
      <t>short no eta</t>
    </r>
  </si>
  <si>
    <r>
      <t xml:space="preserve">1/27 - kit clear
</t>
    </r>
    <r>
      <rPr>
        <b/>
        <strike/>
        <sz val="11"/>
        <color rgb="FF000000"/>
        <rFont val="Calibri"/>
        <family val="2"/>
      </rPr>
      <t xml:space="preserve">1/14 - short SMT J601 (ok to skip), no ETA 
short </t>
    </r>
    <r>
      <rPr>
        <b/>
        <sz val="11"/>
        <color rgb="FF000000"/>
        <rFont val="Calibri"/>
        <family val="2"/>
      </rPr>
      <t>THT PA..</t>
    </r>
    <r>
      <rPr>
        <b/>
        <strike/>
        <sz val="11"/>
        <color rgb="FF000000"/>
        <rFont val="Calibri"/>
        <family val="2"/>
      </rPr>
      <t>, no ETA wait</t>
    </r>
    <r>
      <rPr>
        <b/>
        <sz val="11"/>
        <color rgb="FF000000"/>
        <rFont val="Calibri"/>
        <family val="2"/>
      </rPr>
      <t xml:space="preserve"> for C/F</t>
    </r>
  </si>
  <si>
    <t>1/23 - HAD BOT SIDE SET BACK UP</t>
  </si>
  <si>
    <t>136544
NEW</t>
  </si>
  <si>
    <t>02/05
10D</t>
  </si>
  <si>
    <r>
      <rPr>
        <b/>
        <sz val="11"/>
        <color rgb="FF000000"/>
        <rFont val="Calibri"/>
        <family val="2"/>
      </rPr>
      <t xml:space="preserve">DO NOT SKIP PREBAKE
CLASS 3
"U502" AFTER WASH
"U101" PLACE PER ECO
PRESSFIT &amp; </t>
    </r>
    <r>
      <rPr>
        <b/>
        <u/>
        <sz val="11"/>
        <color rgb="FF000000"/>
        <rFont val="Calibri"/>
        <family val="2"/>
      </rPr>
      <t xml:space="preserve">HARDWARE </t>
    </r>
    <r>
      <rPr>
        <b/>
        <sz val="11"/>
        <color rgb="FF000000"/>
        <rFont val="Calibri"/>
        <family val="2"/>
      </rPr>
      <t>REQ
DEPANEL</t>
    </r>
  </si>
  <si>
    <t>1/23 - 10:00</t>
  </si>
  <si>
    <t>1/23 - 12:00</t>
  </si>
  <si>
    <t>1/23 - 2:30</t>
  </si>
  <si>
    <t>1/14
2/10</t>
  </si>
  <si>
    <t>COMPLETE
eco</t>
  </si>
  <si>
    <t>clear 1/29</t>
  </si>
  <si>
    <r>
      <t xml:space="preserve">2/2 - kit clear
</t>
    </r>
    <r>
      <rPr>
        <b/>
        <strike/>
        <sz val="11"/>
        <color rgb="FF000000"/>
        <rFont val="Calibri"/>
        <family val="2"/>
      </rPr>
      <t>1/9 - short SMT U23 no ETA &amp; R1 on the way (ok to skip per Tad)
short  J1 (THT) some, no ETA</t>
    </r>
  </si>
  <si>
    <r>
      <rPr>
        <b/>
        <sz val="11"/>
        <color rgb="FF000000"/>
        <rFont val="Calibri"/>
        <family val="2"/>
      </rPr>
      <t xml:space="preserve">1/29 - </t>
    </r>
    <r>
      <rPr>
        <b/>
        <sz val="11"/>
        <color rgb="FFFF0000"/>
        <rFont val="Calibri"/>
        <family val="2"/>
      </rPr>
      <t>ok to ship partial</t>
    </r>
  </si>
  <si>
    <t>136555
NEW</t>
  </si>
  <si>
    <r>
      <rPr>
        <b/>
        <sz val="14"/>
        <color rgb="FF000000"/>
        <rFont val="Calibri"/>
        <family val="2"/>
      </rPr>
      <t xml:space="preserve">02/05
</t>
    </r>
    <r>
      <rPr>
        <b/>
        <sz val="14"/>
        <color rgb="FFFF0000"/>
        <rFont val="Calibri"/>
        <family val="2"/>
      </rPr>
      <t>3D</t>
    </r>
  </si>
  <si>
    <t>EXPEDITE PARTIAL IF POSSIBLE
CHANGED TO LEADFREE PER EMAIL/NEW PO 1/28
NO CLEAN
DEPANEL</t>
  </si>
  <si>
    <t>2/2 - 2:00</t>
  </si>
  <si>
    <t>2/3 - 10:30</t>
  </si>
  <si>
    <t>WEAR GLOVES - ROBERT</t>
  </si>
  <si>
    <t>DOC REL 1/28</t>
  </si>
  <si>
    <t>move THT #47 to SMT</t>
  </si>
  <si>
    <r>
      <rPr>
        <b/>
        <sz val="14"/>
        <color rgb="FF000000"/>
        <rFont val="Calibri"/>
        <family val="2"/>
      </rPr>
      <t xml:space="preserve">137724
NEW
</t>
    </r>
    <r>
      <rPr>
        <b/>
        <sz val="14"/>
        <color rgb="FFFF0000"/>
        <rFont val="Calibri"/>
        <family val="2"/>
      </rPr>
      <t>(ITAR)</t>
    </r>
  </si>
  <si>
    <t>BAT1 is DNI
DEPANEL
SEE ECO FOR CofC DETAILS
ship parts w/boards (PO)
see PO for CofC Details</t>
  </si>
  <si>
    <t>2/3 - 1:00</t>
  </si>
  <si>
    <t xml:space="preserve">Southwest Research Institute
</t>
  </si>
  <si>
    <r>
      <t xml:space="preserve">clear 1/29
</t>
    </r>
    <r>
      <rPr>
        <b/>
        <strike/>
        <sz val="11"/>
        <color rgb="FF000000"/>
        <rFont val="Calibri"/>
        <family val="2"/>
      </rPr>
      <t>short due 2/2 1/23 1/26</t>
    </r>
  </si>
  <si>
    <r>
      <t xml:space="preserve">1/22 - matl clear
</t>
    </r>
    <r>
      <rPr>
        <b/>
        <strike/>
        <sz val="11"/>
        <color rgb="FF000000"/>
        <rFont val="Calibri"/>
        <family val="2"/>
      </rPr>
      <t>1/20 - short SMT R30 (skip), no ETA
short THT Q6 due 1/22</t>
    </r>
  </si>
  <si>
    <t>134129
NEW</t>
  </si>
  <si>
    <t>02/05
5D</t>
  </si>
  <si>
    <r>
      <rPr>
        <b/>
        <sz val="11"/>
        <color rgb="FF000000"/>
        <rFont val="Calibri"/>
        <family val="2"/>
      </rPr>
      <t xml:space="preserve">"U3, U4" AFTER WASH
DEPANEL &amp; SAND *CLEAN EDGE 0.015" MAX
MAKE SURE BOARDS ARE FREE &amp; CLEAN OF DEBRIS AND RESIDUES
OVERPACK
LABEL ON BAGS REQ PER ECO
</t>
    </r>
    <r>
      <rPr>
        <b/>
        <u/>
        <sz val="11"/>
        <color rgb="FF000000"/>
        <rFont val="Calibri"/>
        <family val="2"/>
      </rPr>
      <t>install nuts &amp; washers</t>
    </r>
  </si>
  <si>
    <t>1/30 - 6:00</t>
  </si>
  <si>
    <t>1/30
10:30</t>
  </si>
  <si>
    <t>1/30
10:31</t>
  </si>
  <si>
    <t>move THT #32 to SMT</t>
  </si>
  <si>
    <r>
      <t xml:space="preserve">clear 1/27
</t>
    </r>
    <r>
      <rPr>
        <b/>
        <strike/>
        <sz val="11"/>
        <color rgb="FF000000"/>
        <rFont val="Calibri"/>
        <family val="2"/>
      </rPr>
      <t>short due 1/29</t>
    </r>
  </si>
  <si>
    <r>
      <t xml:space="preserve">1/20 - matl clear
</t>
    </r>
    <r>
      <rPr>
        <b/>
        <strike/>
        <sz val="11"/>
        <color rgb="FF000000"/>
        <rFont val="Calibri"/>
        <family val="2"/>
      </rPr>
      <t>1/15 - short SMT D4, D3, D1, U11, U14  &amp; L1 (some of each), no ETA</t>
    </r>
  </si>
  <si>
    <t>1/15 - SMT top side 1st</t>
  </si>
  <si>
    <t>137356-2BAL
RONC 136072</t>
  </si>
  <si>
    <r>
      <rPr>
        <b/>
        <sz val="14"/>
        <color rgb="FF000000"/>
        <rFont val="Calibri"/>
        <family val="2"/>
      </rPr>
      <t xml:space="preserve">???
</t>
    </r>
    <r>
      <rPr>
        <b/>
        <strike/>
        <sz val="14"/>
        <color rgb="FF000000"/>
        <rFont val="Calibri"/>
        <family val="2"/>
      </rPr>
      <t xml:space="preserve">02/02
01/30
</t>
    </r>
    <r>
      <rPr>
        <b/>
        <sz val="14"/>
        <color rgb="FFFF0000"/>
        <rFont val="Calibri"/>
        <family val="2"/>
      </rPr>
      <t>3D</t>
    </r>
  </si>
  <si>
    <t>shipped qty 146 on 2/2
DO NOT SKIP PREBAKE
"S1, S3, C34" AFTER WASH
DEPANEL</t>
  </si>
  <si>
    <t>1/28 - 6:30</t>
  </si>
  <si>
    <t>1/28 - 1:00</t>
  </si>
  <si>
    <t>1/30
11:00</t>
  </si>
  <si>
    <t>DOC REL 1/8</t>
  </si>
  <si>
    <t>1/15
2/2</t>
  </si>
  <si>
    <r>
      <t xml:space="preserve">clear 1/28
</t>
    </r>
    <r>
      <rPr>
        <b/>
        <strike/>
        <sz val="11"/>
        <color rgb="FF000000"/>
        <rFont val="Calibri"/>
        <family val="2"/>
      </rPr>
      <t>short ETA 1/28  1/23</t>
    </r>
  </si>
  <si>
    <r>
      <t xml:space="preserve">1/28 - kit clear
1/20 - </t>
    </r>
    <r>
      <rPr>
        <b/>
        <strike/>
        <sz val="11"/>
        <color rgb="FF000000"/>
        <rFont val="Calibri"/>
        <family val="2"/>
      </rPr>
      <t>short SMT J1 (no skip), no ETA</t>
    </r>
  </si>
  <si>
    <r>
      <rPr>
        <b/>
        <sz val="14"/>
        <color rgb="FF000000"/>
        <rFont val="Calibri"/>
        <family val="2"/>
      </rPr>
      <t xml:space="preserve">137594
NEW
</t>
    </r>
    <r>
      <rPr>
        <b/>
        <sz val="14"/>
        <color rgb="FFFF0000"/>
        <rFont val="Calibri"/>
        <family val="2"/>
      </rPr>
      <t>(AS9100-ITAR-CUI)</t>
    </r>
  </si>
  <si>
    <r>
      <rPr>
        <b/>
        <sz val="14"/>
        <color rgb="FF000000"/>
        <rFont val="Calibri"/>
        <family val="2"/>
      </rPr>
      <t xml:space="preserve">???
</t>
    </r>
    <r>
      <rPr>
        <b/>
        <strike/>
        <sz val="14"/>
        <color rgb="FF000000"/>
        <rFont val="Calibri"/>
        <family val="2"/>
      </rPr>
      <t xml:space="preserve">01/30
</t>
    </r>
    <r>
      <rPr>
        <b/>
        <sz val="14"/>
        <color rgb="FFFF0000"/>
        <rFont val="Calibri"/>
        <family val="2"/>
      </rPr>
      <t>1D</t>
    </r>
  </si>
  <si>
    <t>shipped qty 37 on 1/30
AS9102 FAIR REQ
CLASS 3
Leaded WASH
AOI, XRAY &amp; SAVE IMAGES
TAD depanel
Sand Required (Cust Drawing)</t>
  </si>
  <si>
    <t>move THT #2 to SMT?</t>
  </si>
  <si>
    <t>137356-1PAR
RONC 136072</t>
  </si>
  <si>
    <r>
      <rPr>
        <b/>
        <sz val="14"/>
        <color rgb="FF000000"/>
        <rFont val="Calibri"/>
        <family val="2"/>
      </rPr>
      <t xml:space="preserve">02/02
</t>
    </r>
    <r>
      <rPr>
        <b/>
        <strike/>
        <sz val="14"/>
        <color rgb="FF000000"/>
        <rFont val="Calibri"/>
        <family val="2"/>
      </rPr>
      <t xml:space="preserve">01/30
</t>
    </r>
    <r>
      <rPr>
        <b/>
        <sz val="14"/>
        <color rgb="FFFF0000"/>
        <rFont val="Calibri"/>
        <family val="2"/>
      </rPr>
      <t>3D</t>
    </r>
  </si>
  <si>
    <t>balance remain qty 4
DO NOT SKIP PREBAKE
"S1, S3, C34" AFTER WASH
DEPANEL</t>
  </si>
  <si>
    <r>
      <t xml:space="preserve">clear 1/28
</t>
    </r>
    <r>
      <rPr>
        <b/>
        <strike/>
        <sz val="11"/>
        <color rgb="FF000000"/>
        <rFont val="Calibri"/>
        <family val="2"/>
      </rPr>
      <t>due 1/30
short, no ETA</t>
    </r>
  </si>
  <si>
    <r>
      <t xml:space="preserve">1/19 - matl clear
</t>
    </r>
    <r>
      <rPr>
        <b/>
        <strike/>
        <sz val="11"/>
        <color rgb="FF000000"/>
        <rFont val="Calibri"/>
        <family val="2"/>
      </rPr>
      <t>1/13 - short SMT U5 &amp; U17 due 1/14 - 1/16</t>
    </r>
  </si>
  <si>
    <t>136700
NEW</t>
  </si>
  <si>
    <r>
      <rPr>
        <b/>
        <sz val="14"/>
        <color rgb="FF000000"/>
        <rFont val="Calibri"/>
        <family val="2"/>
      </rPr>
      <t xml:space="preserve">02/02
</t>
    </r>
    <r>
      <rPr>
        <b/>
        <sz val="14"/>
        <color rgb="FFFF0000"/>
        <rFont val="Calibri"/>
        <family val="2"/>
      </rPr>
      <t>3D</t>
    </r>
  </si>
  <si>
    <r>
      <rPr>
        <b/>
        <sz val="11"/>
        <color rgb="FF000000"/>
        <rFont val="Calibri"/>
        <family val="2"/>
      </rPr>
      <t xml:space="preserve">CLASS 3
"U23" AFTER WASH
"J1, J2" PRESS FIT
DEPANEL &amp; SAND
</t>
    </r>
    <r>
      <rPr>
        <b/>
        <u/>
        <sz val="11"/>
        <color rgb="FF000000"/>
        <rFont val="Calibri"/>
        <family val="2"/>
      </rPr>
      <t>post bake 30 min</t>
    </r>
  </si>
  <si>
    <t>1/29 - 9:30</t>
  </si>
  <si>
    <t>1/29 - 12:00</t>
  </si>
  <si>
    <t>1/13</t>
  </si>
  <si>
    <r>
      <t xml:space="preserve">short qty 66 no eta
</t>
    </r>
    <r>
      <rPr>
        <b/>
        <strike/>
        <sz val="11"/>
        <color rgb="FF000000"/>
        <rFont val="Calibri"/>
        <family val="2"/>
      </rPr>
      <t>due 1/23 &amp; bal due 1/28
short due 1/21</t>
    </r>
  </si>
  <si>
    <r>
      <t xml:space="preserve">1/21 - kit clear
</t>
    </r>
    <r>
      <rPr>
        <b/>
        <strike/>
        <sz val="11"/>
        <color rgb="FF000000"/>
        <rFont val="Calibri"/>
        <family val="2"/>
      </rPr>
      <t>1/20 - enough matl for qty 66 PCB
1/12 - short SMT D1 &amp; L2, no ETA
awt SMT part conf U46</t>
    </r>
  </si>
  <si>
    <r>
      <rPr>
        <b/>
        <sz val="11"/>
        <color rgb="FF000000"/>
        <rFont val="Calibri"/>
        <family val="2"/>
      </rPr>
      <t xml:space="preserve">1/27 - </t>
    </r>
    <r>
      <rPr>
        <b/>
        <sz val="11"/>
        <color rgb="FFFF0000"/>
        <rFont val="Calibri"/>
        <family val="2"/>
      </rPr>
      <t xml:space="preserve">confirm with Tad before ship
</t>
    </r>
    <r>
      <rPr>
        <b/>
        <sz val="11"/>
        <color rgb="FF000000"/>
        <rFont val="Calibri"/>
        <family val="2"/>
      </rPr>
      <t>1/21 - clear for qty 66 of 132; DAY 1 is 1/26 (Anne)</t>
    </r>
  </si>
  <si>
    <r>
      <rPr>
        <b/>
        <sz val="14"/>
        <color rgb="FF000000"/>
        <rFont val="Calibri"/>
        <family val="2"/>
      </rPr>
      <t>137373-1par
ROWC 136862
(</t>
    </r>
    <r>
      <rPr>
        <b/>
        <sz val="14"/>
        <color rgb="FFFF0000"/>
        <rFont val="Calibri"/>
        <family val="2"/>
      </rPr>
      <t>AS9100-ITAR-CUI</t>
    </r>
    <r>
      <rPr>
        <b/>
        <sz val="14"/>
        <color rgb="FF000000"/>
        <rFont val="Calibri"/>
        <family val="2"/>
      </rPr>
      <t>)</t>
    </r>
  </si>
  <si>
    <r>
      <rPr>
        <b/>
        <sz val="14"/>
        <color rgb="FF000000"/>
        <rFont val="Calibri"/>
        <family val="2"/>
      </rPr>
      <t xml:space="preserve">02/02
</t>
    </r>
    <r>
      <rPr>
        <b/>
        <strike/>
        <sz val="14"/>
        <color rgb="FF000000"/>
        <rFont val="Calibri"/>
        <family val="2"/>
      </rPr>
      <t xml:space="preserve">01/30
</t>
    </r>
    <r>
      <rPr>
        <b/>
        <sz val="14"/>
        <color rgb="FF000000"/>
        <rFont val="Calibri"/>
        <family val="2"/>
      </rPr>
      <t>5D</t>
    </r>
  </si>
  <si>
    <r>
      <rPr>
        <b/>
        <u/>
        <sz val="12"/>
        <color rgb="FFFF0000"/>
        <rFont val="Calibri"/>
        <family val="2"/>
      </rPr>
      <t xml:space="preserve">* AS9102 *
*** ALERT!!! ITEM 68 &amp; 69 TOP COVERS CAME OFF DURING AQUANOX &amp; DI WASH
</t>
    </r>
    <r>
      <rPr>
        <b/>
        <sz val="11"/>
        <color rgb="FF000000"/>
        <rFont val="Calibri"/>
        <family val="2"/>
      </rPr>
      <t xml:space="preserve">bal remain qty 66
*** ALTA ALERT!!! - "BAT1" FELL OFF FA BOARDS - PLEASE ENSURE EXTRA SOLDER  AND TEST TO SEE IF HOLDER WILL COME OFF
*** USE ROL0 OR ROL1 SOLDER PASTE
AOI, xray &amp; save images required
LEAD-FREE no-clean (Aquanox)
QR code - S/N: Start at 00217
reminder photos: don't forget to take shots of singles
</t>
    </r>
    <r>
      <rPr>
        <b/>
        <u/>
        <sz val="11"/>
        <color rgb="FF000000"/>
        <rFont val="Calibri"/>
        <family val="2"/>
      </rPr>
      <t>CHECK "LP1" FITS - IF NOT DNI &amp; ship with boards</t>
    </r>
  </si>
  <si>
    <t>1/22 - 11:00</t>
  </si>
  <si>
    <t>131630-2 PAR
RONC 128664</t>
  </si>
  <si>
    <r>
      <rPr>
        <b/>
        <sz val="12"/>
        <color rgb="FF000000"/>
        <rFont val="Calibri"/>
        <family val="2"/>
      </rPr>
      <t xml:space="preserve">*** PLEASE READ POWERPOINT DOC PRIOR TO RELEASING
***PLEASE ADDRESS ALL ISSUES ON THE POWERPOINT DOC BEFORE RUNNING
</t>
    </r>
    <r>
      <rPr>
        <b/>
        <sz val="11"/>
        <color rgb="FF000000"/>
        <rFont val="Calibri"/>
        <family val="2"/>
      </rPr>
      <t>shipped qty 30 on 8/12
-	Qty 215 due April 2026
-	Qty 215 due May 2026
-	Qty 215 due August 2026
DEPANEL
* SHIP BACK PARTS WITH BOARDS</t>
    </r>
  </si>
  <si>
    <t>COMPLETE
eco
on bag</t>
  </si>
  <si>
    <r>
      <rPr>
        <b/>
        <sz val="14"/>
        <color rgb="FF000000"/>
        <rFont val="Calibri"/>
        <family val="2"/>
      </rPr>
      <t xml:space="preserve">137594-par
NEW
</t>
    </r>
    <r>
      <rPr>
        <b/>
        <sz val="14"/>
        <color rgb="FFFF0000"/>
        <rFont val="Calibri"/>
        <family val="2"/>
      </rPr>
      <t>(AS9100-ITAR-CUI)</t>
    </r>
  </si>
  <si>
    <r>
      <rPr>
        <b/>
        <sz val="14"/>
        <color rgb="FF000000"/>
        <rFont val="Calibri"/>
        <family val="2"/>
      </rPr>
      <t xml:space="preserve">01/30
</t>
    </r>
    <r>
      <rPr>
        <b/>
        <sz val="14"/>
        <color rgb="FFFF0000"/>
        <rFont val="Calibri"/>
        <family val="2"/>
      </rPr>
      <t>1D</t>
    </r>
  </si>
  <si>
    <t>bal remain qty 1
AS9102 FAIR REQ
CLASS 3
Leaded WASH
AOI, XRAY &amp; SAVE IMAGES
TAD depanel
Sand Required (Cust Drawing)</t>
  </si>
  <si>
    <r>
      <t xml:space="preserve">clear 1/28
</t>
    </r>
    <r>
      <rPr>
        <b/>
        <strike/>
        <sz val="11"/>
        <color rgb="FF000000"/>
        <rFont val="Calibri"/>
        <family val="2"/>
      </rPr>
      <t>short, no ETA 1/28</t>
    </r>
  </si>
  <si>
    <t>1/22 - matl clear</t>
  </si>
  <si>
    <r>
      <rPr>
        <b/>
        <sz val="14"/>
        <color rgb="FF000000"/>
        <rFont val="Calibri"/>
        <family val="2"/>
      </rPr>
      <t xml:space="preserve">137599
NEW
</t>
    </r>
    <r>
      <rPr>
        <b/>
        <sz val="14"/>
        <color rgb="FFFF0000"/>
        <rFont val="Calibri"/>
        <family val="2"/>
      </rPr>
      <t>(AS9100-ITAR-CUI)</t>
    </r>
  </si>
  <si>
    <r>
      <rPr>
        <b/>
        <sz val="14"/>
        <color rgb="FF000000"/>
        <rFont val="Calibri"/>
        <family val="2"/>
      </rPr>
      <t xml:space="preserve">01/30
</t>
    </r>
    <r>
      <rPr>
        <b/>
        <sz val="14"/>
        <color rgb="FFFF0000"/>
        <rFont val="Calibri"/>
        <family val="2"/>
      </rPr>
      <t>2D</t>
    </r>
  </si>
  <si>
    <t>T/H ONLY - LEADFREE SOLDER
AS9102 FAIR REQ
CLASS 3
AOI REQUIRED
XRAY &amp; SAVE IMAGES</t>
  </si>
  <si>
    <r>
      <t xml:space="preserve">1/26 - matl clear
</t>
    </r>
    <r>
      <rPr>
        <b/>
        <strike/>
        <sz val="11"/>
        <color rgb="FF000000"/>
        <rFont val="Calibri"/>
        <family val="2"/>
      </rPr>
      <t>1/20 - short DEV</t>
    </r>
    <r>
      <rPr>
        <b/>
        <sz val="11"/>
        <color rgb="FF000000"/>
        <rFont val="Calibri"/>
        <family val="2"/>
      </rPr>
      <t xml:space="preserve">1 </t>
    </r>
    <r>
      <rPr>
        <b/>
        <strike/>
        <sz val="11"/>
        <color rgb="FF000000"/>
        <rFont val="Calibri"/>
        <family val="2"/>
      </rPr>
      <t>due 1/23</t>
    </r>
  </si>
  <si>
    <r>
      <rPr>
        <b/>
        <sz val="14"/>
        <color rgb="FF000000"/>
        <rFont val="Calibri"/>
        <family val="2"/>
      </rPr>
      <t xml:space="preserve">137595
NEW
</t>
    </r>
    <r>
      <rPr>
        <b/>
        <sz val="14"/>
        <color rgb="FFFF0000"/>
        <rFont val="Calibri"/>
        <family val="2"/>
      </rPr>
      <t>(AS9100-ITAR-CUI)</t>
    </r>
  </si>
  <si>
    <t>01/30
2D</t>
  </si>
  <si>
    <t>T/H ONLY - LEADFREE SOLDER
AS9102 FAIR REQ
CLASS 3
AOI REQUIRED
XRAY &amp; SAVE IMAGES
Tad Depanel
Sand required (Cust Drawing)</t>
  </si>
  <si>
    <r>
      <t xml:space="preserve">cleaer 1/20
</t>
    </r>
    <r>
      <rPr>
        <b/>
        <strike/>
        <sz val="11"/>
        <color rgb="FF000000"/>
        <rFont val="Calibri"/>
        <family val="2"/>
      </rPr>
      <t>maybe due 1/20</t>
    </r>
  </si>
  <si>
    <r>
      <rPr>
        <b/>
        <sz val="11"/>
        <color rgb="FF000000"/>
        <rFont val="Calibri"/>
        <family val="2"/>
      </rPr>
      <t xml:space="preserve">1/22 - kit clear
</t>
    </r>
    <r>
      <rPr>
        <b/>
        <strike/>
        <sz val="11"/>
        <color rgb="FF000000"/>
        <rFont val="Calibri"/>
        <family val="2"/>
      </rPr>
      <t>1/19 - short THT SW1 due maybe 1/20</t>
    </r>
  </si>
  <si>
    <t>1/19 - LT 5 PER TAD</t>
  </si>
  <si>
    <r>
      <rPr>
        <b/>
        <sz val="14"/>
        <color rgb="FF000000"/>
        <rFont val="Calibri"/>
        <family val="2"/>
      </rPr>
      <t xml:space="preserve">137325
RONC 134778
</t>
    </r>
    <r>
      <rPr>
        <b/>
        <sz val="14"/>
        <color rgb="FFFF0000"/>
        <rFont val="Calibri"/>
        <family val="2"/>
      </rPr>
      <t>(ITAR)</t>
    </r>
  </si>
  <si>
    <t>02/02
10D</t>
  </si>
  <si>
    <t>"SW1" WATER SENSITIVE - READ ECO NOTE 3 - WATER TEMP MUST BE LESS THAN 60 DEG
BAG &amp; TAG ANY BTD AND/OR DNI A&amp; NOTE ON PAPERWORK</t>
  </si>
  <si>
    <t>1/21 - 8:30</t>
  </si>
  <si>
    <t>1/21 - 10:00</t>
  </si>
  <si>
    <t>1/19
2/5</t>
  </si>
  <si>
    <r>
      <t xml:space="preserve">clear 1/26
</t>
    </r>
    <r>
      <rPr>
        <b/>
        <strike/>
        <sz val="11"/>
        <color rgb="FF000000"/>
        <rFont val="Calibri"/>
        <family val="2"/>
      </rPr>
      <t>short due ETA 1/26 2/20</t>
    </r>
  </si>
  <si>
    <r>
      <t xml:space="preserve">1/26 - kit clear
</t>
    </r>
    <r>
      <rPr>
        <b/>
        <strike/>
        <sz val="11"/>
        <color rgb="FF000000"/>
        <rFont val="Calibri"/>
        <family val="2"/>
      </rPr>
      <t>1/21 - shortages due soon
1/15 - short SMT many, no ETA</t>
    </r>
  </si>
  <si>
    <t>1/21 - Priority (Anne)</t>
  </si>
  <si>
    <r>
      <rPr>
        <b/>
        <sz val="14"/>
        <color rgb="FF000000"/>
        <rFont val="Calibri"/>
        <family val="2"/>
      </rPr>
      <t xml:space="preserve">137198-FA
NEW
</t>
    </r>
    <r>
      <rPr>
        <b/>
        <sz val="14"/>
        <color rgb="FFFF0000"/>
        <rFont val="Calibri"/>
        <family val="2"/>
      </rPr>
      <t>(AS9100-ITAR)</t>
    </r>
  </si>
  <si>
    <t>02/02
5D</t>
  </si>
  <si>
    <r>
      <rPr>
        <b/>
        <sz val="12"/>
        <color rgb="FFFF0000"/>
        <rFont val="Calibri"/>
        <family val="2"/>
      </rPr>
      <t xml:space="preserve">Priority - NO Late
*** PER PO: Parts must be returned in original packaging. Reels must be placed in separate ESD bags (1 reel per bag). Each line item must be placed in own bag; if line consists of multiple reels, each reel in a separate ESD bag. ok to write on bags
</t>
    </r>
    <r>
      <rPr>
        <b/>
        <sz val="11"/>
        <color rgb="FF000000"/>
        <rFont val="Calibri"/>
        <family val="2"/>
      </rPr>
      <t>bal remain qty 85
CLASS 3
DEPANEL
* SHIP LEFTOVER MATL TO COFACTR - SEE PO FOR ADDRESS</t>
    </r>
  </si>
  <si>
    <t>1/27 - 6:00</t>
  </si>
  <si>
    <t>1/27 - 9:00</t>
  </si>
  <si>
    <t>1/27 - 2:30</t>
  </si>
  <si>
    <t>1/15</t>
  </si>
  <si>
    <r>
      <t xml:space="preserve">clear 1/27
</t>
    </r>
    <r>
      <rPr>
        <b/>
        <strike/>
        <sz val="11"/>
        <color rgb="FF000000"/>
        <rFont val="Calibri"/>
        <family val="2"/>
      </rPr>
      <t>short due 1/28 1/20</t>
    </r>
  </si>
  <si>
    <r>
      <t xml:space="preserve">1/13 - matl clear
</t>
    </r>
    <r>
      <rPr>
        <b/>
        <strike/>
        <sz val="11"/>
        <color rgb="FF000000"/>
        <rFont val="Calibri"/>
        <family val="2"/>
      </rPr>
      <t>12/30 - short SMT many due 12/30</t>
    </r>
  </si>
  <si>
    <t>1/27 - SHIP 1/30 (ANNE)
1/27 - expedite if possible (Tad)</t>
  </si>
  <si>
    <t>135136-FA
ROWC 135134</t>
  </si>
  <si>
    <r>
      <rPr>
        <b/>
        <sz val="14"/>
        <color rgb="FF000000"/>
        <rFont val="Calibri"/>
        <family val="2"/>
      </rPr>
      <t xml:space="preserve">01/30
</t>
    </r>
    <r>
      <rPr>
        <b/>
        <strike/>
        <sz val="14"/>
        <color rgb="FF000000"/>
        <rFont val="Calibri"/>
        <family val="2"/>
      </rPr>
      <t xml:space="preserve">02/03
</t>
    </r>
    <r>
      <rPr>
        <b/>
        <sz val="14"/>
        <color rgb="FF000000"/>
        <rFont val="Calibri"/>
        <family val="2"/>
      </rPr>
      <t>5D</t>
    </r>
  </si>
  <si>
    <r>
      <rPr>
        <b/>
        <sz val="11"/>
        <color rgb="FF000000"/>
        <rFont val="Calibri"/>
        <family val="2"/>
      </rPr>
      <t xml:space="preserve">EXPEDITE (per Tad)
balance qty remain 115
*** MAKE SURE PARTS ARE PREBAKED PER MSL LEVELS!!! - ESPECIALLY ITEM 20 (VCA2616YT) PARTS ARE OBSOLETE </t>
    </r>
    <r>
      <rPr>
        <b/>
        <u/>
        <sz val="11"/>
        <color rgb="FF000000"/>
        <rFont val="Calibri"/>
        <family val="2"/>
      </rPr>
      <t xml:space="preserve">AND EXCEEDED MAX SHELF LIFE
</t>
    </r>
    <r>
      <rPr>
        <b/>
        <sz val="11"/>
        <color rgb="FF000000"/>
        <rFont val="Calibri"/>
        <family val="2"/>
      </rPr>
      <t>RUN QTY 5 &amp; HOLD SET UP - CUST WILL APPROVE FA IN 1-2 DAYS
*** SEE ALTA QUALITY ALERT
*** 100% INSP REQ - BOARDS MUST BE PERFECT!!!
*** SOLDER BRIDGE REQ (SEE TRI FOR TRAINING) @ ""U14, U15, U20, U21, U26, U27, U32 and U33"" @ PINS 22, 23 &amp; 24
XRAY &amp; SAVE IMAGES
DEPANEL
QR code label matches board &amp; bag</t>
    </r>
  </si>
  <si>
    <t>1/27 - 1:00</t>
  </si>
  <si>
    <t>12/18</t>
  </si>
  <si>
    <t>-	pre-bake components
-	Hold setup
-	solder bridges (Tri)</t>
  </si>
  <si>
    <r>
      <t xml:space="preserve">clear 1/21
</t>
    </r>
    <r>
      <rPr>
        <b/>
        <strike/>
        <sz val="11"/>
        <color rgb="FF000000"/>
        <rFont val="Calibri"/>
        <family val="2"/>
      </rPr>
      <t>Short-ETA 1/22</t>
    </r>
  </si>
  <si>
    <r>
      <rPr>
        <b/>
        <sz val="11"/>
        <color rgb="FF000000"/>
        <rFont val="Calibri"/>
        <family val="2"/>
      </rPr>
      <t xml:space="preserve">1/21 - kit clear
</t>
    </r>
    <r>
      <rPr>
        <b/>
        <strike/>
        <sz val="11"/>
        <color rgb="FF000000"/>
        <rFont val="Calibri"/>
        <family val="2"/>
      </rPr>
      <t>1/16- short loctite (MECH) NO ETA 1/21</t>
    </r>
  </si>
  <si>
    <t>137549
ROWC 136777</t>
  </si>
  <si>
    <t>01/30
10D</t>
  </si>
  <si>
    <r>
      <rPr>
        <b/>
        <sz val="11"/>
        <color rgb="FF000000"/>
        <rFont val="Calibri"/>
        <family val="2"/>
      </rPr>
      <t xml:space="preserve">prev build issue: dirty bare boards
"U7" </t>
    </r>
    <r>
      <rPr>
        <b/>
        <u/>
        <sz val="11"/>
        <color rgb="FF000000"/>
        <rFont val="Calibri"/>
        <family val="2"/>
      </rPr>
      <t xml:space="preserve">LOCTITE 382 </t>
    </r>
    <r>
      <rPr>
        <b/>
        <sz val="11"/>
        <color rgb="FF000000"/>
        <rFont val="Calibri"/>
        <family val="2"/>
      </rPr>
      <t>REQ PER ECO
DEPANEL
SPECIFIC CofC REQUIREMENTS - SEE ECO
OVERPACK</t>
    </r>
  </si>
  <si>
    <t>1/22 - 8:00</t>
  </si>
  <si>
    <t>1/22 - 1:30</t>
  </si>
  <si>
    <t>1/22 - 2:30</t>
  </si>
  <si>
    <t xml:space="preserve">Anduril Maritime
</t>
  </si>
  <si>
    <t>1/16</t>
  </si>
  <si>
    <r>
      <t xml:space="preserve">clear 1/27
</t>
    </r>
    <r>
      <rPr>
        <b/>
        <strike/>
        <sz val="11"/>
        <color rgb="FF000000"/>
        <rFont val="Calibri"/>
        <family val="2"/>
      </rPr>
      <t>short, no ETA 1/26 1/22</t>
    </r>
  </si>
  <si>
    <t>1/19 - matl clear</t>
  </si>
  <si>
    <r>
      <rPr>
        <b/>
        <sz val="14"/>
        <color rgb="FF000000"/>
        <rFont val="Calibri"/>
        <family val="2"/>
      </rPr>
      <t xml:space="preserve">137590
NEW
</t>
    </r>
    <r>
      <rPr>
        <b/>
        <sz val="14"/>
        <color rgb="FFFF0000"/>
        <rFont val="Calibri"/>
        <family val="2"/>
      </rPr>
      <t>(AS9100-ITAR-CUI)</t>
    </r>
  </si>
  <si>
    <r>
      <rPr>
        <b/>
        <sz val="14"/>
        <color rgb="FF000000"/>
        <rFont val="Calibri"/>
        <family val="2"/>
      </rPr>
      <t xml:space="preserve">01/29
</t>
    </r>
    <r>
      <rPr>
        <b/>
        <sz val="14"/>
        <color rgb="FFFF0000"/>
        <rFont val="Calibri"/>
        <family val="2"/>
      </rPr>
      <t>1D</t>
    </r>
  </si>
  <si>
    <r>
      <rPr>
        <b/>
        <sz val="11"/>
        <color rgb="FF000000"/>
        <rFont val="Calibri"/>
        <family val="2"/>
      </rPr>
      <t xml:space="preserve">AS9102 FAIR REQ
CLASS 3
leaded no-clean
</t>
    </r>
    <r>
      <rPr>
        <b/>
        <strike/>
        <sz val="11"/>
        <color rgb="FF000000"/>
        <rFont val="Calibri"/>
        <family val="2"/>
      </rPr>
      <t xml:space="preserve">"SW1" AFTER WASH
</t>
    </r>
    <r>
      <rPr>
        <b/>
        <sz val="11"/>
        <color rgb="FF000000"/>
        <rFont val="Calibri"/>
        <family val="2"/>
      </rPr>
      <t>XRAY &amp; SAVE IMAGES
Tad depanel
Sand Required (Cust Drawing)</t>
    </r>
  </si>
  <si>
    <t>1/29 - 5:00</t>
  </si>
  <si>
    <t>1/29 - 6:00</t>
  </si>
  <si>
    <t>1/29 - 7:00</t>
  </si>
  <si>
    <t>DOC REL 1/16</t>
  </si>
  <si>
    <t>1/19</t>
  </si>
  <si>
    <t>clean or no-clean; folder updated?</t>
  </si>
  <si>
    <r>
      <t xml:space="preserve">clear 12/30
</t>
    </r>
    <r>
      <rPr>
        <b/>
        <strike/>
        <sz val="11"/>
        <color rgb="FF000000"/>
        <rFont val="Calibri"/>
        <family val="2"/>
      </rPr>
      <t>short bal, no ETA
qty 87 due 9/22
short due 11/6</t>
    </r>
  </si>
  <si>
    <r>
      <rPr>
        <b/>
        <sz val="11"/>
        <color rgb="FF000000"/>
        <rFont val="Calibri"/>
        <family val="2"/>
      </rPr>
      <t xml:space="preserve">1/14 - kti clear
</t>
    </r>
    <r>
      <rPr>
        <b/>
        <strike/>
        <sz val="11"/>
        <color rgb="FF000000"/>
        <rFont val="Calibri"/>
        <family val="2"/>
      </rPr>
      <t>1/9 - short THT VR1 qty 125
12/30 - short SMT R5 qty 1193 due jan 2026
9/2 - short SMT U9 due 9/11, R5 &amp; Q13 qty high - no ETA
short THT VR1 no ETA</t>
    </r>
  </si>
  <si>
    <t>12/30 - okay to run qty 99 boards (Anne)</t>
  </si>
  <si>
    <r>
      <rPr>
        <b/>
        <sz val="13"/>
        <color rgb="FF000000"/>
        <rFont val="Calibri"/>
        <family val="2"/>
      </rPr>
      <t xml:space="preserve">133973-3 BAL
NEW
</t>
    </r>
    <r>
      <rPr>
        <b/>
        <sz val="13"/>
        <color rgb="FFFF0000"/>
        <rFont val="Calibri"/>
        <family val="2"/>
      </rPr>
      <t>(DoD - CUI/ ITAR)</t>
    </r>
  </si>
  <si>
    <t>01/30
20D</t>
  </si>
  <si>
    <t>manually cut unscored boards
bake boards before start due to contamination (Trinh)
care when clean before ship
SHIPPED qty 87 on 10/24
SHIPPED qty 103 on 1/15
LEAD WASH
DEPANELL
"MTG1" IS QTY 2 PER BOARD</t>
  </si>
  <si>
    <t>1/9 - 8:00</t>
  </si>
  <si>
    <t>1/9 - 12:00</t>
  </si>
  <si>
    <t>1/13 - 12:00</t>
  </si>
  <si>
    <t>LY</t>
  </si>
  <si>
    <t>DOC REL 8/20</t>
  </si>
  <si>
    <t>9/2
2/11</t>
  </si>
  <si>
    <t>RE-PRE-BAKE BOARDS 24 HOURS BEFORE START</t>
  </si>
  <si>
    <r>
      <rPr>
        <b/>
        <sz val="11"/>
        <color rgb="FF000000"/>
        <rFont val="Calibri"/>
        <family val="2"/>
      </rPr>
      <t xml:space="preserve">clear
</t>
    </r>
    <r>
      <rPr>
        <b/>
        <strike/>
        <sz val="11"/>
        <color rgb="FF000000"/>
        <rFont val="Calibri"/>
        <family val="2"/>
      </rPr>
      <t>short qty 4 no eta
short, due 1/14 12/30
no ETA</t>
    </r>
  </si>
  <si>
    <r>
      <t xml:space="preserve">12/29 - matl clear
</t>
    </r>
    <r>
      <rPr>
        <b/>
        <strike/>
        <sz val="11"/>
        <color rgb="FF000000"/>
        <rFont val="Calibri"/>
        <family val="2"/>
      </rPr>
      <t>12/1 - short SMT U1 &amp; R41, no ETA
short THT Y2, no ETA
awt SMT part conf C1</t>
    </r>
  </si>
  <si>
    <t>1/22 - day 1 is 1/26 or 1/27 (Anne)
1/20 - clear for qty 8 of 12 (Anne)</t>
  </si>
  <si>
    <t>135999
RONC 132260</t>
  </si>
  <si>
    <t>01/30
5D</t>
  </si>
  <si>
    <t>1/21 - 6:00</t>
  </si>
  <si>
    <t>1/21 - 7:30</t>
  </si>
  <si>
    <t>National Geographic</t>
  </si>
  <si>
    <t>nw</t>
  </si>
  <si>
    <r>
      <t xml:space="preserve">1/23 - RECVD
short, </t>
    </r>
    <r>
      <rPr>
        <b/>
        <strike/>
        <sz val="11"/>
        <color rgb="FF000000"/>
        <rFont val="Calibri"/>
        <family val="2"/>
      </rPr>
      <t xml:space="preserve">no </t>
    </r>
    <r>
      <rPr>
        <b/>
        <sz val="11"/>
        <color rgb="FF000000"/>
        <rFont val="Calibri"/>
        <family val="2"/>
      </rPr>
      <t>ETA 1/22</t>
    </r>
  </si>
  <si>
    <t>1/23 - RUN 6:00 AM 1/26!!!
1/23 - PCBS INSPECTED &amp; PUT IN OVEN</t>
  </si>
  <si>
    <t>TRI</t>
  </si>
  <si>
    <t>137589
NEW
(AS9100-ITAR-CUI)</t>
  </si>
  <si>
    <t>1/27
1D</t>
  </si>
  <si>
    <r>
      <rPr>
        <b/>
        <sz val="11"/>
        <color rgb="FF000000"/>
        <rFont val="Calibri"/>
        <family val="2"/>
      </rPr>
      <t xml:space="preserve">CLASS 3
Xray required
leaded no-clean
</t>
    </r>
    <r>
      <rPr>
        <b/>
        <strike/>
        <sz val="11"/>
        <color rgb="FF000000"/>
        <rFont val="Calibri"/>
        <family val="2"/>
      </rPr>
      <t xml:space="preserve">SW1 place after wash?
</t>
    </r>
    <r>
      <rPr>
        <b/>
        <sz val="11"/>
        <color rgb="FF000000"/>
        <rFont val="Calibri"/>
        <family val="2"/>
      </rPr>
      <t>Depanel &amp; Sand (no shock allowed - see Customer Drawing)
Tad depanel
Sand Required (Cust Drawing)</t>
    </r>
  </si>
  <si>
    <r>
      <t xml:space="preserve">1/23 - RECVD
short, </t>
    </r>
    <r>
      <rPr>
        <b/>
        <strike/>
        <sz val="11"/>
        <color rgb="FF000000"/>
        <rFont val="Calibri"/>
        <family val="2"/>
      </rPr>
      <t xml:space="preserve">no </t>
    </r>
    <r>
      <rPr>
        <b/>
        <sz val="11"/>
        <color rgb="FF000000"/>
        <rFont val="Calibri"/>
        <family val="2"/>
      </rPr>
      <t>ETA 1/23</t>
    </r>
  </si>
  <si>
    <t>1/20 - matl clear</t>
  </si>
  <si>
    <t>137591
NEW
(AS9100-ITAR-CUI)</t>
  </si>
  <si>
    <r>
      <rPr>
        <b/>
        <sz val="11"/>
        <color rgb="FF000000"/>
        <rFont val="Calibri"/>
        <family val="2"/>
      </rPr>
      <t xml:space="preserve">AS9102 FAIR REQ
CLASS 3
leaded no-clean
</t>
    </r>
    <r>
      <rPr>
        <b/>
        <strike/>
        <sz val="11"/>
        <color rgb="FF000000"/>
        <rFont val="Calibri"/>
        <family val="2"/>
      </rPr>
      <t xml:space="preserve">"SW1, SW2, SW3" AFTER WASH
</t>
    </r>
    <r>
      <rPr>
        <b/>
        <sz val="11"/>
        <color rgb="FF000000"/>
        <rFont val="Calibri"/>
        <family val="2"/>
      </rPr>
      <t>XRAY &amp; SAVE IMAGES
Tad depanel
Sand Required (Cust Drawing)</t>
    </r>
  </si>
  <si>
    <t>137592
NEW
(AS9100-ITAR-CUI)</t>
  </si>
  <si>
    <r>
      <rPr>
        <b/>
        <sz val="11"/>
        <color rgb="FF000000"/>
        <rFont val="Calibri"/>
        <family val="2"/>
      </rPr>
      <t xml:space="preserve">AS9102 FAIR REQ
CLASS 3
leaded no-clean
</t>
    </r>
    <r>
      <rPr>
        <b/>
        <strike/>
        <sz val="11"/>
        <color rgb="FF000000"/>
        <rFont val="Calibri"/>
        <family val="2"/>
      </rPr>
      <t xml:space="preserve">"SW1, SW2, SW3, SW4" AFTER WASH
</t>
    </r>
    <r>
      <rPr>
        <b/>
        <sz val="11"/>
        <color rgb="FF000000"/>
        <rFont val="Calibri"/>
        <family val="2"/>
      </rPr>
      <t>XRAY &amp; SAVE IMAGES
Tad depanel
Sand Required (Cust Drawing)</t>
    </r>
  </si>
  <si>
    <t>1/21 - matl clear</t>
  </si>
  <si>
    <t>137600
NEW
(AS9100-ITAR-CUI)</t>
  </si>
  <si>
    <r>
      <rPr>
        <b/>
        <sz val="11"/>
        <color rgb="FF000000"/>
        <rFont val="Calibri"/>
        <family val="2"/>
      </rPr>
      <t xml:space="preserve">AS9102 FAIR REQ
CLASS 3
AOI REQUIRED
leaded no-clean
</t>
    </r>
    <r>
      <rPr>
        <b/>
        <strike/>
        <sz val="11"/>
        <color rgb="FF000000"/>
        <rFont val="Calibri"/>
        <family val="2"/>
      </rPr>
      <t xml:space="preserve">"SW1, SW2, SW3, SW4" AFTER WASH
</t>
    </r>
    <r>
      <rPr>
        <b/>
        <sz val="11"/>
        <color rgb="FF000000"/>
        <rFont val="Calibri"/>
        <family val="2"/>
      </rPr>
      <t>XRAY &amp; SAVE IMAGES
Tad depanel
Sand Required (Customer Drawing)</t>
    </r>
  </si>
  <si>
    <r>
      <t xml:space="preserve">clear 12/29
</t>
    </r>
    <r>
      <rPr>
        <b/>
        <strike/>
        <sz val="11"/>
        <color rgb="FF000000"/>
        <rFont val="Calibri"/>
        <family val="2"/>
      </rPr>
      <t>short due 12/31</t>
    </r>
  </si>
  <si>
    <r>
      <t xml:space="preserve">1/15 - kit clear
</t>
    </r>
    <r>
      <rPr>
        <b/>
        <strike/>
        <sz val="11"/>
        <color rgb="FF000000"/>
        <rFont val="Calibri"/>
        <family val="2"/>
      </rPr>
      <t>1/14 - short SMT T1 due 1/15
12/30 - short SMT T1 (no skip) due 12/31
short THT J1_MS1 due 12/31
12/29 - short SMT many, no ETA
short THT J1_MS1, J1_STF1 &amp; J1, no ETA</t>
    </r>
  </si>
  <si>
    <t>1/9 - SMT bot comp
1/9 - ok to run bottom</t>
  </si>
  <si>
    <r>
      <rPr>
        <b/>
        <sz val="14"/>
        <color rgb="FF000000"/>
        <rFont val="Calibri"/>
        <family val="2"/>
      </rPr>
      <t xml:space="preserve">136871
NEW
</t>
    </r>
    <r>
      <rPr>
        <b/>
        <sz val="14"/>
        <color rgb="FFFF0000"/>
        <rFont val="Calibri"/>
        <family val="2"/>
      </rPr>
      <t>(CUI/ AS9100)</t>
    </r>
  </si>
  <si>
    <t>01/26
10D</t>
  </si>
  <si>
    <r>
      <rPr>
        <b/>
        <sz val="11"/>
        <color rgb="FF000000"/>
        <rFont val="Calibri"/>
        <family val="2"/>
      </rPr>
      <t xml:space="preserve">CLASS 3 - LEAD PROCESS, WASH
"J1 &amp; RELATED" READ ECO NOTE 4 BEFORE INSTALLING
"C3" RTV REQ PER ECO 8
DEPANEL
AS9100 FAIR REQUIRED
</t>
    </r>
    <r>
      <rPr>
        <b/>
        <u/>
        <sz val="11"/>
        <color rgb="FF000000"/>
        <rFont val="Calibri"/>
        <family val="2"/>
      </rPr>
      <t>mechanical &amp; rtv required</t>
    </r>
  </si>
  <si>
    <t>1/9 - 10:00</t>
  </si>
  <si>
    <t>1/19 - 7:00</t>
  </si>
  <si>
    <t>1/19 - 9:00</t>
  </si>
  <si>
    <t xml:space="preserve">FreeFlight Systems
</t>
  </si>
  <si>
    <t>INFORM ROBERT BEFORE START
(fixture required for standoff and many pins that SMT may load instead THT)</t>
  </si>
  <si>
    <t>DOC REL 12/23</t>
  </si>
  <si>
    <t>12/29
1/29</t>
  </si>
  <si>
    <t>move J1_MS1 to SMT kit?
also, mech &amp; rtv</t>
  </si>
  <si>
    <r>
      <t xml:space="preserve">clear 1/15
</t>
    </r>
    <r>
      <rPr>
        <b/>
        <strike/>
        <sz val="11"/>
        <color rgb="FF000000"/>
        <rFont val="Calibri"/>
        <family val="2"/>
      </rPr>
      <t>short pcb due 1/23</t>
    </r>
  </si>
  <si>
    <t>1/14 - matl clear</t>
  </si>
  <si>
    <t>136905
RONC 134118</t>
  </si>
  <si>
    <t>photos: see B133577
CLASS 3
DEPANEL
daughter boards</t>
  </si>
  <si>
    <t>1/19 - 10:30</t>
  </si>
  <si>
    <t>1/19 - 12:00</t>
  </si>
  <si>
    <t>1/14
1/29</t>
  </si>
  <si>
    <r>
      <t xml:space="preserve">clear 1/21
</t>
    </r>
    <r>
      <rPr>
        <b/>
        <strike/>
        <sz val="11"/>
        <color rgb="FF000000"/>
        <rFont val="Calibri"/>
        <family val="2"/>
      </rPr>
      <t>short due 1/22 1/19 1/16</t>
    </r>
  </si>
  <si>
    <t>137408
NEW</t>
  </si>
  <si>
    <r>
      <rPr>
        <b/>
        <sz val="14"/>
        <color rgb="FF000000"/>
        <rFont val="Calibri"/>
        <family val="2"/>
      </rPr>
      <t xml:space="preserve">01/26
</t>
    </r>
    <r>
      <rPr>
        <b/>
        <sz val="14"/>
        <color rgb="FFFF0000"/>
        <rFont val="Calibri"/>
        <family val="2"/>
      </rPr>
      <t>3D</t>
    </r>
  </si>
  <si>
    <t>1/22 - 7:30</t>
  </si>
  <si>
    <t>Archaius</t>
  </si>
  <si>
    <t>THT to SMT #51 &amp; #52?</t>
  </si>
  <si>
    <t>clear 1/15</t>
  </si>
  <si>
    <t>1/16-kit clear
1/15 - short SMT (skippable) U8 due 1/16</t>
  </si>
  <si>
    <t>1/21 - Pl13 no match silkscreen</t>
  </si>
  <si>
    <r>
      <rPr>
        <b/>
        <sz val="14"/>
        <color rgb="FF000000"/>
        <rFont val="Calibri"/>
        <family val="2"/>
      </rPr>
      <t xml:space="preserve">137583
ROWC 129193
</t>
    </r>
    <r>
      <rPr>
        <b/>
        <sz val="14"/>
        <color rgb="FFFF0000"/>
        <rFont val="Calibri"/>
        <family val="2"/>
      </rPr>
      <t>(ITAR)</t>
    </r>
  </si>
  <si>
    <t>01/23
5D</t>
  </si>
  <si>
    <t>DNI Pl13
"U15" TRIM T/H LEADS FLUSH TO PCB PER ECO
DEPANEL</t>
  </si>
  <si>
    <t>1/19 - 9:30</t>
  </si>
  <si>
    <t>1/19 - 11:00</t>
  </si>
  <si>
    <t>1/19 - 2:30</t>
  </si>
  <si>
    <t>DOC REL 1/14</t>
  </si>
  <si>
    <t>COMPLETE alta</t>
  </si>
  <si>
    <r>
      <t xml:space="preserve">clear 1/12
</t>
    </r>
    <r>
      <rPr>
        <b/>
        <strike/>
        <sz val="11"/>
        <color rgb="FF000000"/>
        <rFont val="Calibri"/>
        <family val="2"/>
      </rPr>
      <t>short due 1/8 or 1/9
1/7</t>
    </r>
  </si>
  <si>
    <r>
      <t xml:space="preserve">1/13 - KIT CLEAR
</t>
    </r>
    <r>
      <rPr>
        <b/>
        <strike/>
        <sz val="11"/>
        <color rgb="FF000000"/>
        <rFont val="Calibri"/>
        <family val="2"/>
      </rPr>
      <t>1/12 - short SMT J2, no ETA
12/31 - short SMT D2 &amp; J2, no ETA</t>
    </r>
  </si>
  <si>
    <t>137355
RONC 136144</t>
  </si>
  <si>
    <r>
      <rPr>
        <b/>
        <sz val="14"/>
        <color rgb="FF000000"/>
        <rFont val="Calibri"/>
        <family val="2"/>
      </rPr>
      <t xml:space="preserve">01/23
</t>
    </r>
    <r>
      <rPr>
        <b/>
        <strike/>
        <sz val="14"/>
        <color rgb="FF000000"/>
        <rFont val="Calibri"/>
        <family val="2"/>
      </rPr>
      <t xml:space="preserve">01/22
</t>
    </r>
    <r>
      <rPr>
        <b/>
        <sz val="14"/>
        <color rgb="FF000000"/>
        <rFont val="Calibri"/>
        <family val="2"/>
      </rPr>
      <t>10D</t>
    </r>
  </si>
  <si>
    <t>DO NOT SKIP PREBAKE
"LS1" DO NOT WASH PER ECO
"J2" LIMITED STOCK - PLEASE DO NOT LOSE PARTS
DEPANEL
disregard continuity test</t>
  </si>
  <si>
    <t>1/16 - 6:00</t>
  </si>
  <si>
    <t>1/16 - 7:00</t>
  </si>
  <si>
    <t xml:space="preserve">Urban Sky Theory LLC
</t>
  </si>
  <si>
    <t>12/31
1/27</t>
  </si>
  <si>
    <r>
      <t xml:space="preserve">clear 1/7
</t>
    </r>
    <r>
      <rPr>
        <b/>
        <strike/>
        <sz val="11"/>
        <color rgb="FF000000"/>
        <rFont val="Calibri"/>
        <family val="2"/>
      </rPr>
      <t>short qty 35 due 1/6
, no ETA 12/29</t>
    </r>
  </si>
  <si>
    <r>
      <rPr>
        <b/>
        <sz val="11"/>
        <color rgb="FF000000"/>
        <rFont val="Calibri"/>
        <family val="2"/>
      </rPr>
      <t xml:space="preserve">1/16-KIT CLEAR
</t>
    </r>
    <r>
      <rPr>
        <b/>
        <strike/>
        <sz val="11"/>
        <color rgb="FF000000"/>
        <rFont val="Calibri"/>
        <family val="2"/>
      </rPr>
      <t>1/5 - short THT J3 (clear qty .36) still partial short, no ETA
12/30 - short THT J3 &amp; L1, no ETA
12/8 - short SMT U2, no ETA 12/24
short THT many, no ETA 12/24
awt THT part conf: C11 &amp; J15</t>
    </r>
  </si>
  <si>
    <t>1/12 - ok to ship qty 80 (Anne)
1/8 - ok to ship qty 36 (Anne)</t>
  </si>
  <si>
    <t>137061
NEW</t>
  </si>
  <si>
    <r>
      <rPr>
        <b/>
        <sz val="14"/>
        <color rgb="FF000000"/>
        <rFont val="Calibri"/>
        <family val="2"/>
      </rPr>
      <t xml:space="preserve">01/22
</t>
    </r>
    <r>
      <rPr>
        <b/>
        <strike/>
        <sz val="14"/>
        <color rgb="FF000000"/>
        <rFont val="Calibri"/>
        <family val="2"/>
      </rPr>
      <t xml:space="preserve">01/19
</t>
    </r>
    <r>
      <rPr>
        <b/>
        <sz val="14"/>
        <color rgb="FF000000"/>
        <rFont val="Calibri"/>
        <family val="2"/>
      </rPr>
      <t>10D</t>
    </r>
  </si>
  <si>
    <r>
      <rPr>
        <b/>
        <sz val="11"/>
        <color rgb="FFFF0000"/>
        <rFont val="Calibri"/>
      </rPr>
      <t xml:space="preserve">BTD THT L1
C16 new p/n CL21B222KDCNFNC
C21 keeps old p/n
*** "RT1" WILL BE SHORT &amp; DUE IN THE END OF JAN 2026 - CUST WANTS TO RUN AHEAD AND HAND SOLDER "RT1" WHEN IT ARRIVES - COMPLETE ALL T/H AS WELL
</t>
    </r>
    <r>
      <rPr>
        <b/>
        <u/>
        <sz val="11"/>
        <color rgb="FF000000"/>
        <rFont val="Calibri"/>
      </rPr>
      <t xml:space="preserve">"FH1, FH2" INSTALL "F1" FUSES
</t>
    </r>
    <r>
      <rPr>
        <b/>
        <sz val="11"/>
        <color rgb="FF000000"/>
        <rFont val="Calibri"/>
      </rPr>
      <t>"T1" TRIM PIN 1 PER ECO
SEE ECO FOR SPECIFIC LABEL INSTRUCTIONS
DEPANEL
OVERPACK
SHIP TO AUSTIN TX PAUL MATTHEWS
post bake 30 min (per Trinh)
mark ESD bags of boards missing L1</t>
    </r>
  </si>
  <si>
    <t>1/8
12:00</t>
  </si>
  <si>
    <t>1/9 - 7:30</t>
  </si>
  <si>
    <t>1/9 - 11:00</t>
  </si>
  <si>
    <t>12/8
1/22</t>
  </si>
  <si>
    <t>clear 1/19</t>
  </si>
  <si>
    <t>1/19 - kit clear</t>
  </si>
  <si>
    <t>1/27
5D</t>
  </si>
  <si>
    <t>RTV U38 on all sides
RTV J10 on three sides
RTV application needs to be of same amount as customer provided documents</t>
  </si>
  <si>
    <t xml:space="preserve">OXOS Medical, Inc.
</t>
  </si>
  <si>
    <r>
      <t xml:space="preserve">clear 1/19
</t>
    </r>
    <r>
      <rPr>
        <b/>
        <strike/>
        <sz val="11"/>
        <color rgb="FF000000"/>
        <rFont val="Calibri"/>
        <family val="2"/>
      </rPr>
      <t>short, no ETA 1/19</t>
    </r>
  </si>
  <si>
    <t>1/20 - waiting on fixture.  (per Robert, run all bottom then depanel into singles then run top)</t>
  </si>
  <si>
    <t>137407
NEW</t>
  </si>
  <si>
    <r>
      <rPr>
        <b/>
        <sz val="14"/>
        <color rgb="FF000000"/>
        <rFont val="Calibri"/>
        <family val="2"/>
      </rPr>
      <t xml:space="preserve">01/22
</t>
    </r>
    <r>
      <rPr>
        <b/>
        <sz val="14"/>
        <color rgb="FFFF0000"/>
        <rFont val="Calibri"/>
        <family val="2"/>
      </rPr>
      <t>3D</t>
    </r>
  </si>
  <si>
    <t>"SW1, SW2, L2" AFTER WASH
DEPANEL</t>
  </si>
  <si>
    <t>1/20 - 6:00</t>
  </si>
  <si>
    <t>1/20 - 12:30</t>
  </si>
  <si>
    <t>J3 overhang before SMT?</t>
  </si>
  <si>
    <r>
      <rPr>
        <b/>
        <sz val="11"/>
        <color rgb="FF000000"/>
        <rFont val="Calibri"/>
        <family val="2"/>
      </rPr>
      <t xml:space="preserve">clear 1/15
</t>
    </r>
    <r>
      <rPr>
        <b/>
        <strike/>
        <sz val="11"/>
        <color rgb="FF000000"/>
        <rFont val="Calibri"/>
        <family val="2"/>
      </rPr>
      <t>1/12 - awt PCB conf
short due 1/12 12/31</t>
    </r>
  </si>
  <si>
    <r>
      <t xml:space="preserve">1/14 - MATL CLEAR
</t>
    </r>
    <r>
      <rPr>
        <b/>
        <strike/>
        <sz val="11"/>
        <color rgb="FF000000"/>
        <rFont val="Calibri"/>
        <family val="2"/>
      </rPr>
      <t>1/12 - short SMT many due 1/13
SMT parts conf F1, MH1 &amp; U2
12/18 - short SMT many, no ETA
short THT J8, no ETA</t>
    </r>
  </si>
  <si>
    <t>1/15 - day 1 is 1/19 (Anne)</t>
  </si>
  <si>
    <t>136953
NEW</t>
  </si>
  <si>
    <t>01/22
5D</t>
  </si>
  <si>
    <r>
      <rPr>
        <b/>
        <sz val="11"/>
        <color rgb="FF000000"/>
        <rFont val="Calibri"/>
        <family val="2"/>
      </rPr>
      <t xml:space="preserve">*** heat SEAL EXCESS PART BAGS AT TEAR DOWN
NO CLEAN PROCESS
"L3, L12" SEE ECO FOR MASKING
*** "MH1-MH10" MUST SIT FLUSH TO PCB PER ECO - NO TILT ALLOWED
XRAY &amp; SAVE IMAGES
"J8, J9" MUST SIT FLUSH TO PCB PER ECO - NO TILT ALLOWED
*** NO VISIBLE "FOD" PER ECO
</t>
    </r>
    <r>
      <rPr>
        <b/>
        <u/>
        <sz val="11"/>
        <color rgb="FF000000"/>
        <rFont val="Calibri"/>
        <family val="2"/>
      </rPr>
      <t xml:space="preserve">MAKE SURE BOARDS ARE FREE &amp; CLEAN OF RESIDUES AND DEBRIS
</t>
    </r>
    <r>
      <rPr>
        <b/>
        <sz val="11"/>
        <color rgb="FF000000"/>
        <rFont val="Calibri"/>
        <family val="2"/>
      </rPr>
      <t xml:space="preserve">DEPANEL &amp; ***SAND
OVERPACK
</t>
    </r>
    <r>
      <rPr>
        <b/>
        <u/>
        <sz val="11"/>
        <color rgb="FF000000"/>
        <rFont val="Calibri"/>
        <family val="2"/>
      </rPr>
      <t>verify nuts and washer installed</t>
    </r>
  </si>
  <si>
    <t>1/16 - 11:30</t>
  </si>
  <si>
    <t>1/19 - 8:00</t>
  </si>
  <si>
    <t xml:space="preserve">Carnegie Robotics
</t>
  </si>
  <si>
    <t>continuity?</t>
  </si>
  <si>
    <r>
      <t xml:space="preserve">clear 1/15
</t>
    </r>
    <r>
      <rPr>
        <b/>
        <strike/>
        <sz val="11"/>
        <color rgb="FF000000"/>
        <rFont val="Calibri"/>
        <family val="2"/>
      </rPr>
      <t>short_no ETA 1/22</t>
    </r>
  </si>
  <si>
    <r>
      <rPr>
        <b/>
        <sz val="11"/>
        <color rgb="FF000000"/>
        <rFont val="Calibri"/>
        <family val="2"/>
      </rPr>
      <t xml:space="preserve">1/19 - kit clear
</t>
    </r>
    <r>
      <rPr>
        <b/>
        <strike/>
        <sz val="11"/>
        <color rgb="FF000000"/>
        <rFont val="Calibri"/>
        <family val="2"/>
      </rPr>
      <t>1/15 - short SMT X13 bot side, due 1/13 - 1/15 (Quest)
1/8- short C27, D4, X13, DS1, R157 and T1
D12  wait for confirm/Y1 and FB1 are ok to use.</t>
    </r>
  </si>
  <si>
    <t>137367-FA
NEW</t>
  </si>
  <si>
    <r>
      <rPr>
        <b/>
        <sz val="11"/>
        <color rgb="FF000000"/>
        <rFont val="Calibri"/>
        <family val="2"/>
      </rPr>
      <t xml:space="preserve">balance qty 55
"U26 &amp; T1" MOISTURE SENSITIVE PER ECO NOTE 4
DEPANEL
* MAKE SURE BOARDS ARE FREE AND CLEAN OF DEBRIS AND RESIDUE
REMOVE ALL PICK &amp; PLACE TABS AND YELLOW TAPE
ok to use: D12, Y1 &amp; FB1
</t>
    </r>
    <r>
      <rPr>
        <b/>
        <u/>
        <sz val="11"/>
        <color rgb="FF000000"/>
        <rFont val="Calibri"/>
        <family val="2"/>
      </rPr>
      <t>install hardware X12 &amp; mech</t>
    </r>
  </si>
  <si>
    <t>1/20 - 8:30</t>
  </si>
  <si>
    <t>1/20 - 2:30</t>
  </si>
  <si>
    <r>
      <t xml:space="preserve">clear 1/15
</t>
    </r>
    <r>
      <rPr>
        <b/>
        <strike/>
        <sz val="11"/>
        <color rgb="FF000000"/>
        <rFont val="Calibri"/>
        <family val="2"/>
      </rPr>
      <t>short due 1/16</t>
    </r>
  </si>
  <si>
    <t>1/12 - matl clear</t>
  </si>
  <si>
    <t>1/15 - line 3 is aware to cover grid areas or do preventative measures</t>
  </si>
  <si>
    <t>137560
ROWC 134905</t>
  </si>
  <si>
    <r>
      <rPr>
        <b/>
        <sz val="11"/>
        <color rgb="FF000000"/>
        <rFont val="Calibri"/>
        <family val="2"/>
      </rPr>
      <t xml:space="preserve">""U2, 4, 6, 8"" MASK PADS PER ECO
*** </t>
    </r>
    <r>
      <rPr>
        <b/>
        <sz val="11"/>
        <color rgb="FFFF0000"/>
        <rFont val="Calibri"/>
        <family val="2"/>
      </rPr>
      <t>KEEP GRID HOLES FREE FROM SOLDER</t>
    </r>
    <r>
      <rPr>
        <b/>
        <sz val="11"/>
        <color rgb="FF000000"/>
        <rFont val="Calibri"/>
        <family val="2"/>
      </rPr>
      <t xml:space="preserve"> (GRID TAPED ON BOTH SIDES)
""S1, S1COVER"" INSPECT PARTS UNDERNEATH BEFORE INSTALLING COVER
DEPANEL
MAKE SURE BOARDS ARE FREE &amp; CLEAN OF DUST, DEBIS ETC
100% photos (front/back/all)</t>
    </r>
  </si>
  <si>
    <t>1/19 - 6:30</t>
  </si>
  <si>
    <t xml:space="preserve">TMC / Technical Manufacturing Corp.
</t>
  </si>
  <si>
    <t>confirm with Tad if he wants to tape grid</t>
  </si>
  <si>
    <r>
      <t xml:space="preserve">clear 12/11
</t>
    </r>
    <r>
      <rPr>
        <b/>
        <strike/>
        <sz val="11"/>
        <color rgb="FF000000"/>
        <rFont val="Calibri"/>
        <family val="2"/>
      </rPr>
      <t>short, no ETA 12/11</t>
    </r>
  </si>
  <si>
    <r>
      <t xml:space="preserve">01/8 - CLEAR
</t>
    </r>
    <r>
      <rPr>
        <b/>
        <strike/>
        <sz val="11"/>
        <color rgb="FF000000"/>
        <rFont val="Calibri"/>
        <family val="2"/>
      </rPr>
      <t>12/5 - short SMT Q2, no ETA (can skip)
short THT J2, no ETA</t>
    </r>
  </si>
  <si>
    <t>12/5 - SMT top side 1st</t>
  </si>
  <si>
    <r>
      <rPr>
        <b/>
        <sz val="14"/>
        <color rgb="FF000000"/>
        <rFont val="Calibri"/>
        <family val="2"/>
      </rPr>
      <t xml:space="preserve">136513
RONC 126657
</t>
    </r>
    <r>
      <rPr>
        <b/>
        <sz val="14"/>
        <color rgb="FFFF0000"/>
        <rFont val="Calibri"/>
        <family val="2"/>
      </rPr>
      <t>(ITAR)</t>
    </r>
  </si>
  <si>
    <t>01/22
15D</t>
  </si>
  <si>
    <r>
      <rPr>
        <b/>
        <sz val="11"/>
        <color rgb="FF000000"/>
        <rFont val="Calibri"/>
        <family val="2"/>
      </rPr>
      <t xml:space="preserve">Last Build: confirm bare boards P/N 13068_ _ _ REV - 
</t>
    </r>
    <r>
      <rPr>
        <b/>
        <sz val="11"/>
        <color rgb="FFFF0000"/>
        <rFont val="Calibri"/>
        <family val="2"/>
      </rPr>
      <t xml:space="preserve">CLASS 3
</t>
    </r>
    <r>
      <rPr>
        <b/>
        <sz val="11"/>
        <color rgb="FF000000"/>
        <rFont val="Calibri"/>
        <family val="2"/>
      </rPr>
      <t>TRIM LEADS PER ECO #4
DEPANEL
100% photos</t>
    </r>
  </si>
  <si>
    <t>12/29 - 6:00</t>
  </si>
  <si>
    <t>12/29 - 8:30</t>
  </si>
  <si>
    <t>12/29 - 10:30</t>
  </si>
  <si>
    <t>Plasma Ruggedized Solutions</t>
  </si>
  <si>
    <t>DOC REL 12/4</t>
  </si>
  <si>
    <t>12/5
1/29</t>
  </si>
  <si>
    <r>
      <t xml:space="preserve">clear 1/12
</t>
    </r>
    <r>
      <rPr>
        <b/>
        <strike/>
        <sz val="11"/>
        <color rgb="FF000000"/>
        <rFont val="Calibri"/>
        <family val="2"/>
      </rPr>
      <t>short due 1/12 1/2</t>
    </r>
  </si>
  <si>
    <r>
      <t xml:space="preserve">1/12 - kit clear
</t>
    </r>
    <r>
      <rPr>
        <b/>
        <strike/>
        <sz val="11"/>
        <color rgb="FF000000"/>
        <rFont val="Calibri"/>
        <family val="2"/>
      </rPr>
      <t>1/7 - short SMT C33 &amp; U11 due 1/20
12/30 - short SMT C33, U11 &amp; L3 due 12/30
short THT J6 &amp; J8 due 12/30</t>
    </r>
  </si>
  <si>
    <t>137253
RONC 135998</t>
  </si>
  <si>
    <t>01/21
10D</t>
  </si>
  <si>
    <r>
      <rPr>
        <b/>
        <sz val="11"/>
        <color rgb="FF000000"/>
        <rFont val="Calibri"/>
      </rPr>
      <t xml:space="preserve">DO NOT SKIP PREBAKE
*** </t>
    </r>
    <r>
      <rPr>
        <b/>
        <sz val="12"/>
        <color rgb="FF000000"/>
        <rFont val="Calibri"/>
      </rPr>
      <t>USE Sn96.5 Ag3.0 Cu0.5  ONL</t>
    </r>
    <r>
      <rPr>
        <b/>
        <sz val="11"/>
        <color rgb="FF000000"/>
        <rFont val="Calibri"/>
      </rPr>
      <t>Y
SEE ECO FOR CofC
DEPANEL
OVERPACK</t>
    </r>
  </si>
  <si>
    <t>1/13 - 8:00</t>
  </si>
  <si>
    <t>1/14 - 8:00</t>
  </si>
  <si>
    <t>1/14 - 2:30</t>
  </si>
  <si>
    <t>DOC REL 12/15</t>
  </si>
  <si>
    <t>12/17
1/26</t>
  </si>
  <si>
    <r>
      <t xml:space="preserve">clear 12/23
</t>
    </r>
    <r>
      <rPr>
        <b/>
        <strike/>
        <sz val="11"/>
        <color rgb="FF000000"/>
        <rFont val="Calibri"/>
        <family val="2"/>
      </rPr>
      <t>short due 12/29</t>
    </r>
  </si>
  <si>
    <r>
      <t xml:space="preserve">1/9 - kit clear
</t>
    </r>
    <r>
      <rPr>
        <b/>
        <strike/>
        <sz val="11"/>
        <color rgb="FF000000"/>
        <rFont val="Calibri"/>
        <family val="2"/>
      </rPr>
      <t>12/23 - short SMT U9 skippable due 1/9, no ETA
12/12 - short SMT U3 &amp; U9, no ETA</t>
    </r>
  </si>
  <si>
    <t>137110
NEW</t>
  </si>
  <si>
    <t>01/20
10D</t>
  </si>
  <si>
    <r>
      <rPr>
        <b/>
        <sz val="11"/>
        <color rgb="FF000000"/>
        <rFont val="Calibri"/>
        <family val="2"/>
      </rPr>
      <t xml:space="preserve">*** SEE TRACELER NOTE &amp; EMAIL FOR "SW1 &amp; SW2" - CHECK MARKINGS TO DETERMINE IF WASHABLE OR NOT
DO NOT SKIP PREBAKE
</t>
    </r>
    <r>
      <rPr>
        <b/>
        <u/>
        <sz val="11"/>
        <color rgb="FF000000"/>
        <rFont val="Calibri"/>
        <family val="2"/>
      </rPr>
      <t>POST BAKE ASSY'S 30 MIN</t>
    </r>
    <r>
      <rPr>
        <b/>
        <sz val="11"/>
        <color rgb="FF000000"/>
        <rFont val="Calibri"/>
        <family val="2"/>
      </rPr>
      <t xml:space="preserve"> IF WASHED
DEPANEL</t>
    </r>
  </si>
  <si>
    <t>1/5 - 6:00</t>
  </si>
  <si>
    <t>1/5 - 1:00</t>
  </si>
  <si>
    <t xml:space="preserve">Machine Solutions, Inc.
</t>
  </si>
  <si>
    <t>12/12
1/23</t>
  </si>
  <si>
    <t>double check ECO
DOUBLE CHECK STENCIL</t>
  </si>
  <si>
    <r>
      <t xml:space="preserve">1/14 - matl clear
</t>
    </r>
    <r>
      <rPr>
        <b/>
        <strike/>
        <sz val="11"/>
        <color rgb="FF000000"/>
        <rFont val="Calibri"/>
        <family val="2"/>
      </rPr>
      <t>1/13 - short THT F1_X &amp; X9 due 1/16</t>
    </r>
  </si>
  <si>
    <t>137431
NEW</t>
  </si>
  <si>
    <r>
      <rPr>
        <b/>
        <sz val="14"/>
        <color rgb="FF000000"/>
        <rFont val="Calibri"/>
        <family val="2"/>
      </rPr>
      <t xml:space="preserve">01/20
</t>
    </r>
    <r>
      <rPr>
        <b/>
        <sz val="14"/>
        <color rgb="FFFF0000"/>
        <rFont val="Calibri"/>
        <family val="2"/>
      </rPr>
      <t>1D</t>
    </r>
  </si>
  <si>
    <r>
      <rPr>
        <b/>
        <sz val="11"/>
        <color rgb="FF000000"/>
        <rFont val="Calibri"/>
        <family val="2"/>
      </rPr>
      <t>01/8 CLR.</t>
    </r>
    <r>
      <rPr>
        <b/>
        <strike/>
        <sz val="11"/>
        <color rgb="FF000000"/>
        <rFont val="Calibri"/>
        <family val="2"/>
      </rPr>
      <t xml:space="preserve"> short, no ETA 1/14</t>
    </r>
  </si>
  <si>
    <r>
      <t xml:space="preserve">12/31 - matl clear
</t>
    </r>
    <r>
      <rPr>
        <b/>
        <strike/>
        <sz val="11"/>
        <color rgb="FF000000"/>
        <rFont val="Calibri"/>
        <family val="2"/>
      </rPr>
      <t>12/30 - short SMT J1, no ETA</t>
    </r>
  </si>
  <si>
    <t>12/30 - SMT top side 1st</t>
  </si>
  <si>
    <t>137357
RONC 136143</t>
  </si>
  <si>
    <t>01/19
10D</t>
  </si>
  <si>
    <t>Quality Alert!
Last build had missing PCBAs
100% photos required
DEPANEL</t>
  </si>
  <si>
    <t>1/9 - 2:30</t>
  </si>
  <si>
    <t>DOC REL 12/30</t>
  </si>
  <si>
    <t>12/30
1/22</t>
  </si>
  <si>
    <t>complete alta ON BAG</t>
  </si>
  <si>
    <t>prev run had missing boards</t>
  </si>
  <si>
    <r>
      <t xml:space="preserve">clear 1/7
</t>
    </r>
    <r>
      <rPr>
        <b/>
        <strike/>
        <sz val="11"/>
        <color rgb="FF000000"/>
        <rFont val="Calibri"/>
        <family val="2"/>
      </rPr>
      <t>short due 1/7</t>
    </r>
  </si>
  <si>
    <r>
      <t xml:space="preserve">1/14 - kit clear
</t>
    </r>
    <r>
      <rPr>
        <b/>
        <strike/>
        <sz val="11"/>
        <color rgb="FF000000"/>
        <rFont val="Calibri"/>
        <family val="2"/>
      </rPr>
      <t>1/9 - short SMT U4 due 1/12
1/6 - short SMT U4 qty 15 due 1/7, bal due 1/13
short THT J5 qty due 1/7</t>
    </r>
  </si>
  <si>
    <r>
      <rPr>
        <b/>
        <strike/>
        <sz val="11"/>
        <color rgb="FF000000"/>
        <rFont val="Calibri"/>
        <family val="2"/>
      </rPr>
      <t xml:space="preserve">1/7 - missing all U4, hold until some/all U4 comes in
</t>
    </r>
    <r>
      <rPr>
        <b/>
        <sz val="11"/>
        <color rgb="FF000000"/>
        <rFont val="Calibri"/>
        <family val="2"/>
      </rPr>
      <t>1/6 - ok to run qty 15 of 60 (TAD)</t>
    </r>
  </si>
  <si>
    <t>137321-2bal
NEW</t>
  </si>
  <si>
    <r>
      <rPr>
        <b/>
        <sz val="14"/>
        <color rgb="FF000000"/>
        <rFont val="Calibri"/>
        <family val="2"/>
      </rPr>
      <t xml:space="preserve">01/19
</t>
    </r>
    <r>
      <rPr>
        <b/>
        <sz val="14"/>
        <color rgb="FFFF0000"/>
        <rFont val="Calibri"/>
        <family val="2"/>
      </rPr>
      <t>3D</t>
    </r>
  </si>
  <si>
    <t>build and ship qty 15 on 1/15
SAC305 or M705-LFAC19 solder paste
CofC requirements
Overpack</t>
  </si>
  <si>
    <t>1/15 - 11:00</t>
  </si>
  <si>
    <t>Anduril Maritime</t>
  </si>
  <si>
    <t>DOC REL 1/5</t>
  </si>
  <si>
    <t>1/6</t>
  </si>
  <si>
    <r>
      <t xml:space="preserve">clear 1/14
</t>
    </r>
    <r>
      <rPr>
        <b/>
        <strike/>
        <sz val="11"/>
        <color rgb="FF000000"/>
        <rFont val="Calibri"/>
        <family val="2"/>
      </rPr>
      <t>short due 1/15</t>
    </r>
  </si>
  <si>
    <r>
      <t xml:space="preserve">1/13 - matl clear
</t>
    </r>
    <r>
      <rPr>
        <b/>
        <strike/>
        <sz val="11"/>
        <color rgb="FF000000"/>
        <rFont val="Calibri"/>
        <family val="2"/>
      </rPr>
      <t>1/9 - short SMT R75, no ETA
awt SMT part conf D5</t>
    </r>
  </si>
  <si>
    <r>
      <rPr>
        <b/>
        <sz val="14"/>
        <color rgb="FF000000"/>
        <rFont val="Calibri"/>
        <family val="2"/>
      </rPr>
      <t xml:space="preserve">137303
NEW
</t>
    </r>
    <r>
      <rPr>
        <b/>
        <sz val="14"/>
        <color rgb="FFFF0000"/>
        <rFont val="Calibri"/>
        <family val="2"/>
      </rPr>
      <t>(DoD-CUI/ ITAR)</t>
    </r>
  </si>
  <si>
    <r>
      <rPr>
        <b/>
        <sz val="11"/>
        <color rgb="FF000000"/>
        <rFont val="Calibri"/>
        <family val="2"/>
      </rPr>
      <t xml:space="preserve">SMT: </t>
    </r>
    <r>
      <rPr>
        <b/>
        <strike/>
        <sz val="11"/>
        <color rgb="FF000000"/>
        <rFont val="Calibri"/>
        <family val="2"/>
      </rPr>
      <t xml:space="preserve">Cover #43 open locations on the stencil
</t>
    </r>
    <r>
      <rPr>
        <b/>
        <sz val="11"/>
        <color rgb="FF000000"/>
        <rFont val="Calibri"/>
        <family val="2"/>
      </rPr>
      <t>LCD "DISP1" AFTER WASH
DEPANEL
CAGE CODE REQ ON PACK SLIP
CAGE CODE: 4GE43
Overpack</t>
    </r>
  </si>
  <si>
    <t>1/15 - 12:30</t>
  </si>
  <si>
    <t>1/16 - 9:30</t>
  </si>
  <si>
    <t xml:space="preserve">Advanced Acoustic Concepts, LLC
</t>
  </si>
  <si>
    <t>1/9</t>
  </si>
  <si>
    <t>fit check THT #43</t>
  </si>
  <si>
    <r>
      <rPr>
        <b/>
        <sz val="11"/>
        <color rgb="FF000000"/>
        <rFont val="Calibri"/>
        <family val="2"/>
      </rPr>
      <t xml:space="preserve">1/16-CLR
pcb received 1/15
</t>
    </r>
    <r>
      <rPr>
        <b/>
        <strike/>
        <sz val="11"/>
        <color rgb="FF000000"/>
        <rFont val="Calibri"/>
        <family val="2"/>
      </rPr>
      <t>short, no ETA 1/19</t>
    </r>
  </si>
  <si>
    <r>
      <rPr>
        <b/>
        <sz val="11"/>
        <color rgb="FF000000"/>
        <rFont val="Calibri"/>
        <family val="2"/>
      </rPr>
      <t xml:space="preserve">1/16-KIT CLEAR
1/15 - matl clear
</t>
    </r>
    <r>
      <rPr>
        <b/>
        <strike/>
        <sz val="11"/>
        <color rgb="FF000000"/>
        <rFont val="Calibri"/>
        <family val="2"/>
      </rPr>
      <t>1/12 - short THT F1 due 1/13 &amp; RV1</t>
    </r>
  </si>
  <si>
    <t>137461
NEW</t>
  </si>
  <si>
    <r>
      <rPr>
        <b/>
        <sz val="14"/>
        <color rgb="FF000000"/>
        <rFont val="Calibri"/>
        <family val="2"/>
      </rPr>
      <t xml:space="preserve">01/19
</t>
    </r>
    <r>
      <rPr>
        <b/>
        <sz val="14"/>
        <color rgb="FFFF0000"/>
        <rFont val="Calibri"/>
        <family val="2"/>
      </rPr>
      <t>1D</t>
    </r>
  </si>
  <si>
    <t>BTD RV1
DEPANEL
NO DISCRENABLE RESIDUE PER ECO
"K1, K2" REMOVE TAPE BEFORE SHIPPING
disregard ECO #7</t>
  </si>
  <si>
    <t>1/16 - 5:00</t>
  </si>
  <si>
    <t>clear 12/4</t>
  </si>
  <si>
    <r>
      <rPr>
        <b/>
        <sz val="11"/>
        <color rgb="FF000000"/>
        <rFont val="Calibri"/>
        <family val="2"/>
      </rPr>
      <t xml:space="preserve">1/8-clear (stk recv' spacer)
</t>
    </r>
    <r>
      <rPr>
        <b/>
        <strike/>
        <sz val="11"/>
        <color rgb="FF000000"/>
        <rFont val="Calibri"/>
        <family val="2"/>
      </rPr>
      <t>12/29 - spacer due today
12/4 - short THT ADH1 &amp; SPACE_R1, no ETA</t>
    </r>
  </si>
  <si>
    <t>12/4 - SMT CLEAR</t>
  </si>
  <si>
    <t>136220
NEW</t>
  </si>
  <si>
    <r>
      <rPr>
        <b/>
        <sz val="11"/>
        <color rgb="FF000000"/>
        <rFont val="Calibri"/>
        <family val="2"/>
      </rPr>
      <t xml:space="preserve">DO NOT SKIP PREBAKE
"J10-J14" REMOVE PIN A2 - READ ECO
"J2-J7" - SNTALL SPACERS - READ ECO
</t>
    </r>
    <r>
      <rPr>
        <b/>
        <u/>
        <sz val="11"/>
        <color rgb="FF000000"/>
        <rFont val="Calibri"/>
        <family val="2"/>
      </rPr>
      <t xml:space="preserve">ADHESIVE GLUE RQ </t>
    </r>
    <r>
      <rPr>
        <b/>
        <sz val="11"/>
        <color rgb="FF000000"/>
        <rFont val="Calibri"/>
        <family val="2"/>
      </rPr>
      <t xml:space="preserve">PER ECO
ok to use DP100
DEPANEL &amp; SAND
conformal coating waived
post-bake 30 min (per Trinh)
</t>
    </r>
    <r>
      <rPr>
        <b/>
        <u/>
        <sz val="11"/>
        <color rgb="FF000000"/>
        <rFont val="Calibri"/>
        <family val="2"/>
      </rPr>
      <t>Use #17 customer provided shipping box</t>
    </r>
  </si>
  <si>
    <t>12/9 - 10:00</t>
  </si>
  <si>
    <t>12/9 - 11:30</t>
  </si>
  <si>
    <t>12/9 - 1:00</t>
  </si>
  <si>
    <t xml:space="preserve">NOV Tuboscope Inc.
</t>
  </si>
  <si>
    <t>DOC REL 12/2</t>
  </si>
  <si>
    <t>12/4
1/22</t>
  </si>
  <si>
    <r>
      <t xml:space="preserve">clear 1/12
</t>
    </r>
    <r>
      <rPr>
        <b/>
        <strike/>
        <sz val="11"/>
        <color rgb="FF000000"/>
        <rFont val="Calibri"/>
        <family val="2"/>
      </rPr>
      <t>short, no ETA 1/12</t>
    </r>
  </si>
  <si>
    <r>
      <t xml:space="preserve">1/5 - matl clear
</t>
    </r>
    <r>
      <rPr>
        <b/>
        <strike/>
        <sz val="11"/>
        <color rgb="FF000000"/>
        <rFont val="Calibri"/>
        <family val="2"/>
      </rPr>
      <t>12/30 - short SMT many, no ETA
short THT J4 &amp; SW1, no ETA</t>
    </r>
  </si>
  <si>
    <t>137428
NEW</t>
  </si>
  <si>
    <t>01/19
5D</t>
  </si>
  <si>
    <t>DO NOT SKIP PREBAKE
"SW1, SW2" AFTER WASH
DEPANEL</t>
  </si>
  <si>
    <t>1/15 - 6:00</t>
  </si>
  <si>
    <t>1/15 - 9:00</t>
  </si>
  <si>
    <t xml:space="preserve">Ascent AeroSystems
</t>
  </si>
  <si>
    <t>12/30</t>
  </si>
  <si>
    <t>CLEAR 1/12</t>
  </si>
  <si>
    <t>1/12 - CLEAR</t>
  </si>
  <si>
    <t>RMA
REINSPECT AND REPLACE DAMAGED PARTS</t>
  </si>
  <si>
    <r>
      <t xml:space="preserve">clear 12/31
</t>
    </r>
    <r>
      <rPr>
        <b/>
        <strike/>
        <sz val="11"/>
        <color rgb="FF000000"/>
        <rFont val="Calibri"/>
        <family val="2"/>
      </rPr>
      <t>short due 1/2</t>
    </r>
  </si>
  <si>
    <r>
      <t xml:space="preserve">1/7 - kit clear
</t>
    </r>
    <r>
      <rPr>
        <b/>
        <strike/>
        <sz val="11"/>
        <color rgb="FF000000"/>
        <rFont val="Calibri"/>
        <family val="2"/>
      </rPr>
      <t>12/30 - short P1 due 1/7 1/6</t>
    </r>
  </si>
  <si>
    <t>137297
NEW</t>
  </si>
  <si>
    <t>01/16
10D</t>
  </si>
  <si>
    <t>T/H ONLY
WASH
DEPANEL</t>
  </si>
  <si>
    <t>12/30
1/21</t>
  </si>
  <si>
    <t>complete alta on bag</t>
  </si>
  <si>
    <r>
      <t xml:space="preserve">1/9 - kit clear for qty 104
</t>
    </r>
    <r>
      <rPr>
        <b/>
        <strike/>
        <sz val="11"/>
        <color rgb="FF000000"/>
        <rFont val="Calibri"/>
        <family val="2"/>
      </rPr>
      <t>12/30 - short SMT R5 qty 1193 due jan 2026
9/2 - short SMT U9 due 9/11, R5 &amp; Q13 qty high - no ETA
short THT VR1 no ETA</t>
    </r>
  </si>
  <si>
    <r>
      <rPr>
        <b/>
        <sz val="13"/>
        <color rgb="FF000000"/>
        <rFont val="Calibri"/>
        <family val="2"/>
      </rPr>
      <t xml:space="preserve">133973-2 PAR
NEW
</t>
    </r>
    <r>
      <rPr>
        <b/>
        <sz val="13"/>
        <color rgb="FFFF0000"/>
        <rFont val="Calibri"/>
        <family val="2"/>
      </rPr>
      <t>(DoD - CUI/ ITAR)</t>
    </r>
  </si>
  <si>
    <t>01/16
20D</t>
  </si>
  <si>
    <t>care when clean before ship
SHIPPED qty 87 on 10/24
BAL REMAIN QTY 64
LEAD WASH
DEPANELL
"MTG1" IS QTY 2 PER BOARD</t>
  </si>
  <si>
    <t>1/6 - 12:30</t>
  </si>
  <si>
    <t>9/2</t>
  </si>
  <si>
    <r>
      <t xml:space="preserve">clear 12/8
</t>
    </r>
    <r>
      <rPr>
        <b/>
        <strike/>
        <sz val="11"/>
        <color rgb="FF000000"/>
        <rFont val="Calibri"/>
        <family val="2"/>
      </rPr>
      <t>short, no ETA 12/2</t>
    </r>
  </si>
  <si>
    <r>
      <t xml:space="preserve">12/12 - kit clear
</t>
    </r>
    <r>
      <rPr>
        <b/>
        <strike/>
        <sz val="11"/>
        <color rgb="FF000000"/>
        <rFont val="Calibri"/>
        <family val="2"/>
      </rPr>
      <t>12/11 - short SMT R17, due 12/12 soon
11/24 - short SMT many (cust consign)</t>
    </r>
  </si>
  <si>
    <r>
      <rPr>
        <b/>
        <sz val="11"/>
        <color rgb="FF000000"/>
        <rFont val="Calibri"/>
        <family val="2"/>
      </rPr>
      <t>12/18 -</t>
    </r>
    <r>
      <rPr>
        <b/>
        <sz val="11"/>
        <color rgb="FFFF0000"/>
        <rFont val="Calibri"/>
        <family val="2"/>
      </rPr>
      <t xml:space="preserve"> S</t>
    </r>
    <r>
      <rPr>
        <b/>
        <strike/>
        <sz val="11"/>
        <color rgb="FFFF0000"/>
        <rFont val="Calibri"/>
        <family val="2"/>
      </rPr>
      <t>hipping Hold (Phuong)</t>
    </r>
  </si>
  <si>
    <t>136603
NEW</t>
  </si>
  <si>
    <r>
      <rPr>
        <b/>
        <sz val="11"/>
        <color rgb="FF000000"/>
        <rFont val="Calibri"/>
        <family val="2"/>
      </rPr>
      <t xml:space="preserve">DO NOT SKIP AOI
"U12" AFTER WASH (reflow w/no clean gel after THT placed)
"J1, J4" SOLDER WIRES PER ECO
"RT1, J7" SOLDER PER ECO 5
</t>
    </r>
    <r>
      <rPr>
        <b/>
        <u/>
        <sz val="11"/>
        <color rgb="FF000000"/>
        <rFont val="Calibri"/>
        <family val="2"/>
      </rPr>
      <t xml:space="preserve">EPOXY REQ PER ECO 6
</t>
    </r>
    <r>
      <rPr>
        <b/>
        <sz val="11"/>
        <color rgb="FF000000"/>
        <rFont val="Calibri"/>
        <family val="2"/>
      </rPr>
      <t xml:space="preserve">DEPANEL
</t>
    </r>
    <r>
      <rPr>
        <b/>
        <u/>
        <sz val="12"/>
        <color rgb="FFFF0000"/>
        <rFont val="Calibri"/>
        <family val="2"/>
      </rPr>
      <t>*** WIRE/CABLE ASSY REQUIRES CoC PER ECO - SHIP CoC WITH THE BOARDS</t>
    </r>
  </si>
  <si>
    <t>12/12 - 9:00</t>
  </si>
  <si>
    <t>12/12 - 12:00</t>
  </si>
  <si>
    <t>12/15 - 8:00</t>
  </si>
  <si>
    <t>11/24</t>
  </si>
  <si>
    <r>
      <t xml:space="preserve">1/12 - clear for qty 15
</t>
    </r>
    <r>
      <rPr>
        <b/>
        <strike/>
        <sz val="11"/>
        <color rgb="FF000000"/>
        <rFont val="Calibri"/>
        <family val="2"/>
      </rPr>
      <t>1/9 - short SMT U4 due 1/12
1/6 - short SMT U4 qty 15 due 1/7, bal due 1/13
short THT J5 qty due 1/7</t>
    </r>
  </si>
  <si>
    <t>1/7 - missing all U4, hold until some/all U4 comes in
1/6 - ok to run qty 15 of 60 (TAD)</t>
  </si>
  <si>
    <t>137321-1par
NEW</t>
  </si>
  <si>
    <r>
      <rPr>
        <b/>
        <sz val="14"/>
        <color rgb="FF000000"/>
        <rFont val="Calibri"/>
        <family val="2"/>
      </rPr>
      <t xml:space="preserve">01/15
</t>
    </r>
    <r>
      <rPr>
        <b/>
        <sz val="14"/>
        <color rgb="FFFF0000"/>
        <rFont val="Calibri"/>
        <family val="2"/>
      </rPr>
      <t>3D</t>
    </r>
  </si>
  <si>
    <t>balance qty 45
build and ship qty 15 on 1/15
SAC305 or M705-LFAC19 solder paste
CofC requirements
Overpack</t>
  </si>
  <si>
    <t>1/12 - 12:00</t>
  </si>
  <si>
    <t>1/12 - 2:30</t>
  </si>
  <si>
    <r>
      <t xml:space="preserve">clear 1/5
</t>
    </r>
    <r>
      <rPr>
        <b/>
        <strike/>
        <sz val="11"/>
        <color rgb="FF000000"/>
        <rFont val="Calibri"/>
        <family val="2"/>
      </rPr>
      <t>short due 1/8</t>
    </r>
  </si>
  <si>
    <r>
      <rPr>
        <b/>
        <sz val="11"/>
        <color rgb="FF000000"/>
        <rFont val="Calibri"/>
        <family val="2"/>
      </rPr>
      <t xml:space="preserve">12/29 - matl clear except for labels due 1/14
</t>
    </r>
    <r>
      <rPr>
        <b/>
        <strike/>
        <sz val="11"/>
        <color rgb="FF000000"/>
        <rFont val="Calibri"/>
        <family val="2"/>
      </rPr>
      <t>(no ETA)
12/22 - short SMT C229 no ETA
Short THT B1 due 12/9
Short THT label1, no ETA</t>
    </r>
  </si>
  <si>
    <t>137188
NEW</t>
  </si>
  <si>
    <t>01/15
10D</t>
  </si>
  <si>
    <r>
      <rPr>
        <b/>
        <sz val="11"/>
        <color rgb="FF000000"/>
        <rFont val="Calibri"/>
        <family val="2"/>
      </rPr>
      <t xml:space="preserve">SMT BTD U14
DO NOT SKIP PREBAKE
"C280" PLACE AS IS
"SW3, B1" AFTER WASH
</t>
    </r>
    <r>
      <rPr>
        <b/>
        <u/>
        <sz val="11"/>
        <color rgb="FF000000"/>
        <rFont val="Calibri"/>
        <family val="2"/>
      </rPr>
      <t>INSTALL SHUNTS</t>
    </r>
    <r>
      <rPr>
        <b/>
        <sz val="11"/>
        <color rgb="FF000000"/>
        <rFont val="Calibri"/>
        <family val="2"/>
      </rPr>
      <t xml:space="preserve"> PER ECO #8
CofC PER ECO #10
PACKING SLIP PER ECO #11
DEPANEL</t>
    </r>
  </si>
  <si>
    <t>1/7 - 1:00</t>
  </si>
  <si>
    <t>1/8
11:30</t>
  </si>
  <si>
    <t xml:space="preserve">Quantum Computing, Inc.
</t>
  </si>
  <si>
    <t>DOC REL 12/18</t>
  </si>
  <si>
    <t>12/22
1/20</t>
  </si>
  <si>
    <t>micro USB overhangs</t>
  </si>
  <si>
    <r>
      <t xml:space="preserve">clear 1/5
</t>
    </r>
    <r>
      <rPr>
        <b/>
        <strike/>
        <sz val="11"/>
        <color rgb="FF000000"/>
        <rFont val="Calibri"/>
        <family val="2"/>
      </rPr>
      <t>short due 1/7 12/24</t>
    </r>
  </si>
  <si>
    <t>12/18 - matl clear</t>
  </si>
  <si>
    <t>1/7 - stencil issue</t>
  </si>
  <si>
    <r>
      <rPr>
        <b/>
        <sz val="14"/>
        <color rgb="FF000000"/>
        <rFont val="Calibri"/>
        <family val="2"/>
      </rPr>
      <t>136553
NEW
(</t>
    </r>
    <r>
      <rPr>
        <b/>
        <sz val="14"/>
        <color rgb="FFFF0000"/>
        <rFont val="Calibri"/>
        <family val="2"/>
      </rPr>
      <t>ITAR</t>
    </r>
    <r>
      <rPr>
        <b/>
        <sz val="14"/>
        <color rgb="FF000000"/>
        <rFont val="Calibri"/>
        <family val="2"/>
      </rPr>
      <t>)</t>
    </r>
  </si>
  <si>
    <t>01/14
10D</t>
  </si>
  <si>
    <r>
      <rPr>
        <b/>
        <sz val="11"/>
        <color rgb="FF000000"/>
        <rFont val="Calibri"/>
        <family val="2"/>
      </rPr>
      <t xml:space="preserve">D14 ok to use &amp; U27 is DNI
"SW2, U14" AFTER WASH
DEPANEL &amp; SAND
</t>
    </r>
    <r>
      <rPr>
        <b/>
        <u/>
        <sz val="11"/>
        <color rgb="FF000000"/>
        <rFont val="Calibri"/>
        <family val="2"/>
      </rPr>
      <t xml:space="preserve">"MF2, MF11, BT1, BT1-COVER" SHIP PARTS W/ BOARDS
</t>
    </r>
    <r>
      <rPr>
        <b/>
        <sz val="11"/>
        <color rgb="FF000000"/>
        <rFont val="Calibri"/>
        <family val="2"/>
      </rPr>
      <t>keep one frame with folder
overpack &amp; ESD warning labels</t>
    </r>
  </si>
  <si>
    <t>1/6 - 10:00</t>
  </si>
  <si>
    <t>1/7 - 9:00</t>
  </si>
  <si>
    <t>1/8
11:00</t>
  </si>
  <si>
    <t>AimLock</t>
  </si>
  <si>
    <t>12/18
1/19</t>
  </si>
  <si>
    <t>MF2,MF11,BT1 &amp; BT-COVER
confirmed received</t>
  </si>
  <si>
    <r>
      <t xml:space="preserve">clear 12/31
</t>
    </r>
    <r>
      <rPr>
        <b/>
        <strike/>
        <sz val="11"/>
        <color rgb="FF000000"/>
        <rFont val="Calibri"/>
        <family val="2"/>
      </rPr>
      <t>short, no ETA 12/31 12/24</t>
    </r>
  </si>
  <si>
    <r>
      <t xml:space="preserve">12/30 - matl clear
</t>
    </r>
    <r>
      <rPr>
        <b/>
        <strike/>
        <sz val="11"/>
        <color rgb="FF000000"/>
        <rFont val="Calibri"/>
        <family val="2"/>
      </rPr>
      <t>12/8 - short SMT IC1 &amp; U8, no ETA
12/5 - short SMT many, no ETA</t>
    </r>
  </si>
  <si>
    <r>
      <rPr>
        <b/>
        <sz val="11"/>
        <color rgb="FF000000"/>
        <rFont val="Calibri"/>
        <family val="2"/>
      </rPr>
      <t xml:space="preserve">12/31 - Robert setup reflow profile on Line 3
12/5 - SMT </t>
    </r>
    <r>
      <rPr>
        <b/>
        <sz val="11"/>
        <color rgb="FFFF0000"/>
        <rFont val="Calibri"/>
        <family val="2"/>
      </rPr>
      <t>top side</t>
    </r>
    <r>
      <rPr>
        <b/>
        <sz val="11"/>
        <color rgb="FF000000"/>
        <rFont val="Calibri"/>
        <family val="2"/>
      </rPr>
      <t xml:space="preserve"> 1st</t>
    </r>
  </si>
  <si>
    <t>137045
NEW</t>
  </si>
  <si>
    <t>01/12
10D</t>
  </si>
  <si>
    <t>"C183, C184, C185" MAX REFOW CALL OUT PER ECO 5 - *PLEASE VERIFY W/ ROBERT BEFORE RUNNING
"C179" AFTER WASH
* VERY SPECIFIC LABELING PER ECO 6
DEPANEL
OVERPACK
no conf coating or RTV
100% photos required</t>
  </si>
  <si>
    <t>1/6 - 12:00</t>
  </si>
  <si>
    <t>1/7 - 11:00</t>
  </si>
  <si>
    <t>doc rel 12/3</t>
  </si>
  <si>
    <t>12/5
1/15</t>
  </si>
  <si>
    <t>LF process but C183+ max temp 235 - see Robert</t>
  </si>
  <si>
    <r>
      <t xml:space="preserve">clear 12/23
</t>
    </r>
    <r>
      <rPr>
        <b/>
        <strike/>
        <sz val="11"/>
        <color rgb="FF000000"/>
        <rFont val="Calibri"/>
        <family val="2"/>
      </rPr>
      <t>short, no ETA 12/29</t>
    </r>
  </si>
  <si>
    <r>
      <t xml:space="preserve">12/29 - kit clear
</t>
    </r>
    <r>
      <rPr>
        <b/>
        <strike/>
        <sz val="11"/>
        <color rgb="FF000000"/>
        <rFont val="Calibri"/>
        <family val="2"/>
      </rPr>
      <t>12/11 - awt SMT part conf D3
short THT HS1 &amp; Therm Compound</t>
    </r>
  </si>
  <si>
    <t>1/6 - short mechanical hardware</t>
  </si>
  <si>
    <t>137094
NEW</t>
  </si>
  <si>
    <r>
      <rPr>
        <b/>
        <sz val="14"/>
        <color rgb="FF000000"/>
        <rFont val="Calibri"/>
        <family val="2"/>
      </rPr>
      <t xml:space="preserve">01/13
</t>
    </r>
    <r>
      <rPr>
        <b/>
        <strike/>
        <sz val="14"/>
        <color rgb="FF000000"/>
        <rFont val="Calibri"/>
        <family val="2"/>
      </rPr>
      <t xml:space="preserve">01/07
</t>
    </r>
    <r>
      <rPr>
        <b/>
        <sz val="14"/>
        <color rgb="FF000000"/>
        <rFont val="Calibri"/>
        <family val="2"/>
      </rPr>
      <t>10D</t>
    </r>
  </si>
  <si>
    <r>
      <rPr>
        <b/>
        <sz val="11"/>
        <color rgb="FF000000"/>
        <rFont val="Calibri"/>
        <family val="2"/>
      </rPr>
      <t xml:space="preserve">DO NOT SKIP PREBAKE
</t>
    </r>
    <r>
      <rPr>
        <b/>
        <u/>
        <sz val="11"/>
        <color rgb="FF000000"/>
        <rFont val="Calibri"/>
        <family val="2"/>
      </rPr>
      <t>WAKEFIELD THERMAL COMPUND and torque required
POST BAKE 30 MIN</t>
    </r>
    <r>
      <rPr>
        <b/>
        <sz val="11"/>
        <color rgb="FF000000"/>
        <rFont val="Calibri"/>
        <family val="2"/>
      </rPr>
      <t xml:space="preserve"> IF BOARDS ARE WASHED
TRIM LEADS - NOT TO EXCEED 0.040"
DEPANEL
</t>
    </r>
    <r>
      <rPr>
        <b/>
        <u/>
        <sz val="11"/>
        <color rgb="FF000000"/>
        <rFont val="Calibri"/>
        <family val="2"/>
      </rPr>
      <t>ROHS STAMP REQ</t>
    </r>
    <r>
      <rPr>
        <b/>
        <sz val="11"/>
        <color rgb="FF000000"/>
        <rFont val="Calibri"/>
        <family val="2"/>
      </rPr>
      <t xml:space="preserve"> PER ECO NOTE 13
"F2, F3" -</t>
    </r>
    <r>
      <rPr>
        <b/>
        <u/>
        <sz val="11"/>
        <color rgb="FF000000"/>
        <rFont val="Calibri"/>
        <family val="2"/>
      </rPr>
      <t xml:space="preserve"> INSTALL FUSES</t>
    </r>
    <r>
      <rPr>
        <b/>
        <sz val="11"/>
        <color rgb="FF000000"/>
        <rFont val="Calibri"/>
        <family val="2"/>
      </rPr>
      <t xml:space="preserve"> PER ECO</t>
    </r>
  </si>
  <si>
    <t>12/30 - 2:00</t>
  </si>
  <si>
    <t xml:space="preserve">Shanklin Corporation
</t>
  </si>
  <si>
    <t>12/11
1/13</t>
  </si>
  <si>
    <t>RoHS stamp</t>
  </si>
  <si>
    <r>
      <t xml:space="preserve">clear 12/19
</t>
    </r>
    <r>
      <rPr>
        <b/>
        <strike/>
        <sz val="11"/>
        <color rgb="FF000000"/>
        <rFont val="Calibri"/>
        <family val="2"/>
      </rPr>
      <t>short due 12/22</t>
    </r>
  </si>
  <si>
    <r>
      <t xml:space="preserve">1/5 - kit clear
</t>
    </r>
    <r>
      <rPr>
        <b/>
        <strike/>
        <sz val="11"/>
        <color rgb="FF000000"/>
        <rFont val="Calibri"/>
        <family val="2"/>
      </rPr>
      <t>12/11 - short SMT U8 ok to skip, no ETA
short THT U6 no ETA</t>
    </r>
  </si>
  <si>
    <t>136088
NEW</t>
  </si>
  <si>
    <r>
      <rPr>
        <b/>
        <sz val="14"/>
        <color rgb="FF000000"/>
        <rFont val="Calibri"/>
        <family val="2"/>
      </rPr>
      <t xml:space="preserve">01/09
</t>
    </r>
    <r>
      <rPr>
        <b/>
        <strike/>
        <sz val="14"/>
        <color rgb="FF000000"/>
        <rFont val="Calibri"/>
        <family val="2"/>
      </rPr>
      <t xml:space="preserve">01/14
</t>
    </r>
    <r>
      <rPr>
        <b/>
        <sz val="14"/>
        <color rgb="FF000000"/>
        <rFont val="Calibri"/>
        <family val="2"/>
      </rPr>
      <t>10D</t>
    </r>
  </si>
  <si>
    <t>DO NOT SKIP PREBAKE
CLASS 3
PRESSFIT PER ECO
INSTALL HARDWARE + torque
quality check P1 - P4 before install
DEPANEL
maybe DNI ITEM_800
use in-house A2 daughter board</t>
  </si>
  <si>
    <t>12/23 - 10:00</t>
  </si>
  <si>
    <t>12/23 - 11:30</t>
  </si>
  <si>
    <t>12/23 - 1:00</t>
  </si>
  <si>
    <t>DOC REL 12/10</t>
  </si>
  <si>
    <t>12/11
1/19</t>
  </si>
  <si>
    <r>
      <t xml:space="preserve">clear 11/25
</t>
    </r>
    <r>
      <rPr>
        <b/>
        <strike/>
        <sz val="11"/>
        <color rgb="FF000000"/>
        <rFont val="Calibri"/>
        <family val="2"/>
      </rPr>
      <t>short, no ETA 11/21</t>
    </r>
  </si>
  <si>
    <r>
      <t xml:space="preserve">1/5 - kit clear
</t>
    </r>
    <r>
      <rPr>
        <b/>
        <strike/>
        <sz val="11"/>
        <color rgb="FF000000"/>
        <rFont val="Calibri"/>
        <family val="2"/>
      </rPr>
      <t>11/18 - short SMT U8 due 12/19 12/15 (skip), X1 &amp; X2 no ETA
11/8 - short SMT 5x items</t>
    </r>
  </si>
  <si>
    <r>
      <rPr>
        <b/>
        <sz val="14"/>
        <color rgb="FF000000"/>
        <rFont val="Calibri"/>
        <family val="2"/>
      </rPr>
      <t xml:space="preserve">136296
NEW
</t>
    </r>
    <r>
      <rPr>
        <b/>
        <sz val="14"/>
        <color rgb="FFFF0000"/>
        <rFont val="Calibri"/>
        <family val="2"/>
      </rPr>
      <t>(DoD-CUI/ ITAR)</t>
    </r>
  </si>
  <si>
    <r>
      <rPr>
        <b/>
        <sz val="14"/>
        <color rgb="FF000000"/>
        <rFont val="Calibri"/>
        <family val="2"/>
      </rPr>
      <t xml:space="preserve">01/09
</t>
    </r>
    <r>
      <rPr>
        <b/>
        <strike/>
        <sz val="14"/>
        <color rgb="FF000000"/>
        <rFont val="Calibri"/>
        <family val="2"/>
      </rPr>
      <t xml:space="preserve">01/12
</t>
    </r>
    <r>
      <rPr>
        <b/>
        <sz val="14"/>
        <color rgb="FF000000"/>
        <rFont val="Calibri"/>
        <family val="2"/>
      </rPr>
      <t>5D</t>
    </r>
  </si>
  <si>
    <r>
      <rPr>
        <b/>
        <sz val="11"/>
        <color rgb="FF000000"/>
        <rFont val="Calibri"/>
        <family val="2"/>
      </rPr>
      <t xml:space="preserve">CLASS 3
DO NOT SKIP PREBAKE
"P1, P2, P3" PRESS FIR AND DO NOT SOLDER
</t>
    </r>
    <r>
      <rPr>
        <b/>
        <u/>
        <sz val="11"/>
        <color rgb="FF000000"/>
        <rFont val="Calibri"/>
        <family val="2"/>
      </rPr>
      <t xml:space="preserve">"LP1, LP2" HARDWARE REQ + torque 10-15 lbs
install S1,S2 standoffs
no module in BOM
</t>
    </r>
    <r>
      <rPr>
        <b/>
        <sz val="11"/>
        <color rgb="FF000000"/>
        <rFont val="Calibri"/>
        <family val="2"/>
      </rPr>
      <t>"SH1, SH2" PLACE AND HAND SOLDER PER ECO #7
DEPANEL</t>
    </r>
  </si>
  <si>
    <t>12/9 - 7:00</t>
  </si>
  <si>
    <t>12/9 - 8:00</t>
  </si>
  <si>
    <t>12/9 - 10:30</t>
  </si>
  <si>
    <t>DOC REL 11/6</t>
  </si>
  <si>
    <t>11/8</t>
  </si>
  <si>
    <t>depanel before SMT start?</t>
  </si>
  <si>
    <r>
      <t xml:space="preserve">clear 1/7
</t>
    </r>
    <r>
      <rPr>
        <b/>
        <strike/>
        <sz val="11"/>
        <color rgb="FF000000"/>
        <rFont val="Calibri"/>
        <family val="2"/>
      </rPr>
      <t>short, no ETA 1/6</t>
    </r>
  </si>
  <si>
    <r>
      <t xml:space="preserve">1/5 - matl clear
</t>
    </r>
    <r>
      <rPr>
        <b/>
        <strike/>
        <sz val="11"/>
        <color rgb="FF000000"/>
        <rFont val="Calibri"/>
        <family val="2"/>
      </rPr>
      <t>12/29 - short SMT R9 qty 240, no ETA</t>
    </r>
  </si>
  <si>
    <t>137364
NEW</t>
  </si>
  <si>
    <r>
      <rPr>
        <b/>
        <sz val="14"/>
        <color rgb="FF000000"/>
        <rFont val="Calibri"/>
        <family val="2"/>
      </rPr>
      <t xml:space="preserve">01/09
</t>
    </r>
    <r>
      <rPr>
        <b/>
        <sz val="14"/>
        <color rgb="FFFF0000"/>
        <rFont val="Calibri"/>
        <family val="2"/>
      </rPr>
      <t>2D</t>
    </r>
  </si>
  <si>
    <r>
      <rPr>
        <b/>
        <sz val="11"/>
        <color rgb="FF000000"/>
        <rFont val="Calibri"/>
        <family val="2"/>
      </rPr>
      <t xml:space="preserve">Lead Wash
DO NOT SKIP PREBAKE
</t>
    </r>
    <r>
      <rPr>
        <b/>
        <u/>
        <sz val="11"/>
        <color rgb="FF000000"/>
        <rFont val="Calibri"/>
        <family val="2"/>
      </rPr>
      <t xml:space="preserve">mech + torque required (see ECO)
</t>
    </r>
    <r>
      <rPr>
        <b/>
        <sz val="11"/>
        <color rgb="FF000000"/>
        <rFont val="Calibri"/>
        <family val="2"/>
      </rPr>
      <t>Cage Code on packing slip</t>
    </r>
  </si>
  <si>
    <t>1/7 - 1:30</t>
  </si>
  <si>
    <t>1/8
7:00</t>
  </si>
  <si>
    <t>DOC REL 12/24</t>
  </si>
  <si>
    <t>12/29</t>
  </si>
  <si>
    <r>
      <t xml:space="preserve">1/7 - kit clear for qty 40 boards
</t>
    </r>
    <r>
      <rPr>
        <b/>
        <strike/>
        <sz val="11"/>
        <color rgb="FF000000"/>
        <rFont val="Calibri"/>
        <family val="2"/>
      </rPr>
      <t>10/24 - short THT J1, no ETA Dec</t>
    </r>
  </si>
  <si>
    <t>1/7 - okay to ship qty 40 (Anne)</t>
  </si>
  <si>
    <r>
      <rPr>
        <b/>
        <sz val="14"/>
        <color rgb="FF000000"/>
        <rFont val="Calibri"/>
        <family val="2"/>
      </rPr>
      <t xml:space="preserve">136319-1par
RONC 133551
</t>
    </r>
    <r>
      <rPr>
        <b/>
        <sz val="14"/>
        <color rgb="FFFF0000"/>
        <rFont val="Calibri"/>
        <family val="2"/>
      </rPr>
      <t>(AS9100-CUI/ ITAR)</t>
    </r>
  </si>
  <si>
    <r>
      <rPr>
        <b/>
        <sz val="11"/>
        <color rgb="FF000000"/>
        <rFont val="Calibri"/>
        <family val="2"/>
      </rPr>
      <t xml:space="preserve">prev build: PCB missing mousebite
CLASS 3
DO NOT SKIP AOI
LEAD-FREE WASH
SEE ECO NOTE 4 FOR SOLDERING WORKMANSHIP
XRAY &amp; SAVE IMAGES
TAD DEPANEL
AS9100 FAIR REQ
</t>
    </r>
    <r>
      <rPr>
        <b/>
        <u/>
        <sz val="11"/>
        <color rgb="FF000000"/>
        <rFont val="Calibri"/>
        <family val="2"/>
      </rPr>
      <t>install nuts &amp; rings</t>
    </r>
  </si>
  <si>
    <t>clear 1/6</t>
  </si>
  <si>
    <t>1/6 - kit clear</t>
  </si>
  <si>
    <r>
      <rPr>
        <b/>
        <sz val="11"/>
        <color rgb="FF000000"/>
        <rFont val="Calibri"/>
        <family val="2"/>
      </rPr>
      <t>1/7 -</t>
    </r>
    <r>
      <rPr>
        <b/>
        <strike/>
        <sz val="11"/>
        <color rgb="FF000000"/>
        <rFont val="Calibri"/>
        <family val="2"/>
      </rPr>
      <t xml:space="preserve"> J1 right angle instead of vertical</t>
    </r>
  </si>
  <si>
    <t>137272
NEW</t>
  </si>
  <si>
    <r>
      <rPr>
        <b/>
        <sz val="14"/>
        <color rgb="FF000000"/>
        <rFont val="Calibri"/>
        <family val="2"/>
      </rPr>
      <t xml:space="preserve">01/09
</t>
    </r>
    <r>
      <rPr>
        <b/>
        <sz val="14"/>
        <color rgb="FFFF0000"/>
        <rFont val="Calibri"/>
        <family val="2"/>
      </rPr>
      <t>3D</t>
    </r>
  </si>
  <si>
    <t>ok to use J1 right angle
LEAD PROCESS
DEPANEL</t>
  </si>
  <si>
    <t xml:space="preserve">RX Monitoring Service, Inc.
</t>
  </si>
  <si>
    <t>clear 1/5</t>
  </si>
  <si>
    <t>137456
RWK</t>
  </si>
  <si>
    <t>REWORK
R&amp;R U43
PHOTOS OF REWORKED AREA REQ</t>
  </si>
  <si>
    <t>clear 12/23
either set of boards received are okay to use</t>
  </si>
  <si>
    <r>
      <t xml:space="preserve">12/29 - kit clear
</t>
    </r>
    <r>
      <rPr>
        <b/>
        <strike/>
        <sz val="11"/>
        <color rgb="FF000000"/>
        <rFont val="Calibri"/>
        <family val="2"/>
      </rPr>
      <t>12/23 - short SMT D1 qty 475, due soon</t>
    </r>
  </si>
  <si>
    <t>12/23 - SMT top side 1st</t>
  </si>
  <si>
    <t>137365
RONC 137069</t>
  </si>
  <si>
    <r>
      <rPr>
        <b/>
        <sz val="14"/>
        <color rgb="FF000000"/>
        <rFont val="Calibri"/>
        <family val="2"/>
      </rPr>
      <t xml:space="preserve">01/08
</t>
    </r>
    <r>
      <rPr>
        <b/>
        <strike/>
        <sz val="14"/>
        <color rgb="FF000000"/>
        <rFont val="Calibri"/>
        <family val="2"/>
      </rPr>
      <t xml:space="preserve">01/07
</t>
    </r>
    <r>
      <rPr>
        <b/>
        <sz val="14"/>
        <color rgb="FF000000"/>
        <rFont val="Calibri"/>
        <family val="2"/>
      </rPr>
      <t>10D</t>
    </r>
  </si>
  <si>
    <t>RT</t>
  </si>
  <si>
    <r>
      <rPr>
        <b/>
        <sz val="11"/>
        <color rgb="FF000000"/>
        <rFont val="Calibri"/>
        <family val="2"/>
      </rPr>
      <t xml:space="preserve">NO CLEAN BUILD
</t>
    </r>
    <r>
      <rPr>
        <b/>
        <u/>
        <sz val="12"/>
        <color rgb="FFFF0000"/>
        <rFont val="Calibri"/>
        <family val="2"/>
      </rPr>
      <t xml:space="preserve">*** "PTH1, PTH2" NO SOLDER IN HOLES - MASK IF NEEDED PER ECO
</t>
    </r>
    <r>
      <rPr>
        <b/>
        <sz val="11"/>
        <color rgb="FF000000"/>
        <rFont val="Calibri"/>
        <family val="2"/>
      </rPr>
      <t>DEPANEL</t>
    </r>
  </si>
  <si>
    <t>12/30 - 6:00</t>
  </si>
  <si>
    <t>12/30 - 7:30</t>
  </si>
  <si>
    <t>12/30 - 10:00</t>
  </si>
  <si>
    <t>NextPhase Medical Devices</t>
  </si>
  <si>
    <t>12/23
1/13</t>
  </si>
  <si>
    <t>clear 12/22</t>
  </si>
  <si>
    <r>
      <t xml:space="preserve">12/23 - kit clear
</t>
    </r>
    <r>
      <rPr>
        <b/>
        <strike/>
        <sz val="11"/>
        <color rgb="FF000000"/>
        <rFont val="Calibri"/>
        <family val="2"/>
      </rPr>
      <t>12/22 - short SMT #3 (C7) due 12/23</t>
    </r>
  </si>
  <si>
    <t>137218
ROWC 132170</t>
  </si>
  <si>
    <r>
      <rPr>
        <b/>
        <sz val="14"/>
        <color rgb="FF000000"/>
        <rFont val="Calibri"/>
        <family val="2"/>
      </rPr>
      <t xml:space="preserve">01/08
</t>
    </r>
    <r>
      <rPr>
        <b/>
        <strike/>
        <sz val="14"/>
        <color rgb="FF000000"/>
        <rFont val="Calibri"/>
        <family val="2"/>
      </rPr>
      <t xml:space="preserve">01/06
</t>
    </r>
    <r>
      <rPr>
        <b/>
        <sz val="14"/>
        <color rgb="FF000000"/>
        <rFont val="Calibri"/>
        <family val="2"/>
      </rPr>
      <t>10D</t>
    </r>
  </si>
  <si>
    <t>NO MIXED POP THIS RUN
QTY 150 PURPLE PCB'S &amp; QTY 50 YELLOW PCB'S
"U8" PLACE AS IS
DEPANEL
prev build: U8 pin 1 silkscreen &amp; drawing did not match</t>
  </si>
  <si>
    <t>12/29 - 12:30</t>
  </si>
  <si>
    <t>12/29 - 2:30</t>
  </si>
  <si>
    <t xml:space="preserve">Open Source Instruments Inc
</t>
  </si>
  <si>
    <t>DOC REL 12/19</t>
  </si>
  <si>
    <t>12/22
1/09</t>
  </si>
  <si>
    <r>
      <t xml:space="preserve">clear 12/16
</t>
    </r>
    <r>
      <rPr>
        <b/>
        <strike/>
        <sz val="11"/>
        <color rgb="FF000000"/>
        <rFont val="Calibri"/>
        <family val="2"/>
      </rPr>
      <t>pcb issues
short, no ETA 12/16 12/11</t>
    </r>
  </si>
  <si>
    <t>12/9 - matl clear</t>
  </si>
  <si>
    <t>12/15 - pcbs have scratches, dirty, expose copper, popcorn spots, touch solder mask, chip solder mask, rough edge</t>
  </si>
  <si>
    <t>136038
NEW</t>
  </si>
  <si>
    <r>
      <rPr>
        <b/>
        <sz val="14"/>
        <color rgb="FF000000"/>
        <rFont val="Calibri"/>
        <family val="2"/>
      </rPr>
      <t xml:space="preserve">01/07
</t>
    </r>
    <r>
      <rPr>
        <b/>
        <strike/>
        <sz val="14"/>
        <color rgb="FF000000"/>
        <rFont val="Calibri"/>
        <family val="2"/>
      </rPr>
      <t xml:space="preserve">1/02
</t>
    </r>
    <r>
      <rPr>
        <b/>
        <sz val="14"/>
        <color rgb="FF000000"/>
        <rFont val="Calibri"/>
        <family val="2"/>
      </rPr>
      <t>15D</t>
    </r>
  </si>
  <si>
    <r>
      <rPr>
        <b/>
        <u/>
        <sz val="12"/>
        <color rgb="FFFF0000"/>
        <rFont val="Calibri"/>
        <family val="2"/>
      </rPr>
      <t xml:space="preserve">*** SEE ECO NOTE 2 BEFORE RUNNING - MULTIPLE "C" LOCATIONS NEED PARTS MOUNTED VERTICALLY - MAY HAVE TO HAND LOAD
</t>
    </r>
    <r>
      <rPr>
        <b/>
        <u/>
        <sz val="11"/>
        <color rgb="FF000000"/>
        <rFont val="Calibri"/>
        <family val="2"/>
      </rPr>
      <t xml:space="preserve">install mechanical (nuts &amp; wash)
</t>
    </r>
    <r>
      <rPr>
        <b/>
        <sz val="11"/>
        <color rgb="FF000000"/>
        <rFont val="Calibri"/>
        <family val="2"/>
      </rPr>
      <t xml:space="preserve">"J1" QTY 35 SEND BACK TO CUST
</t>
    </r>
    <r>
      <rPr>
        <b/>
        <u/>
        <sz val="11"/>
        <color rgb="FF000000"/>
        <rFont val="Calibri"/>
        <family val="2"/>
      </rPr>
      <t>BAL OF EXCESS MATERIALS - KEEP IN HOUSE CUST DOES NOT WANT THEM</t>
    </r>
  </si>
  <si>
    <t>12/17 - 11:30</t>
  </si>
  <si>
    <t>12/19 - 11:00</t>
  </si>
  <si>
    <t>12/9
1/09</t>
  </si>
  <si>
    <t>j2,j3</t>
  </si>
  <si>
    <r>
      <rPr>
        <b/>
        <sz val="11"/>
        <color rgb="FF000000"/>
        <rFont val="Calibri"/>
        <family val="2"/>
      </rPr>
      <t xml:space="preserve">clear 12/29
</t>
    </r>
    <r>
      <rPr>
        <b/>
        <strike/>
        <sz val="11"/>
        <color rgb="FFFF0000"/>
        <rFont val="Calibri"/>
        <family val="2"/>
      </rPr>
      <t>BARE BOARDS on HOLD</t>
    </r>
    <r>
      <rPr>
        <b/>
        <sz val="11"/>
        <color rgb="FF000000"/>
        <rFont val="Calibri"/>
        <family val="2"/>
      </rPr>
      <t>?</t>
    </r>
  </si>
  <si>
    <t>12/29 - kit clear (Anne)</t>
  </si>
  <si>
    <t>01/06
5D</t>
  </si>
  <si>
    <r>
      <rPr>
        <b/>
        <sz val="11"/>
        <color rgb="FF000000"/>
        <rFont val="Calibri"/>
        <family val="2"/>
      </rPr>
      <t xml:space="preserve">CLASS 3
LEADFREE, NO CLEAN
*** </t>
    </r>
    <r>
      <rPr>
        <b/>
        <u/>
        <sz val="11"/>
        <color rgb="FF000000"/>
        <rFont val="Calibri"/>
        <family val="2"/>
      </rPr>
      <t xml:space="preserve">CUST CHANGED "R81" TO P/N ERJ-1GN0R00C INSTEAD OF "R79" - "R79" IS NOW DNI </t>
    </r>
    <r>
      <rPr>
        <b/>
        <sz val="11"/>
        <color rgb="FF000000"/>
        <rFont val="Calibri"/>
        <family val="2"/>
      </rPr>
      <t xml:space="preserve"> (PER PHUONG EMAIL)
"L2, L5, L8" AFTER WASH
"J3" CHECK IF PART COMES W/ GASKET - SEE ECO NOTE 3 - </t>
    </r>
    <r>
      <rPr>
        <b/>
        <u/>
        <sz val="11"/>
        <color rgb="FF000000"/>
        <rFont val="Calibri"/>
        <family val="2"/>
      </rPr>
      <t xml:space="preserve">SHIP TO CUST </t>
    </r>
    <r>
      <rPr>
        <b/>
        <sz val="11"/>
        <color rgb="FF000000"/>
        <rFont val="Calibri"/>
        <family val="2"/>
      </rPr>
      <t>- READ ECO #4 (it does, on my desk - Thomas)
DEPANEL</t>
    </r>
  </si>
  <si>
    <t>12/30 - 8:30</t>
  </si>
  <si>
    <t>12/31 - 6:00</t>
  </si>
  <si>
    <t>12/31 - 12:00</t>
  </si>
  <si>
    <t>McQ</t>
  </si>
  <si>
    <t>many size 201 parts</t>
  </si>
  <si>
    <t>p/n changes
dni &amp; now load
uploaded</t>
  </si>
  <si>
    <r>
      <t xml:space="preserve">clear 12/18
</t>
    </r>
    <r>
      <rPr>
        <b/>
        <strike/>
        <sz val="11"/>
        <color rgb="FF000000"/>
        <rFont val="Calibri"/>
        <family val="2"/>
      </rPr>
      <t>short due 12/30</t>
    </r>
  </si>
  <si>
    <t>12/10 - matl clear</t>
  </si>
  <si>
    <t>137062-S2
RONC 135281</t>
  </si>
  <si>
    <r>
      <rPr>
        <b/>
        <sz val="14"/>
        <color rgb="FF000000"/>
        <rFont val="Calibri"/>
        <family val="2"/>
      </rPr>
      <t xml:space="preserve">01/06
</t>
    </r>
    <r>
      <rPr>
        <b/>
        <strike/>
        <sz val="14"/>
        <color rgb="FF000000"/>
        <rFont val="Calibri"/>
        <family val="2"/>
      </rPr>
      <t xml:space="preserve">1/02
</t>
    </r>
    <r>
      <rPr>
        <b/>
        <sz val="14"/>
        <color rgb="FF000000"/>
        <rFont val="Calibri"/>
        <family val="2"/>
      </rPr>
      <t>10D</t>
    </r>
  </si>
  <si>
    <t>* PRE-INSPECT PCB'S TO MAKE SURE THEY HAVE BOTH MOUSE BITES &amp; V-SCORES
SPLIT SHIPMENT - QTY 601 AND QTY 3600
DEPANEL &amp; SAND</t>
  </si>
  <si>
    <t>12/18 - 12:30</t>
  </si>
  <si>
    <t>12/22 - 9:00</t>
  </si>
  <si>
    <t xml:space="preserve">Specialized Manufacturing Inc.
</t>
  </si>
  <si>
    <t>DOC REL 12/9</t>
  </si>
  <si>
    <t>12/10
1/06</t>
  </si>
  <si>
    <t>inspect PCBs</t>
  </si>
  <si>
    <r>
      <t xml:space="preserve">clear 12/17
</t>
    </r>
    <r>
      <rPr>
        <b/>
        <strike/>
        <sz val="11"/>
        <color rgb="FF000000"/>
        <rFont val="Calibri"/>
        <family val="2"/>
      </rPr>
      <t>short, no ETA</t>
    </r>
  </si>
  <si>
    <t>137093
NEW</t>
  </si>
  <si>
    <r>
      <rPr>
        <b/>
        <sz val="14"/>
        <color rgb="FF000000"/>
        <rFont val="Calibri"/>
        <family val="2"/>
      </rPr>
      <t xml:space="preserve">1/05
</t>
    </r>
    <r>
      <rPr>
        <b/>
        <strike/>
        <sz val="14"/>
        <color rgb="FF000000"/>
        <rFont val="Calibri"/>
        <family val="2"/>
      </rPr>
      <t xml:space="preserve">12/30
</t>
    </r>
    <r>
      <rPr>
        <b/>
        <sz val="14"/>
        <color rgb="FF000000"/>
        <rFont val="Calibri"/>
        <family val="2"/>
      </rPr>
      <t>10D</t>
    </r>
  </si>
  <si>
    <r>
      <rPr>
        <b/>
        <sz val="11"/>
        <color rgb="FF000000"/>
        <rFont val="Calibri"/>
        <family val="2"/>
      </rPr>
      <t xml:space="preserve">LEAD PROTRUSION NOT TO EXCEED 0.040 ON SOLDER SIDE
</t>
    </r>
    <r>
      <rPr>
        <b/>
        <u/>
        <sz val="11"/>
        <color rgb="FF000000"/>
        <rFont val="Calibri"/>
        <family val="2"/>
      </rPr>
      <t xml:space="preserve">SEE ECO NOTE 3 FOR "ROHS" STAMPING
</t>
    </r>
    <r>
      <rPr>
        <b/>
        <sz val="11"/>
        <color rgb="FF000000"/>
        <rFont val="Calibri"/>
        <family val="2"/>
      </rPr>
      <t>DEPANEL</t>
    </r>
  </si>
  <si>
    <t>12/18 - 9:30</t>
  </si>
  <si>
    <t>12/18 - 12:00</t>
  </si>
  <si>
    <t>12/9
1/05</t>
  </si>
  <si>
    <r>
      <t xml:space="preserve">clear 12/15
</t>
    </r>
    <r>
      <rPr>
        <b/>
        <strike/>
        <sz val="11"/>
        <color rgb="FF000000"/>
        <rFont val="Calibri"/>
        <family val="2"/>
      </rPr>
      <t>short, no ETA</t>
    </r>
  </si>
  <si>
    <r>
      <t xml:space="preserve">12/22 - kit clear
</t>
    </r>
    <r>
      <rPr>
        <b/>
        <strike/>
        <sz val="11"/>
        <color rgb="FF000000"/>
        <rFont val="Calibri"/>
        <family val="2"/>
      </rPr>
      <t>12/19 - Short J1 qty 110 of 450
12/8 - short THT J1, no ETA</t>
    </r>
  </si>
  <si>
    <t>12/9 - SMT top side 1st</t>
  </si>
  <si>
    <t>137069
NEW</t>
  </si>
  <si>
    <t>12/31
5D</t>
  </si>
  <si>
    <t>12/15 - 12:30</t>
  </si>
  <si>
    <t>12/16 - 1:00</t>
  </si>
  <si>
    <t>12/17 - 7:00</t>
  </si>
  <si>
    <t>12/9</t>
  </si>
  <si>
    <t>mastk off PTH1 &amp; PTH2</t>
  </si>
  <si>
    <r>
      <t xml:space="preserve">clear 12/19
</t>
    </r>
    <r>
      <rPr>
        <b/>
        <strike/>
        <sz val="11"/>
        <color rgb="FF000000"/>
        <rFont val="Calibri"/>
        <family val="2"/>
      </rPr>
      <t>short, no ETA 11/25</t>
    </r>
  </si>
  <si>
    <r>
      <t xml:space="preserve">12/22 - kit clear
</t>
    </r>
    <r>
      <rPr>
        <b/>
        <strike/>
        <sz val="11"/>
        <color rgb="FF000000"/>
        <rFont val="Calibri"/>
        <family val="2"/>
      </rPr>
      <t>12/19 - short SMT U42 &amp; U5, no ETA
12/19 - short SMT 7x line items due 12/19
11/11 - short SMT many, no ETA</t>
    </r>
  </si>
  <si>
    <t>136554
NEW</t>
  </si>
  <si>
    <r>
      <rPr>
        <b/>
        <u/>
        <sz val="12"/>
        <color rgb="FFFF0000"/>
        <rFont val="Calibri"/>
        <family val="2"/>
      </rPr>
      <t xml:space="preserve">*** QUALITY ALERT - PREVIOUS SUPPLIER EXPERIENCED COLD SOLDER DUE TO THE PCB MATERIAL &amp; THICKNESS - SEE ECO A
</t>
    </r>
    <r>
      <rPr>
        <b/>
        <sz val="11"/>
        <color rgb="FF000000"/>
        <rFont val="Calibri"/>
        <family val="2"/>
      </rPr>
      <t>DO NOT LOSE ANY T5 OR U1
DO NOT SKIP PREBAKE
BOARDS WASH REQ
"K1x11, K6" AFTER WASH
INSTALL "J8" BEFORE "SH1" PER ECO
PRESS FIT REQ
"LP1, 2, 3" (</t>
    </r>
    <r>
      <rPr>
        <b/>
        <u/>
        <sz val="11"/>
        <color rgb="FF000000"/>
        <rFont val="Calibri"/>
        <family val="2"/>
      </rPr>
      <t>LIGHT PIPE</t>
    </r>
    <r>
      <rPr>
        <b/>
        <sz val="11"/>
        <color rgb="FF000000"/>
        <rFont val="Calibri"/>
        <family val="2"/>
      </rPr>
      <t xml:space="preserve">) MAY NOT BE ABLE TO INSTALL BY HAND - MAY NEED PRESS FIT - CHK W/ TAD
DEPANEL &amp; SAND PER ECO!!!
INSTALL "U4" ON "U4A, U4B" PER ECO
CLEAN BOARDS AFER ASSY
</t>
    </r>
    <r>
      <rPr>
        <b/>
        <u/>
        <sz val="11"/>
        <color rgb="FF000000"/>
        <rFont val="Calibri"/>
        <family val="2"/>
      </rPr>
      <t>install nuts</t>
    </r>
  </si>
  <si>
    <t>12/23 - 8:30</t>
  </si>
  <si>
    <t>12/23 - 11:00</t>
  </si>
  <si>
    <t>INFORM Robert/Trinh BEFORE START
2nd pass through reflow required</t>
  </si>
  <si>
    <t>DOC REL 11/7</t>
  </si>
  <si>
    <t>11/11</t>
  </si>
  <si>
    <t>THT fit check #110</t>
  </si>
  <si>
    <r>
      <t xml:space="preserve">clear 12/16
</t>
    </r>
    <r>
      <rPr>
        <b/>
        <strike/>
        <sz val="11"/>
        <color rgb="FF000000"/>
        <rFont val="Calibri"/>
        <family val="2"/>
      </rPr>
      <t>short, no ETA 12/17</t>
    </r>
  </si>
  <si>
    <r>
      <t xml:space="preserve">12/16 - kit clear
</t>
    </r>
    <r>
      <rPr>
        <b/>
        <strike/>
        <sz val="11"/>
        <color rgb="FF000000"/>
        <rFont val="Calibri"/>
        <family val="2"/>
      </rPr>
      <t>12/8 - short THT J4, no ETA</t>
    </r>
  </si>
  <si>
    <t>137049
ROWC 135736</t>
  </si>
  <si>
    <r>
      <rPr>
        <b/>
        <sz val="14"/>
        <color rgb="FF000000"/>
        <rFont val="Calibri"/>
        <family val="2"/>
      </rPr>
      <t xml:space="preserve">12/30
</t>
    </r>
    <r>
      <rPr>
        <b/>
        <strike/>
        <sz val="14"/>
        <color rgb="FF000000"/>
        <rFont val="Calibri"/>
        <family val="2"/>
      </rPr>
      <t xml:space="preserve">12/29
</t>
    </r>
    <r>
      <rPr>
        <b/>
        <sz val="14"/>
        <color rgb="FF000000"/>
        <rFont val="Calibri"/>
        <family val="2"/>
      </rPr>
      <t>10D</t>
    </r>
  </si>
  <si>
    <r>
      <rPr>
        <b/>
        <sz val="12"/>
        <color rgb="FF000000"/>
        <rFont val="Calibri"/>
        <family val="2"/>
      </rPr>
      <t xml:space="preserve">J14 Gaskets - remove before wash &amp; reinstall after wash
*** </t>
    </r>
    <r>
      <rPr>
        <b/>
        <sz val="12"/>
        <color rgb="FFFF0000"/>
        <rFont val="Calibri"/>
        <family val="2"/>
      </rPr>
      <t>QUALITY ALERT</t>
    </r>
    <r>
      <rPr>
        <b/>
        <sz val="12"/>
        <color rgb="FF000000"/>
        <rFont val="Calibri"/>
        <family val="2"/>
      </rPr>
      <t xml:space="preserve"> - SEE ECO FOR DAMAGED CAP &amp; DELAM FROM DEPANEL
</t>
    </r>
    <r>
      <rPr>
        <b/>
        <sz val="11"/>
        <color rgb="FF000000"/>
        <rFont val="Calibri"/>
        <family val="2"/>
      </rPr>
      <t xml:space="preserve">"SW1-SW8, L2" AFTER WASH
</t>
    </r>
    <r>
      <rPr>
        <b/>
        <u/>
        <sz val="11"/>
        <color rgb="FF000000"/>
        <rFont val="Calibri"/>
        <family val="2"/>
      </rPr>
      <t xml:space="preserve">"SW9 &amp; J16" SEE ECO FOR INSTALL
install </t>
    </r>
    <r>
      <rPr>
        <b/>
        <strike/>
        <u/>
        <sz val="11"/>
        <color rgb="FF000000"/>
        <rFont val="Calibri"/>
        <family val="2"/>
      </rPr>
      <t>black caps</t>
    </r>
    <r>
      <rPr>
        <b/>
        <u/>
        <sz val="11"/>
        <color rgb="FF000000"/>
        <rFont val="Calibri"/>
        <family val="2"/>
      </rPr>
      <t xml:space="preserve"> J14 gaskets
</t>
    </r>
    <r>
      <rPr>
        <b/>
        <sz val="11"/>
        <color rgb="FF000000"/>
        <rFont val="Calibri"/>
        <family val="2"/>
      </rPr>
      <t>DEPANEL
OVERPACK</t>
    </r>
  </si>
  <si>
    <t>12/18 - 8:00</t>
  </si>
  <si>
    <t>12/19 - 9:00</t>
  </si>
  <si>
    <t>12/22 - 7:00</t>
  </si>
  <si>
    <t>12/8
1/02</t>
  </si>
  <si>
    <t>p/n change
uploaded</t>
  </si>
  <si>
    <r>
      <t xml:space="preserve">clear 12/8
</t>
    </r>
    <r>
      <rPr>
        <b/>
        <strike/>
        <sz val="11"/>
        <color rgb="FF000000"/>
        <rFont val="Calibri"/>
        <family val="2"/>
      </rPr>
      <t>short qty 5</t>
    </r>
    <r>
      <rPr>
        <b/>
        <sz val="11"/>
        <color rgb="FF000000"/>
        <rFont val="Calibri"/>
        <family val="2"/>
      </rPr>
      <t xml:space="preserve"> </t>
    </r>
    <r>
      <rPr>
        <b/>
        <strike/>
        <sz val="11"/>
        <color rgb="FF000000"/>
        <rFont val="Calibri"/>
        <family val="2"/>
      </rPr>
      <t>due 12/2</t>
    </r>
  </si>
  <si>
    <r>
      <t xml:space="preserve">11/7 - matl clear
</t>
    </r>
    <r>
      <rPr>
        <b/>
        <strike/>
        <sz val="11"/>
        <color rgb="FF000000"/>
        <rFont val="Calibri"/>
        <family val="2"/>
      </rPr>
      <t>10/31 - short SMT #2 (J9) due 11/3</t>
    </r>
  </si>
  <si>
    <t>135600
RONC 130670</t>
  </si>
  <si>
    <t>12/30
15D</t>
  </si>
  <si>
    <t>100% Inspection Required
J1 place as-is
Depanel</t>
  </si>
  <si>
    <t>12/10 - 9:00</t>
  </si>
  <si>
    <t>12/11 - 6:30</t>
  </si>
  <si>
    <t>12/11 - 9:30</t>
  </si>
  <si>
    <t>10/31
12/30</t>
  </si>
  <si>
    <t>need verify docs/msl</t>
  </si>
  <si>
    <r>
      <t xml:space="preserve">clear 12/17
</t>
    </r>
    <r>
      <rPr>
        <b/>
        <strike/>
        <sz val="11"/>
        <color rgb="FF000000"/>
        <rFont val="Calibri"/>
        <family val="2"/>
      </rPr>
      <t>short due 12/30</t>
    </r>
  </si>
  <si>
    <r>
      <rPr>
        <b/>
        <sz val="11"/>
        <color rgb="FF000000"/>
        <rFont val="Calibri"/>
        <family val="2"/>
      </rPr>
      <t xml:space="preserve">12/17 - </t>
    </r>
    <r>
      <rPr>
        <b/>
        <sz val="11"/>
        <color rgb="FFFF0000"/>
        <rFont val="Calibri"/>
        <family val="2"/>
      </rPr>
      <t>run all qty boards received 2130</t>
    </r>
  </si>
  <si>
    <t>137062-S1
RONC 135281</t>
  </si>
  <si>
    <t>12/30
10D</t>
  </si>
  <si>
    <t>12/18 - 6:00</t>
  </si>
  <si>
    <t>12/10
1/05</t>
  </si>
  <si>
    <r>
      <t xml:space="preserve">clear 12/19
</t>
    </r>
    <r>
      <rPr>
        <b/>
        <strike/>
        <sz val="11"/>
        <color rgb="FF000000"/>
        <rFont val="Calibri"/>
        <family val="2"/>
      </rPr>
      <t>Short no ETA 12/23</t>
    </r>
  </si>
  <si>
    <r>
      <t xml:space="preserve">12/4 - matl clear
</t>
    </r>
    <r>
      <rPr>
        <b/>
        <strike/>
        <sz val="11"/>
        <color rgb="FF000000"/>
        <rFont val="Calibri"/>
        <family val="2"/>
      </rPr>
      <t>12/3- Short U10, and T2 (SMT) no ETA. T5 (SMT) wait for CF.</t>
    </r>
  </si>
  <si>
    <r>
      <rPr>
        <b/>
        <sz val="14"/>
        <color rgb="FF000000"/>
        <rFont val="Calibri"/>
        <family val="2"/>
      </rPr>
      <t>136940
NEW
(</t>
    </r>
    <r>
      <rPr>
        <b/>
        <sz val="14"/>
        <color rgb="FFFF0000"/>
        <rFont val="Calibri"/>
        <family val="2"/>
      </rPr>
      <t>ITAR</t>
    </r>
    <r>
      <rPr>
        <b/>
        <sz val="14"/>
        <color rgb="FF000000"/>
        <rFont val="Calibri"/>
        <family val="2"/>
      </rPr>
      <t>)</t>
    </r>
  </si>
  <si>
    <t>12/30
5D</t>
  </si>
  <si>
    <r>
      <rPr>
        <b/>
        <sz val="11"/>
        <color rgb="FF000000"/>
        <rFont val="Calibri"/>
        <family val="2"/>
      </rPr>
      <t xml:space="preserve">Alert! T2,T3 high failure rate (ECO 6)
XRAY &amp; SAVE IMAGES
</t>
    </r>
    <r>
      <rPr>
        <b/>
        <u/>
        <sz val="11"/>
        <color rgb="FF000000"/>
        <rFont val="Calibri"/>
        <family val="2"/>
      </rPr>
      <t xml:space="preserve">STAKING REQ (ok to use DP100 - Tad) </t>
    </r>
  </si>
  <si>
    <t>12/22 - 8:30</t>
  </si>
  <si>
    <t>12/22 - 12:00</t>
  </si>
  <si>
    <t>12/23 - 2:00</t>
  </si>
  <si>
    <t xml:space="preserve">Cubic/GATR Technologies
</t>
  </si>
  <si>
    <t>12/3</t>
  </si>
  <si>
    <t>smt T2 &amp; T3 Robert</t>
  </si>
  <si>
    <r>
      <t xml:space="preserve">clear 12/11
</t>
    </r>
    <r>
      <rPr>
        <b/>
        <strike/>
        <sz val="11"/>
        <color rgb="FF000000"/>
        <rFont val="Calibri"/>
        <family val="2"/>
      </rPr>
      <t>short due 12/19</t>
    </r>
  </si>
  <si>
    <t>12/8 - matl clear</t>
  </si>
  <si>
    <t>136311
RONC 133581</t>
  </si>
  <si>
    <r>
      <rPr>
        <b/>
        <sz val="14"/>
        <color rgb="FF000000"/>
        <rFont val="Calibri"/>
        <family val="2"/>
      </rPr>
      <t xml:space="preserve">12/29
</t>
    </r>
    <r>
      <rPr>
        <b/>
        <strike/>
        <sz val="14"/>
        <color rgb="FF000000"/>
        <rFont val="Calibri"/>
        <family val="2"/>
      </rPr>
      <t xml:space="preserve">12/22
</t>
    </r>
    <r>
      <rPr>
        <b/>
        <sz val="14"/>
        <color rgb="FF000000"/>
        <rFont val="Calibri"/>
        <family val="2"/>
      </rPr>
      <t>10D</t>
    </r>
  </si>
  <si>
    <t>confirm bare boards ok to use
CLASS 3
DEPANEL
!! DAUGHTER BOARD !!</t>
  </si>
  <si>
    <t>12/12 - 6:00</t>
  </si>
  <si>
    <t>12/12 - 7:30</t>
  </si>
  <si>
    <t>12/8
12/29</t>
  </si>
  <si>
    <t>do we ship this?</t>
  </si>
  <si>
    <r>
      <t xml:space="preserve">clear 12/16
</t>
    </r>
    <r>
      <rPr>
        <b/>
        <strike/>
        <sz val="11"/>
        <color rgb="FF000000"/>
        <rFont val="Calibri"/>
        <family val="2"/>
      </rPr>
      <t>short, no ETA 12/18</t>
    </r>
  </si>
  <si>
    <r>
      <t xml:space="preserve">12/12 - matl clear
</t>
    </r>
    <r>
      <rPr>
        <b/>
        <strike/>
        <sz val="11"/>
        <color rgb="FF000000"/>
        <rFont val="Calibri"/>
        <family val="2"/>
      </rPr>
      <t>12/8 - short THT L8 &amp; L2A</t>
    </r>
  </si>
  <si>
    <t>136394
RONC 128690</t>
  </si>
  <si>
    <t>12/29
10D</t>
  </si>
  <si>
    <t>"L2A, L2B, L8" AFTER WASH
DEPANEL &amp; SAND
free of debris
OVERPACK</t>
  </si>
  <si>
    <t>12/17 - 6:00</t>
  </si>
  <si>
    <t>12/17 - 9:00</t>
  </si>
  <si>
    <t>12/17 - 4:30</t>
  </si>
  <si>
    <t xml:space="preserve">Fast Enterprises, LLC
</t>
  </si>
  <si>
    <t>mh1, mh2, mh3, mh4</t>
  </si>
  <si>
    <r>
      <rPr>
        <b/>
        <sz val="11"/>
        <color rgb="FF000000"/>
        <rFont val="Calibri"/>
        <family val="2"/>
      </rPr>
      <t xml:space="preserve">clear 12/22
</t>
    </r>
    <r>
      <rPr>
        <b/>
        <strike/>
        <sz val="11"/>
        <color rgb="FF000000"/>
        <rFont val="Calibri"/>
        <family val="2"/>
      </rPr>
      <t>short, no ETA 12/22 12/18 12/17</t>
    </r>
  </si>
  <si>
    <r>
      <rPr>
        <b/>
        <sz val="11"/>
        <color rgb="FF000000"/>
        <rFont val="Calibri"/>
        <family val="2"/>
      </rPr>
      <t xml:space="preserve">12/22 - kit clear
</t>
    </r>
    <r>
      <rPr>
        <b/>
        <strike/>
        <sz val="11"/>
        <color rgb="FF000000"/>
        <rFont val="Calibri"/>
        <family val="2"/>
      </rPr>
      <t>12/12 - short THT L1 due 12/12-12/16
12/10 - short SMT C31 &amp; U10, no ETA
short SMT Q1 due 12/12 - 12/16
short THT J3, no ETA
short THT L1 due 12/12 - 12/16</t>
    </r>
  </si>
  <si>
    <r>
      <rPr>
        <b/>
        <sz val="14"/>
        <color rgb="FF000000"/>
        <rFont val="Calibri"/>
        <family val="2"/>
      </rPr>
      <t xml:space="preserve">???
</t>
    </r>
    <r>
      <rPr>
        <b/>
        <strike/>
        <sz val="14"/>
        <color rgb="FF000000"/>
        <rFont val="Calibri"/>
        <family val="2"/>
      </rPr>
      <t xml:space="preserve">12/23
</t>
    </r>
    <r>
      <rPr>
        <b/>
        <sz val="14"/>
        <color rgb="FFFF0000"/>
        <rFont val="Calibri"/>
        <family val="2"/>
      </rPr>
      <t>1D</t>
    </r>
  </si>
  <si>
    <r>
      <rPr>
        <b/>
        <sz val="11"/>
        <color rgb="FF000000"/>
        <rFont val="Calibri"/>
        <family val="2"/>
      </rPr>
      <t xml:space="preserve">DO NOT SKIP PREBAKE
DO NOT SKIP AOI
LEADFREE WASH
"L1" AFTER WASH
XRAY &amp; SAVE IMAGES
DEPANEL
boards free of debris
TRIM LEADS 2.50MM MAX
</t>
    </r>
    <r>
      <rPr>
        <b/>
        <u/>
        <sz val="14"/>
        <color rgb="FFFF0000"/>
        <rFont val="Calibri"/>
        <family val="2"/>
      </rPr>
      <t xml:space="preserve">*** PER ECO MAKE SURE NO DUST &amp; DEBRIS
</t>
    </r>
    <r>
      <rPr>
        <b/>
        <sz val="11"/>
        <color rgb="FF000000"/>
        <rFont val="Calibri"/>
        <family val="2"/>
      </rPr>
      <t>OVERPACK
s/n, p/n &amp; rev on CofC
label board match ESD bag
* SPLIT SHIPMENT: QTY 2 Johnson &amp; Johnson MedTech
5490 Great America Pkwy
QTY 8 Plexus Engineering Solutions
Guadalajara Technology Park
Ship Excess Material w/ Boards</t>
    </r>
  </si>
  <si>
    <t>12/22 - 12:30</t>
  </si>
  <si>
    <t>12/23 - 9:00</t>
  </si>
  <si>
    <t>FEDEX INT</t>
  </si>
  <si>
    <t>Plexus Engineering Solutions</t>
  </si>
  <si>
    <r>
      <t xml:space="preserve">clear 12/17
</t>
    </r>
    <r>
      <rPr>
        <b/>
        <strike/>
        <sz val="11"/>
        <color rgb="FF000000"/>
        <rFont val="Calibri"/>
        <family val="2"/>
      </rPr>
      <t>short, no ETA 12/16 or 12/17</t>
    </r>
  </si>
  <si>
    <t>12/5 - matl clear</t>
  </si>
  <si>
    <t>12/18 - awt customer reply U1 gnd
12/18 - awt stencil</t>
  </si>
  <si>
    <t>136995
NEW</t>
  </si>
  <si>
    <r>
      <rPr>
        <b/>
        <sz val="14"/>
        <color rgb="FF000000"/>
        <rFont val="Calibri"/>
        <family val="2"/>
      </rPr>
      <t xml:space="preserve">12/23
</t>
    </r>
    <r>
      <rPr>
        <b/>
        <strike/>
        <sz val="14"/>
        <color rgb="FF000000"/>
        <rFont val="Calibri"/>
        <family val="2"/>
      </rPr>
      <t xml:space="preserve">12/24
</t>
    </r>
    <r>
      <rPr>
        <b/>
        <sz val="14"/>
        <color rgb="FF000000"/>
        <rFont val="Calibri"/>
        <family val="2"/>
      </rPr>
      <t>5D</t>
    </r>
  </si>
  <si>
    <t>possible expedite
*** PART TRACEABILITY REQUIRED FOR ANY ALTA MATERIAL PURCHASES
DEPANEL</t>
  </si>
  <si>
    <t xml:space="preserve">Dynamic Structures and Materials, LLC
</t>
  </si>
  <si>
    <t>12/5</t>
  </si>
  <si>
    <t>part tracerability</t>
  </si>
  <si>
    <r>
      <t xml:space="preserve">clear 12/12
</t>
    </r>
    <r>
      <rPr>
        <b/>
        <strike/>
        <sz val="11"/>
        <color rgb="FF000000"/>
        <rFont val="Calibri"/>
        <family val="2"/>
      </rPr>
      <t>short 8 boards due 12/12 soon
due 12/5</t>
    </r>
  </si>
  <si>
    <r>
      <t xml:space="preserve">12/12 - matl clear </t>
    </r>
    <r>
      <rPr>
        <b/>
        <strike/>
        <sz val="11"/>
        <color rgb="FF000000"/>
        <rFont val="Calibri"/>
        <family val="2"/>
      </rPr>
      <t>12/11 - short SMT D1 qty 150, no ETA
11/26 - short SMT 3x, no ETA</t>
    </r>
  </si>
  <si>
    <t>12/12 - run qty 5 only and wait</t>
  </si>
  <si>
    <r>
      <rPr>
        <b/>
        <sz val="14"/>
        <color rgb="FF000000"/>
        <rFont val="Calibri"/>
        <family val="2"/>
      </rPr>
      <t xml:space="preserve">136862
ROWC 136318
</t>
    </r>
    <r>
      <rPr>
        <b/>
        <sz val="14"/>
        <color rgb="FFFF0000"/>
        <rFont val="Calibri"/>
        <family val="2"/>
      </rPr>
      <t>(AS9100-CUI/ ITAR)</t>
    </r>
  </si>
  <si>
    <t>12/23
10D</t>
  </si>
  <si>
    <r>
      <rPr>
        <b/>
        <sz val="11"/>
        <color rgb="FF000000"/>
        <rFont val="Calibri"/>
        <family val="2"/>
      </rPr>
      <t xml:space="preserve">possible expedite
</t>
    </r>
    <r>
      <rPr>
        <b/>
        <u/>
        <sz val="11"/>
        <color rgb="FF000000"/>
        <rFont val="Calibri"/>
        <family val="2"/>
      </rPr>
      <t xml:space="preserve">*** </t>
    </r>
    <r>
      <rPr>
        <b/>
        <u/>
        <sz val="11"/>
        <color rgb="FFFF0000"/>
        <rFont val="Calibri"/>
        <family val="2"/>
      </rPr>
      <t>ALERT</t>
    </r>
    <r>
      <rPr>
        <b/>
        <u/>
        <sz val="11"/>
        <color rgb="FF000000"/>
        <rFont val="Calibri"/>
        <family val="2"/>
      </rPr>
      <t xml:space="preserve">!!! ITEM 68 &amp; 69 TOP COVERS CAME OFF DURING AQUANOX &amp; DI WASH - RUN QTY 5 BOT SIDE ONLY, THEN HOLD
</t>
    </r>
    <r>
      <rPr>
        <b/>
        <sz val="11"/>
        <color rgb="FF000000"/>
        <rFont val="Calibri"/>
        <family val="2"/>
      </rPr>
      <t xml:space="preserve">*** </t>
    </r>
    <r>
      <rPr>
        <b/>
        <sz val="11"/>
        <color rgb="FFFF0000"/>
        <rFont val="Calibri"/>
        <family val="2"/>
      </rPr>
      <t>ALTA ALERT</t>
    </r>
    <r>
      <rPr>
        <b/>
        <sz val="11"/>
        <color rgb="FF000000"/>
        <rFont val="Calibri"/>
        <family val="2"/>
      </rPr>
      <t xml:space="preserve">!!! - "BAT1" FELL OFF FA BOARDS - PLEASE ENSURE EXTRA SOLDER  AND TEST TO SEE IF HOLDER WILL COME OFF
*** </t>
    </r>
    <r>
      <rPr>
        <b/>
        <sz val="11"/>
        <color rgb="FFFF0000"/>
        <rFont val="Calibri"/>
        <family val="2"/>
      </rPr>
      <t>USE ROL0 OR ROL1</t>
    </r>
    <r>
      <rPr>
        <b/>
        <sz val="11"/>
        <color rgb="FF000000"/>
        <rFont val="Calibri"/>
        <family val="2"/>
      </rPr>
      <t xml:space="preserve"> SOLDER PASTE
AOI, xray &amp; save images required
LEAD-FREE no-clean (Aquanox)
QR code - S/N: Start at 00217
</t>
    </r>
    <r>
      <rPr>
        <b/>
        <u/>
        <sz val="11"/>
        <color rgb="FF000000"/>
        <rFont val="Calibri"/>
        <family val="2"/>
      </rPr>
      <t>LP1 DNI &amp; ship with boards</t>
    </r>
  </si>
  <si>
    <t>12/16 - 1:30</t>
  </si>
  <si>
    <t>DOC REL 11/25</t>
  </si>
  <si>
    <t>11/26
12/30</t>
  </si>
  <si>
    <t>LP1 no fit</t>
  </si>
  <si>
    <r>
      <rPr>
        <b/>
        <strike/>
        <sz val="9"/>
        <color rgb="FF000000"/>
        <rFont val="Calibri"/>
        <family val="2"/>
      </rPr>
      <t xml:space="preserve">fit check THT
</t>
    </r>
    <r>
      <rPr>
        <b/>
        <sz val="9"/>
        <color rgb="FF000000"/>
        <rFont val="Calibri"/>
        <family val="2"/>
      </rPr>
      <t>quality reminder</t>
    </r>
  </si>
  <si>
    <t>clear 12/11</t>
  </si>
  <si>
    <r>
      <t xml:space="preserve">12/11 - kit clear
</t>
    </r>
    <r>
      <rPr>
        <b/>
        <strike/>
        <sz val="11"/>
        <color rgb="FF000000"/>
        <rFont val="Calibri"/>
        <family val="2"/>
      </rPr>
      <t>12/11 - awt THT part conf J104 &amp; J106</t>
    </r>
  </si>
  <si>
    <t>137041
NEW</t>
  </si>
  <si>
    <t>*** SN/PB EUTECTIC SOLDER REQUIRED PER ECO
install mechanical + torque
ALERT! paired parts &amp; alignment specifications
L3001 &amp; related (see ECO)
Leaded Clean
SW101, SW4001 &amp; related - After Wash
"VR2001, VR4001" SEE ECO NOTE 5 FOR ASSY &amp; INSTALLATION
Depanel &amp; Sand
Post-bake 30-min (per Trinh)</t>
  </si>
  <si>
    <t>12/15 - 7:00</t>
  </si>
  <si>
    <t>12/15 - 9:30</t>
  </si>
  <si>
    <t xml:space="preserve">Stellar Exploration
</t>
  </si>
  <si>
    <t>12/11
12/29</t>
  </si>
  <si>
    <t>133084-1
NEW</t>
  </si>
  <si>
    <r>
      <rPr>
        <b/>
        <sz val="14"/>
        <color rgb="FF000000"/>
        <rFont val="Calibri"/>
        <family val="2"/>
      </rPr>
      <t xml:space="preserve">12/23
</t>
    </r>
    <r>
      <rPr>
        <b/>
        <sz val="14"/>
        <color rgb="FFFF0000"/>
        <rFont val="Calibri"/>
        <family val="2"/>
      </rPr>
      <t>1D</t>
    </r>
  </si>
  <si>
    <r>
      <t xml:space="preserve">clear 12/11
</t>
    </r>
    <r>
      <rPr>
        <b/>
        <strike/>
        <sz val="11"/>
        <color rgb="FF000000"/>
        <rFont val="Calibri"/>
        <family val="2"/>
      </rPr>
      <t>short, no ETA</t>
    </r>
  </si>
  <si>
    <r>
      <t xml:space="preserve">12/19 - kit clear
</t>
    </r>
    <r>
      <rPr>
        <b/>
        <strike/>
        <sz val="11"/>
        <color rgb="FF000000"/>
        <rFont val="Calibri"/>
        <family val="2"/>
      </rPr>
      <t>12/10 - short SMT U2 no skip, no ETA 12/19</t>
    </r>
  </si>
  <si>
    <t>137071-S2
ROWC 134981</t>
  </si>
  <si>
    <r>
      <rPr>
        <b/>
        <sz val="14"/>
        <color rgb="FF000000"/>
        <rFont val="Calibri"/>
        <family val="2"/>
      </rPr>
      <t xml:space="preserve">12/23
</t>
    </r>
    <r>
      <rPr>
        <b/>
        <sz val="14"/>
        <color rgb="FFFF0000"/>
        <rFont val="Calibri"/>
        <family val="2"/>
      </rPr>
      <t>3D</t>
    </r>
  </si>
  <si>
    <t xml:space="preserve">shipped prev batch qty 4 on 12/16
USE ALPHA WS-820 LEADFREE SOLDER PASTE
WASH BOARDS
MAKE SURE BOARDS ARE FREE AND CLEAN OF DEBRIS AND RESIDUES
</t>
  </si>
  <si>
    <t>12/22 - 8:00</t>
  </si>
  <si>
    <t>12/22 - 9:30</t>
  </si>
  <si>
    <t>12/22 - 1:00</t>
  </si>
  <si>
    <t xml:space="preserve">Samtec - New Albany, IN
</t>
  </si>
  <si>
    <t>12/10</t>
  </si>
  <si>
    <r>
      <t xml:space="preserve">12/11 - kit clear
</t>
    </r>
    <r>
      <rPr>
        <b/>
        <strike/>
        <sz val="11"/>
        <color rgb="FF000000"/>
        <rFont val="Calibri"/>
        <family val="2"/>
      </rPr>
      <t>12/5 - short SMT U8 no skip &amp; R15, no ETA 12/12</t>
    </r>
  </si>
  <si>
    <t>136286
ROWC 133880</t>
  </si>
  <si>
    <t>12/22
10D</t>
  </si>
  <si>
    <t>DO NOT SKIP PREBAKE
CLASS 3
LEAD clean PROCESS
DEPANEL
prev build: follow ECO labels</t>
  </si>
  <si>
    <t>12/15 - 10:30</t>
  </si>
  <si>
    <t>Wabtec</t>
  </si>
  <si>
    <t>12/5
12/29</t>
  </si>
  <si>
    <t>COMPLETE ALTA</t>
  </si>
  <si>
    <t>label = follow ECO</t>
  </si>
  <si>
    <r>
      <t xml:space="preserve">clear 12/15
</t>
    </r>
    <r>
      <rPr>
        <b/>
        <strike/>
        <sz val="11"/>
        <color rgb="FF000000"/>
        <rFont val="Calibri"/>
        <family val="2"/>
      </rPr>
      <t>short due 12/15</t>
    </r>
  </si>
  <si>
    <t>136998-FA
NEW</t>
  </si>
  <si>
    <t>12/22
5D</t>
  </si>
  <si>
    <t>DO NO SKIP PREBAKE
"SW1" AFTER WASH
DEPANEL</t>
  </si>
  <si>
    <t>12/15 - 1:00</t>
  </si>
  <si>
    <t>12/16 - 9:00</t>
  </si>
  <si>
    <t>12/16 - 11:00</t>
  </si>
  <si>
    <t>12/8</t>
  </si>
  <si>
    <r>
      <t xml:space="preserve">clear 12/1
</t>
    </r>
    <r>
      <rPr>
        <b/>
        <strike/>
        <sz val="11"/>
        <color rgb="FF000000"/>
        <rFont val="Calibri"/>
        <family val="2"/>
      </rPr>
      <t>awt pcb conf 11/26</t>
    </r>
  </si>
  <si>
    <t>11/26 - matl clear</t>
  </si>
  <si>
    <t>12/4 - SW1, SW2 &amp; SW3 not on board</t>
  </si>
  <si>
    <t>-</t>
  </si>
  <si>
    <t>133230
NEW</t>
  </si>
  <si>
    <t>12/22
15D</t>
  </si>
  <si>
    <t>load S1
cust approv C38 &amp; C40 ref des switch
T/H ONLY
LEAD WASH
DEPANEL
TAG BOARDS IF ANY BTD</t>
  </si>
  <si>
    <t>11/26</t>
  </si>
  <si>
    <r>
      <t xml:space="preserve">clear 12/9
</t>
    </r>
    <r>
      <rPr>
        <b/>
        <strike/>
        <sz val="11"/>
        <color rgb="FF000000"/>
        <rFont val="Calibri"/>
        <family val="2"/>
      </rPr>
      <t>11/21 - PCB ETA 12/9 12/8 12/5
short, no ETA</t>
    </r>
  </si>
  <si>
    <r>
      <t xml:space="preserve">12/5 - matl clear
</t>
    </r>
    <r>
      <rPr>
        <b/>
        <strike/>
        <sz val="11"/>
        <color rgb="FF000000"/>
        <rFont val="Calibri"/>
        <family val="2"/>
      </rPr>
      <t>11/14 - short SMT U12 &amp; R46 no ETA</t>
    </r>
  </si>
  <si>
    <t>136373
NEW</t>
  </si>
  <si>
    <t>12/19
10D</t>
  </si>
  <si>
    <t>"S1x7" AFTER WASH
DEPANEL</t>
  </si>
  <si>
    <t>12/11 - 10:30</t>
  </si>
  <si>
    <t>12/11 - 2:30</t>
  </si>
  <si>
    <t>12/12 - 10:00</t>
  </si>
  <si>
    <t>Lighthouse Instruments, LLC</t>
  </si>
  <si>
    <t>DOC REL 11/13</t>
  </si>
  <si>
    <t>11/14
12/23</t>
  </si>
  <si>
    <t>smt j5, j14, j16 overhangs</t>
  </si>
  <si>
    <r>
      <t xml:space="preserve">clear 12/5
</t>
    </r>
    <r>
      <rPr>
        <b/>
        <strike/>
        <sz val="11"/>
        <color rgb="FF000000"/>
        <rFont val="Calibri"/>
        <family val="2"/>
      </rPr>
      <t>short, no ETA</t>
    </r>
  </si>
  <si>
    <r>
      <t xml:space="preserve">12/5 - kit clear
</t>
    </r>
    <r>
      <rPr>
        <b/>
        <strike/>
        <sz val="11"/>
        <color rgb="FF000000"/>
        <rFont val="Calibri"/>
        <family val="2"/>
      </rPr>
      <t>11/25 - short SMT many, no ETA</t>
    </r>
  </si>
  <si>
    <t>135927-1st
NEW</t>
  </si>
  <si>
    <r>
      <rPr>
        <b/>
        <sz val="11"/>
        <color rgb="FF000000"/>
        <rFont val="Calibri"/>
        <family val="2"/>
      </rPr>
      <t xml:space="preserve">SMT: care when run (special parts)
SPLIT SHIPMENT - 
QTY 35 on a 10 Day Turn
QTY 65 on a 10 Day Turn
(CAN RUN ALL IF CLEAR)
SEE ECO NOTE 2 FOR SMT COMPONENT INSTALLATION
"S1" PART IS SEALED SEE ECO FOR HANDLING (handle w/ care)
DEPANEL
FAIR IS WAIVED
*** </t>
    </r>
    <r>
      <rPr>
        <b/>
        <u/>
        <sz val="11"/>
        <color rgb="FFFF0000"/>
        <rFont val="Calibri"/>
        <family val="2"/>
      </rPr>
      <t>DO NOT SHIP EXCESS MATL - KEEP IN HOUSE</t>
    </r>
  </si>
  <si>
    <t>12/9 - 12:30</t>
  </si>
  <si>
    <t>12/10 - 7:00</t>
  </si>
  <si>
    <r>
      <t xml:space="preserve">clear 12/18
</t>
    </r>
    <r>
      <rPr>
        <b/>
        <strike/>
        <sz val="11"/>
        <color rgb="FF000000"/>
        <rFont val="Calibri"/>
        <family val="2"/>
      </rPr>
      <t>short due 12/16-12/17 12/19 12/10</t>
    </r>
  </si>
  <si>
    <r>
      <t xml:space="preserve">12/4 - matl clear
</t>
    </r>
    <r>
      <rPr>
        <b/>
        <strike/>
        <sz val="11"/>
        <color rgb="FF000000"/>
        <rFont val="Calibri"/>
        <family val="2"/>
      </rPr>
      <t>12/2 - short many, no ETA</t>
    </r>
  </si>
  <si>
    <r>
      <rPr>
        <b/>
        <sz val="14"/>
        <color rgb="FF000000"/>
        <rFont val="Calibri"/>
        <family val="2"/>
      </rPr>
      <t xml:space="preserve">136965-2
NEW
</t>
    </r>
    <r>
      <rPr>
        <b/>
        <sz val="14"/>
        <color rgb="FFFF0000"/>
        <rFont val="Calibri"/>
        <family val="2"/>
      </rPr>
      <t>(ITAR)</t>
    </r>
  </si>
  <si>
    <r>
      <rPr>
        <b/>
        <strike/>
        <sz val="11"/>
        <color rgb="FF000000"/>
        <rFont val="Calibri"/>
        <family val="2"/>
      </rPr>
      <t xml:space="preserve">possible expedite
</t>
    </r>
    <r>
      <rPr>
        <b/>
        <sz val="11"/>
        <color rgb="FF000000"/>
        <rFont val="Calibri"/>
        <family val="2"/>
      </rPr>
      <t xml:space="preserve">shipped qty 5 on 12/22
CLASS 3
"J1, PA, PB, PC" DO NOT SOLDER
</t>
    </r>
    <r>
      <rPr>
        <b/>
        <u/>
        <sz val="11"/>
        <color rgb="FF000000"/>
        <rFont val="Calibri"/>
        <family val="2"/>
      </rPr>
      <t>HARDWARE REQ</t>
    </r>
  </si>
  <si>
    <t>12/19 - 6:00</t>
  </si>
  <si>
    <t>12/19 - 7:00</t>
  </si>
  <si>
    <t>12/19 - 8:00</t>
  </si>
  <si>
    <t>DOC REL 12/1</t>
  </si>
  <si>
    <t>12/2</t>
  </si>
  <si>
    <r>
      <rPr>
        <b/>
        <sz val="11"/>
        <color rgb="FF000000"/>
        <rFont val="Calibri"/>
        <family val="2"/>
      </rPr>
      <t xml:space="preserve">qty 5 clear 12/17
</t>
    </r>
    <r>
      <rPr>
        <b/>
        <strike/>
        <sz val="11"/>
        <color rgb="FF000000"/>
        <rFont val="Calibri"/>
        <family val="2"/>
      </rPr>
      <t>short due 12/16-12/17 12/19 12/10</t>
    </r>
  </si>
  <si>
    <r>
      <rPr>
        <b/>
        <sz val="14"/>
        <color rgb="FF000000"/>
        <rFont val="Calibri"/>
        <family val="2"/>
      </rPr>
      <t xml:space="preserve">136965-1
NEW
</t>
    </r>
    <r>
      <rPr>
        <b/>
        <sz val="14"/>
        <color rgb="FFFF0000"/>
        <rFont val="Calibri"/>
        <family val="2"/>
      </rPr>
      <t>(ITAR)</t>
    </r>
  </si>
  <si>
    <r>
      <rPr>
        <b/>
        <sz val="14"/>
        <color rgb="FF000000"/>
        <rFont val="Calibri"/>
        <family val="2"/>
      </rPr>
      <t xml:space="preserve">12/19
</t>
    </r>
    <r>
      <rPr>
        <b/>
        <strike/>
        <sz val="14"/>
        <color rgb="FF000000"/>
        <rFont val="Calibri"/>
        <family val="2"/>
      </rPr>
      <t xml:space="preserve">12/22
</t>
    </r>
    <r>
      <rPr>
        <b/>
        <sz val="14"/>
        <color rgb="FFFF0000"/>
        <rFont val="Calibri"/>
        <family val="2"/>
      </rPr>
      <t>3D</t>
    </r>
  </si>
  <si>
    <r>
      <rPr>
        <b/>
        <strike/>
        <sz val="11"/>
        <color rgb="FF000000"/>
        <rFont val="Calibri"/>
        <family val="2"/>
      </rPr>
      <t xml:space="preserve">possible </t>
    </r>
    <r>
      <rPr>
        <b/>
        <sz val="11"/>
        <color rgb="FF000000"/>
        <rFont val="Calibri"/>
        <family val="2"/>
      </rPr>
      <t xml:space="preserve">expedite ship 12/19
ship qty 5 on 12/22
bal qty 3
CLASS 3
"J1, PA, PB, PC" DO NOT SOLDER
</t>
    </r>
    <r>
      <rPr>
        <b/>
        <u/>
        <sz val="11"/>
        <color rgb="FF000000"/>
        <rFont val="Calibri"/>
        <family val="2"/>
      </rPr>
      <t>HARDWARE REQ</t>
    </r>
  </si>
  <si>
    <t>12/18 - 8:30</t>
  </si>
  <si>
    <r>
      <t xml:space="preserve">clear 12/10
</t>
    </r>
    <r>
      <rPr>
        <b/>
        <strike/>
        <sz val="11"/>
        <color rgb="FF000000"/>
        <rFont val="Calibri"/>
        <family val="2"/>
      </rPr>
      <t>short, no ETA 12/10 12/9 12/8</t>
    </r>
  </si>
  <si>
    <t>11/25 - matl clear</t>
  </si>
  <si>
    <t>136852
NEW</t>
  </si>
  <si>
    <t>12/17
5D</t>
  </si>
  <si>
    <t>LEAD FREE WASH</t>
  </si>
  <si>
    <t>12/11 - 9:00</t>
  </si>
  <si>
    <t>12/11 - 12:00</t>
  </si>
  <si>
    <t>Metrea</t>
  </si>
  <si>
    <r>
      <rPr>
        <b/>
        <sz val="11"/>
        <color rgb="FF000000"/>
        <rFont val="Calibri"/>
        <family val="2"/>
      </rPr>
      <t xml:space="preserve">clear 12/8
</t>
    </r>
    <r>
      <rPr>
        <b/>
        <strike/>
        <sz val="11"/>
        <color rgb="FF000000"/>
        <rFont val="Calibri"/>
        <family val="2"/>
      </rPr>
      <t>short due 12/5</t>
    </r>
  </si>
  <si>
    <r>
      <t xml:space="preserve">12/10 - kit clear
</t>
    </r>
    <r>
      <rPr>
        <b/>
        <strike/>
        <sz val="11"/>
        <color rgb="FF000000"/>
        <rFont val="Calibri"/>
        <family val="2"/>
      </rPr>
      <t xml:space="preserve">12/9 - short SMT qty 130 of U1, no ETA 12/10
</t>
    </r>
    <r>
      <rPr>
        <b/>
        <sz val="11"/>
        <color rgb="FF000000"/>
        <rFont val="Calibri"/>
        <family val="2"/>
      </rPr>
      <t>12/2 -</t>
    </r>
    <r>
      <rPr>
        <b/>
        <strike/>
        <sz val="11"/>
        <color rgb="FF000000"/>
        <rFont val="Calibri"/>
        <family val="2"/>
      </rPr>
      <t xml:space="preserve"> short SMT U1 &amp; U12 due 12/5 - 12/8; U2, no ETA</t>
    </r>
  </si>
  <si>
    <t>137027
RONC 136475</t>
  </si>
  <si>
    <t>12/10 - 12:00</t>
  </si>
  <si>
    <t>12/10 - 2:30</t>
  </si>
  <si>
    <t xml:space="preserve">Spectro Inc.
</t>
  </si>
  <si>
    <r>
      <t xml:space="preserve">clear 12/2
</t>
    </r>
    <r>
      <rPr>
        <b/>
        <strike/>
        <sz val="11"/>
        <color rgb="FF000000"/>
        <rFont val="Calibri"/>
        <family val="2"/>
      </rPr>
      <t>short, no ETA 12/2</t>
    </r>
  </si>
  <si>
    <r>
      <t xml:space="preserve">12/3- CLEAR </t>
    </r>
    <r>
      <rPr>
        <b/>
        <strike/>
        <sz val="11"/>
        <color rgb="FF000000"/>
        <rFont val="Calibri"/>
        <family val="2"/>
      </rPr>
      <t>11/25 - short SMT D17 due 12/5 12/8
short THT Loctite, no ETA 12/3</t>
    </r>
  </si>
  <si>
    <r>
      <rPr>
        <b/>
        <sz val="14"/>
        <color rgb="FF000000"/>
        <rFont val="Calibri"/>
        <family val="2"/>
      </rPr>
      <t xml:space="preserve">136777
NEW
</t>
    </r>
    <r>
      <rPr>
        <b/>
        <sz val="14"/>
        <color rgb="FFFF0000"/>
        <rFont val="Calibri"/>
        <family val="2"/>
      </rPr>
      <t>(DoD-CUI/ ITAR)</t>
    </r>
  </si>
  <si>
    <t>12/17
10D</t>
  </si>
  <si>
    <r>
      <rPr>
        <b/>
        <strike/>
        <sz val="11"/>
        <color rgb="FF000000"/>
        <rFont val="Calibri"/>
        <family val="2"/>
      </rPr>
      <t xml:space="preserve">expedite
</t>
    </r>
    <r>
      <rPr>
        <b/>
        <u/>
        <sz val="11"/>
        <color rgb="FF000000"/>
        <rFont val="Calibri"/>
        <family val="2"/>
      </rPr>
      <t xml:space="preserve">LOCTITE 382 under U7 REQ
</t>
    </r>
    <r>
      <rPr>
        <b/>
        <sz val="11"/>
        <color rgb="FF000000"/>
        <rFont val="Calibri"/>
        <family val="2"/>
      </rPr>
      <t>DEPANEL
SEE ECO FOR CofC REQUIREMENTS
OVERPACK</t>
    </r>
  </si>
  <si>
    <t>12/8 - 10:00</t>
  </si>
  <si>
    <t>12/8 - 1:00</t>
  </si>
  <si>
    <t>confirm solder paste drawing</t>
  </si>
  <si>
    <r>
      <t xml:space="preserve">clear 12/1
</t>
    </r>
    <r>
      <rPr>
        <b/>
        <strike/>
        <sz val="11"/>
        <color theme="4" tint="-0.249977111117893"/>
        <rFont val="Calibri"/>
        <family val="2"/>
      </rPr>
      <t>short due 11/26</t>
    </r>
  </si>
  <si>
    <r>
      <t xml:space="preserve">12/4 - kit clear
</t>
    </r>
    <r>
      <rPr>
        <b/>
        <strike/>
        <sz val="11"/>
        <color theme="4" tint="-0.249977111117893"/>
        <rFont val="Calibri"/>
        <family val="2"/>
      </rPr>
      <t>12/1 - short SMT D3 ETA 12/4 (will recvd 2885 &amp; BTD for bal. &amp; MODU_LEI, no</t>
    </r>
    <r>
      <rPr>
        <b/>
        <sz val="11"/>
        <color theme="4" tint="-0.249977111117893"/>
        <rFont val="Calibri"/>
        <family val="2"/>
      </rPr>
      <t xml:space="preserve"> 
</t>
    </r>
    <r>
      <rPr>
        <b/>
        <strike/>
        <sz val="11"/>
        <color theme="4" tint="-0.249977111117893"/>
        <rFont val="Calibri"/>
        <family val="2"/>
      </rPr>
      <t>11/26 - short SMT 3x  items, no ETA</t>
    </r>
  </si>
  <si>
    <t>12/10 - ship only complete boards</t>
  </si>
  <si>
    <t>???
5D</t>
  </si>
  <si>
    <r>
      <rPr>
        <b/>
        <sz val="11"/>
        <color rgb="FF104861"/>
        <rFont val="Calibri"/>
        <family val="2"/>
      </rPr>
      <t xml:space="preserve">ok to solder mask exposed copper
12/3 - "D3" IS NOW BTD
DO NOT SKIP AOI
RoHS CoC REQ PER ECO
</t>
    </r>
    <r>
      <rPr>
        <b/>
        <u/>
        <sz val="11"/>
        <color rgb="FF104861"/>
        <rFont val="Calibri"/>
        <family val="2"/>
      </rPr>
      <t xml:space="preserve">SEE ECO NOTE 6 FOR PACKAGING IDENTIFICATION
</t>
    </r>
    <r>
      <rPr>
        <b/>
        <sz val="11"/>
        <color rgb="FF104861"/>
        <rFont val="Calibri"/>
        <family val="2"/>
      </rPr>
      <t>DEPANEL</t>
    </r>
  </si>
  <si>
    <t>12/6 - 5:00</t>
  </si>
  <si>
    <t>12/6 - 8:00</t>
  </si>
  <si>
    <t xml:space="preserve">Beckman Coulter
</t>
  </si>
  <si>
    <t>clear 10/23</t>
  </si>
  <si>
    <r>
      <t xml:space="preserve">12/8 - kit clear
</t>
    </r>
    <r>
      <rPr>
        <b/>
        <strike/>
        <sz val="11"/>
        <color rgb="FF000000"/>
        <rFont val="Calibri"/>
        <family val="2"/>
      </rPr>
      <t>10/23 - short SMT U22 NO SKIP (qty 250), no ETA 11/19</t>
    </r>
  </si>
  <si>
    <t>12/8 - day 1 is 12/10 (Anne)
11/19 - okay to teardown (Anne)</t>
  </si>
  <si>
    <t>12/16
5D</t>
  </si>
  <si>
    <r>
      <rPr>
        <b/>
        <sz val="11"/>
        <color rgb="FF000000"/>
        <rFont val="Calibri"/>
        <family val="2"/>
      </rPr>
      <t xml:space="preserve">Expected Split Shipment:
shipped qty 10 on 12/5
*** </t>
    </r>
    <r>
      <rPr>
        <b/>
        <sz val="11"/>
        <color rgb="FFFF0000"/>
        <rFont val="Calibri"/>
        <family val="2"/>
      </rPr>
      <t xml:space="preserve">100% INSP REQ - BOARDS MUST BE PERFECT!!!
</t>
    </r>
    <r>
      <rPr>
        <b/>
        <sz val="11"/>
        <color rgb="FF000000"/>
        <rFont val="Calibri"/>
        <family val="2"/>
      </rPr>
      <t xml:space="preserve">LEAD FREE NO CLEAN
*** </t>
    </r>
    <r>
      <rPr>
        <b/>
        <sz val="11"/>
        <color rgb="FFFF0000"/>
        <rFont val="Calibri"/>
        <family val="2"/>
      </rPr>
      <t xml:space="preserve">SAC305 REQUIRED
</t>
    </r>
    <r>
      <rPr>
        <b/>
        <sz val="11"/>
        <color rgb="FF000000"/>
        <rFont val="Calibri"/>
        <family val="2"/>
      </rPr>
      <t>"U13, SW1" ARE MOISTURE SENSITIVE
DEPANEL &amp; SAND
SEE ECO #10 FOR CofC
PACKAGE W/ EXTRA CARE
@SHIPPING + EXCESS - UPDATED SHIPPING ADDRESS - Anduril Maritime
421 Jones Rd
North Kingstown, RI 02852</t>
    </r>
  </si>
  <si>
    <t>12/9 - 1:30</t>
  </si>
  <si>
    <t>DOC REL 10/22</t>
  </si>
  <si>
    <t>10/23</t>
  </si>
  <si>
    <t>clear 12/2</t>
  </si>
  <si>
    <t>12/2 - kit clear</t>
  </si>
  <si>
    <t>12/4 - boards req Dremel</t>
  </si>
  <si>
    <t>136691
NEW</t>
  </si>
  <si>
    <t>12/16
10D</t>
  </si>
  <si>
    <r>
      <rPr>
        <b/>
        <sz val="11"/>
        <color rgb="FF000000"/>
        <rFont val="Calibri"/>
        <family val="2"/>
      </rPr>
      <t xml:space="preserve">"RL1, RL2, L12" AFTER WASH
POST BAKE 30 MIN IF BOARDS ARE WASHED
SEE ECO FOR MULTIPLE ORIENTATIONS
Tad Dremel boards (no mouse bite)
</t>
    </r>
    <r>
      <rPr>
        <b/>
        <u/>
        <sz val="11"/>
        <color rgb="FF000000"/>
        <rFont val="Calibri"/>
        <family val="2"/>
      </rPr>
      <t xml:space="preserve">RoHS </t>
    </r>
    <r>
      <rPr>
        <b/>
        <strike/>
        <u/>
        <sz val="11"/>
        <color rgb="FF000000"/>
        <rFont val="Calibri"/>
        <family val="2"/>
      </rPr>
      <t>label</t>
    </r>
    <r>
      <rPr>
        <b/>
        <u/>
        <sz val="11"/>
        <color rgb="FF000000"/>
        <rFont val="Calibri"/>
        <family val="2"/>
      </rPr>
      <t xml:space="preserve"> stamp (ok by Tad) per board required</t>
    </r>
  </si>
  <si>
    <t>12/5 - 7:00</t>
  </si>
  <si>
    <t>12/5 - 9:00</t>
  </si>
  <si>
    <t>1B 3T</t>
  </si>
  <si>
    <t xml:space="preserve">Smith &amp; Nephew
</t>
  </si>
  <si>
    <r>
      <t xml:space="preserve">clear 12/11
</t>
    </r>
    <r>
      <rPr>
        <b/>
        <strike/>
        <sz val="11"/>
        <color rgb="FF000000"/>
        <rFont val="Calibri"/>
        <family val="2"/>
      </rPr>
      <t>short DUE 12/11</t>
    </r>
  </si>
  <si>
    <r>
      <t xml:space="preserve">12/11 - kit clear
</t>
    </r>
    <r>
      <rPr>
        <b/>
        <strike/>
        <sz val="11"/>
        <color rgb="FF000000"/>
        <rFont val="Calibri"/>
        <family val="2"/>
      </rPr>
      <t>12/10 - short SMT U2 no skip, no ETA</t>
    </r>
  </si>
  <si>
    <t>137071-S1
ROWC 134981</t>
  </si>
  <si>
    <r>
      <rPr>
        <b/>
        <sz val="14"/>
        <color rgb="FF000000"/>
        <rFont val="Calibri"/>
        <family val="2"/>
      </rPr>
      <t xml:space="preserve">12/16
</t>
    </r>
    <r>
      <rPr>
        <b/>
        <sz val="14"/>
        <color rgb="FFFF0000"/>
        <rFont val="Calibri"/>
        <family val="2"/>
      </rPr>
      <t>3D</t>
    </r>
  </si>
  <si>
    <t>ORDER IS FOR QTY 20 - CAN BUILD ALL AT ONCE IF CLEAR, OTHERWISE BUILD QTY 4 AND SHIP
balance qty 16
USE ALPHA WS-820 LEADFREE SOLDER PASTE
WASH BOARDS
MAKE SURE BOARDS ARE FREE AND CLEAN OF DEBRIS AND RESIDUES
DEPANEL &amp; SAND</t>
  </si>
  <si>
    <t>12/11 - 11:30</t>
  </si>
  <si>
    <t>Samtec - New Albany, IN</t>
  </si>
  <si>
    <t>new fixture</t>
  </si>
  <si>
    <r>
      <t xml:space="preserve">clear 12/11
</t>
    </r>
    <r>
      <rPr>
        <b/>
        <strike/>
        <sz val="11"/>
        <color rgb="FF000000"/>
        <rFont val="Calibri"/>
        <family val="2"/>
      </rPr>
      <t>short due 12/11</t>
    </r>
  </si>
  <si>
    <t>12/11 - kit clear
12/11 - matl due</t>
  </si>
  <si>
    <t>135134
RMA</t>
  </si>
  <si>
    <t>REMOVE &amp; REPLACE
REWORK</t>
  </si>
  <si>
    <t>see email</t>
  </si>
  <si>
    <t>DOC REL 9/29</t>
  </si>
  <si>
    <t>12/15/2025
cancelled</t>
  </si>
  <si>
    <t>short, no ETA</t>
  </si>
  <si>
    <t>11/24 - matl clear</t>
  </si>
  <si>
    <t>136794
NEW</t>
  </si>
  <si>
    <t>R</t>
  </si>
  <si>
    <t>*CANCELLED*
DO NOT SKIP PCB PREBAKE
DEPANEL
MAKE SURE ALL FLUX RESIDUE IS REMOVED</t>
  </si>
  <si>
    <t>Moxtek</t>
  </si>
  <si>
    <t>alta</t>
  </si>
  <si>
    <t>FIT CHECK J2-J12</t>
  </si>
  <si>
    <r>
      <t xml:space="preserve">12/15 - kit clear
</t>
    </r>
    <r>
      <rPr>
        <b/>
        <strike/>
        <sz val="11"/>
        <color rgb="FF000000"/>
        <rFont val="Calibri"/>
        <family val="2"/>
      </rPr>
      <t>11/24 - short THT J1, no ETA 12/1</t>
    </r>
  </si>
  <si>
    <t>12/2 - start ASAP (Anne)</t>
  </si>
  <si>
    <r>
      <rPr>
        <b/>
        <sz val="14"/>
        <color rgb="FF104861"/>
        <rFont val="Calibri"/>
        <family val="2"/>
      </rPr>
      <t xml:space="preserve">???
</t>
    </r>
    <r>
      <rPr>
        <b/>
        <sz val="14"/>
        <color rgb="FFFF0000"/>
        <rFont val="Calibri"/>
        <family val="2"/>
      </rPr>
      <t>3D</t>
    </r>
  </si>
  <si>
    <t>shipped:
qty 19 on 12/5
qty 10 on 12/4
T/H ONLY
DEPANEL</t>
  </si>
  <si>
    <r>
      <t xml:space="preserve">12/5 - kit clear
</t>
    </r>
    <r>
      <rPr>
        <b/>
        <strike/>
        <sz val="11"/>
        <color rgb="FF000000"/>
        <rFont val="Calibri"/>
        <family val="2"/>
      </rPr>
      <t>12/5 - short SMT C69, FB2, R18 due 12/5
12/4 - may clear 12/5</t>
    </r>
  </si>
  <si>
    <t>136937
NEW</t>
  </si>
  <si>
    <t>12/12
5D</t>
  </si>
  <si>
    <r>
      <rPr>
        <b/>
        <sz val="11"/>
        <color rgb="FFFF0000"/>
        <rFont val="Calibri"/>
      </rPr>
      <t xml:space="preserve">ALTA QUALITY ALERT!!! - ALTA INSTALLED "J21" BACKWARDS
</t>
    </r>
    <r>
      <rPr>
        <b/>
        <sz val="11"/>
        <color rgb="FF000000"/>
        <rFont val="Calibri"/>
      </rPr>
      <t>Lead-Free Wash
SW1 - After Wah</t>
    </r>
  </si>
  <si>
    <t>12/8 - 12:00</t>
  </si>
  <si>
    <t xml:space="preserve">Infraredx Inc.
</t>
  </si>
  <si>
    <t>12/4</t>
  </si>
  <si>
    <t>MSL</t>
  </si>
  <si>
    <r>
      <t xml:space="preserve">clear 12/4
</t>
    </r>
    <r>
      <rPr>
        <b/>
        <strike/>
        <sz val="11"/>
        <color rgb="FF000000"/>
        <rFont val="Calibri"/>
        <family val="2"/>
      </rPr>
      <t>12/3 - ETA 12/4</t>
    </r>
  </si>
  <si>
    <r>
      <t xml:space="preserve">12/5 - kit clear
</t>
    </r>
    <r>
      <rPr>
        <b/>
        <strike/>
        <sz val="11"/>
        <color rgb="FF000000"/>
        <rFont val="Calibri"/>
        <family val="2"/>
      </rPr>
      <t>12/3 - "R39" NO ETA - OK TO SKIP</t>
    </r>
  </si>
  <si>
    <t>136936
NEW</t>
  </si>
  <si>
    <r>
      <rPr>
        <b/>
        <sz val="11"/>
        <color rgb="FF000000"/>
        <rFont val="Calibri"/>
        <family val="2"/>
      </rPr>
      <t xml:space="preserve">DO NOT SKIP PREBAKE
</t>
    </r>
    <r>
      <rPr>
        <b/>
        <u/>
        <sz val="11"/>
        <color rgb="FF000000"/>
        <rFont val="Calibri"/>
        <family val="2"/>
      </rPr>
      <t>POST BAKE 30 MIN</t>
    </r>
    <r>
      <rPr>
        <b/>
        <sz val="11"/>
        <color rgb="FF000000"/>
        <rFont val="Calibri"/>
        <family val="2"/>
      </rPr>
      <t xml:space="preserve"> IF BOARDS ARE WASHED
DEPANEL &amp; SAND</t>
    </r>
  </si>
  <si>
    <t>12/5 - 11:00</t>
  </si>
  <si>
    <t>12/6 - 7:00</t>
  </si>
  <si>
    <t>12/6 - 9:00</t>
  </si>
  <si>
    <t xml:space="preserve">Nextern, Inc.
</t>
  </si>
  <si>
    <r>
      <t xml:space="preserve">clear 11/25
</t>
    </r>
    <r>
      <rPr>
        <b/>
        <strike/>
        <sz val="11"/>
        <color rgb="FF000000"/>
        <rFont val="Calibri"/>
        <family val="2"/>
      </rPr>
      <t>short due 11/21</t>
    </r>
  </si>
  <si>
    <t>11/19 - matl clear</t>
  </si>
  <si>
    <t>11/24 - Flux requirement</t>
  </si>
  <si>
    <t>136429
NEW</t>
  </si>
  <si>
    <t>12/11
10D</t>
  </si>
  <si>
    <t>DO NOT SKIP PCB PREBAKE
SEE ROBERT - "LOW ACID, HALIDE FREE REQ"
DEPANEL
OVERPACK
NEED LABEL ON BAG AND BOX AS WELL</t>
  </si>
  <si>
    <t>11/26 - 10:00</t>
  </si>
  <si>
    <t>11/26 - 2:30</t>
  </si>
  <si>
    <t>11/19</t>
  </si>
  <si>
    <t>12/4 - kit clear</t>
  </si>
  <si>
    <t>136357
NEW</t>
  </si>
  <si>
    <t>12/11
5D</t>
  </si>
  <si>
    <r>
      <rPr>
        <b/>
        <sz val="11"/>
        <color rgb="FF000000"/>
        <rFont val="Calibri"/>
        <family val="2"/>
      </rPr>
      <t xml:space="preserve">NO CLEAN BUILD
</t>
    </r>
    <r>
      <rPr>
        <b/>
        <sz val="11"/>
        <color rgb="FFFF0000"/>
        <rFont val="Calibri"/>
        <family val="2"/>
      </rPr>
      <t xml:space="preserve">*** "PTH1, PTH2" MAKE SURE NO SOLDER IN HOLES - MASK PER ECO IF NEEDED
</t>
    </r>
    <r>
      <rPr>
        <b/>
        <sz val="11"/>
        <color rgb="FF000000"/>
        <rFont val="Calibri"/>
        <family val="2"/>
      </rPr>
      <t>DEPANEL
hold excess material</t>
    </r>
  </si>
  <si>
    <t>12/8 - 10:30</t>
  </si>
  <si>
    <t>12/8 - 11:30</t>
  </si>
  <si>
    <t>DOC REL 12/3</t>
  </si>
  <si>
    <r>
      <t xml:space="preserve">clear 12/4
</t>
    </r>
    <r>
      <rPr>
        <b/>
        <strike/>
        <sz val="11"/>
        <color rgb="FF000000"/>
        <rFont val="Calibri"/>
        <family val="2"/>
      </rPr>
      <t>short due 12/5</t>
    </r>
  </si>
  <si>
    <t>12/2 - matl clear</t>
  </si>
  <si>
    <t>137000
RONC 136787</t>
  </si>
  <si>
    <t>12/8 - 9:30</t>
  </si>
  <si>
    <r>
      <t xml:space="preserve">clear 12/1
</t>
    </r>
    <r>
      <rPr>
        <b/>
        <strike/>
        <sz val="11"/>
        <color rgb="FF000000"/>
        <rFont val="Calibri"/>
        <family val="2"/>
      </rPr>
      <t>short due 11/26</t>
    </r>
  </si>
  <si>
    <r>
      <t xml:space="preserve">12/4 - kit clear
</t>
    </r>
    <r>
      <rPr>
        <b/>
        <strike/>
        <sz val="11"/>
        <color rgb="FF000000"/>
        <rFont val="Calibri"/>
        <family val="2"/>
      </rPr>
      <t>12/1 - short SMT D3 ETA 12/4 (will recvd 2885 &amp; BTD for bal. &amp; MODU_LEI, no</t>
    </r>
    <r>
      <rPr>
        <b/>
        <sz val="11"/>
        <color rgb="FF000000"/>
        <rFont val="Calibri"/>
        <family val="2"/>
      </rPr>
      <t xml:space="preserve"> 
</t>
    </r>
    <r>
      <rPr>
        <b/>
        <strike/>
        <sz val="11"/>
        <color rgb="FF000000"/>
        <rFont val="Calibri"/>
        <family val="2"/>
      </rPr>
      <t>11/26 - short SMT 3x  items, no ETA</t>
    </r>
  </si>
  <si>
    <t>136872-PAR
NEW</t>
  </si>
  <si>
    <r>
      <rPr>
        <b/>
        <sz val="11"/>
        <color rgb="FF000000"/>
        <rFont val="Calibri"/>
        <family val="2"/>
      </rPr>
      <t xml:space="preserve">balance remain qty 12
ok to solder mask exposed copper
</t>
    </r>
    <r>
      <rPr>
        <b/>
        <strike/>
        <sz val="11"/>
        <color rgb="FF000000"/>
        <rFont val="Calibri"/>
        <family val="2"/>
      </rPr>
      <t xml:space="preserve">12/3 - "D3" IS NOW BTD
</t>
    </r>
    <r>
      <rPr>
        <b/>
        <sz val="11"/>
        <color rgb="FF000000"/>
        <rFont val="Calibri"/>
        <family val="2"/>
      </rPr>
      <t xml:space="preserve">DO NOT SKIP AOI
RoHS CoC REQ PER ECO
</t>
    </r>
    <r>
      <rPr>
        <b/>
        <u/>
        <sz val="11"/>
        <color rgb="FF000000"/>
        <rFont val="Calibri"/>
        <family val="2"/>
      </rPr>
      <t xml:space="preserve">SEE ECO NOTE 6 FOR PACKAGING IDENTIFICATION
</t>
    </r>
    <r>
      <rPr>
        <b/>
        <sz val="11"/>
        <color rgb="FF000000"/>
        <rFont val="Calibri"/>
        <family val="2"/>
      </rPr>
      <t>DEPANEL</t>
    </r>
  </si>
  <si>
    <r>
      <t xml:space="preserve">clear 11/11
</t>
    </r>
    <r>
      <rPr>
        <b/>
        <strike/>
        <sz val="11"/>
        <color rgb="FF000000"/>
        <rFont val="Calibri"/>
        <family val="2"/>
      </rPr>
      <t>short due 10/31 10/9</t>
    </r>
  </si>
  <si>
    <r>
      <t xml:space="preserve">10/13 - matl clear
</t>
    </r>
    <r>
      <rPr>
        <b/>
        <strike/>
        <sz val="11"/>
        <color rgb="FF000000"/>
        <rFont val="Calibri"/>
        <family val="2"/>
      </rPr>
      <t>10/1 - short SMT U1_1 (qty 3k), no ETA</t>
    </r>
  </si>
  <si>
    <t>12/5 - req new stencil U25 bridging
11/25 - SMT top side 1st</t>
  </si>
  <si>
    <t>134317
RONC 132723</t>
  </si>
  <si>
    <t>12/11
20D</t>
  </si>
  <si>
    <t>Future Build: Trinh requets No-Clean process
*** 100% INSP REQ - BOARDS MUST BE PERFECT!!!
"L1, L2" AFTER WASH
DEPANEL</t>
  </si>
  <si>
    <t>11/26 - 10:30</t>
  </si>
  <si>
    <t>DOC REL 9/8</t>
  </si>
  <si>
    <t>10/1</t>
  </si>
  <si>
    <r>
      <t xml:space="preserve">clear 11/11
</t>
    </r>
    <r>
      <rPr>
        <b/>
        <strike/>
        <sz val="11"/>
        <color rgb="FF000000"/>
        <rFont val="Calibri"/>
        <family val="2"/>
      </rPr>
      <t>short, no ETA 11/4 10/31</t>
    </r>
  </si>
  <si>
    <r>
      <t xml:space="preserve">10/22 - matl clear
</t>
    </r>
    <r>
      <rPr>
        <b/>
        <strike/>
        <sz val="11"/>
        <color rgb="FF000000"/>
        <rFont val="Calibri"/>
        <family val="2"/>
      </rPr>
      <t>10/13 - awt SMT part conf U38</t>
    </r>
  </si>
  <si>
    <t>134319
RONC 132705</t>
  </si>
  <si>
    <r>
      <rPr>
        <b/>
        <sz val="12"/>
        <color rgb="FF000000"/>
        <rFont val="Calibri"/>
        <family val="2"/>
      </rPr>
      <t xml:space="preserve">Future Build: Trinh request No-Clean process
*** </t>
    </r>
    <r>
      <rPr>
        <b/>
        <sz val="12"/>
        <color rgb="FFFF0000"/>
        <rFont val="Calibri"/>
        <family val="2"/>
      </rPr>
      <t xml:space="preserve">100% INSP REQ - BOARDS MUST BE PERFECT!!!
</t>
    </r>
    <r>
      <rPr>
        <b/>
        <sz val="12"/>
        <color rgb="FF000000"/>
        <rFont val="Calibri"/>
        <family val="2"/>
      </rPr>
      <t xml:space="preserve">***QUALITY ALERT - "D46, D54, U2, U23, U33, LS1, R23" POOR WORKMANSHIP PER ECO #A
"LS1, S1, S2, U42, MP1x8, BT1" AFTER WASH
DEPANEL &amp; SAND
</t>
    </r>
    <r>
      <rPr>
        <b/>
        <u/>
        <sz val="12"/>
        <color rgb="FF000000"/>
        <rFont val="Calibri"/>
        <family val="2"/>
      </rPr>
      <t>rtv required</t>
    </r>
  </si>
  <si>
    <t>11/26 - 6:00</t>
  </si>
  <si>
    <t>12/4 - 12:00</t>
  </si>
  <si>
    <t>DOC REL 9/9</t>
  </si>
  <si>
    <t>10/13</t>
  </si>
  <si>
    <r>
      <t xml:space="preserve">clear 12/3 </t>
    </r>
    <r>
      <rPr>
        <b/>
        <strike/>
        <sz val="11"/>
        <color rgb="FF000000"/>
        <rFont val="Calibri"/>
        <family val="2"/>
      </rPr>
      <t>short, no ETA</t>
    </r>
    <r>
      <rPr>
        <b/>
        <sz val="11"/>
        <color rgb="FF000000"/>
        <rFont val="Calibri"/>
        <family val="2"/>
      </rPr>
      <t xml:space="preserve"> (customer consigned)</t>
    </r>
  </si>
  <si>
    <r>
      <t xml:space="preserve">11/25 - matl clear
</t>
    </r>
    <r>
      <rPr>
        <b/>
        <strike/>
        <sz val="11"/>
        <color rgb="FF000000"/>
        <rFont val="Calibri"/>
        <family val="2"/>
      </rPr>
      <t>11/14 - short SMT Y1 - due 11/24 &amp; U24 (customer consigned) - no ETA
short THT P1 11/18</t>
    </r>
  </si>
  <si>
    <t>136507
NEW</t>
  </si>
  <si>
    <t>12/10
5D</t>
  </si>
  <si>
    <r>
      <rPr>
        <b/>
        <sz val="11"/>
        <color rgb="FF000000"/>
        <rFont val="Calibri"/>
        <family val="2"/>
      </rPr>
      <t xml:space="preserve">DPAS RATING: DO-A7
no markings/stamps
CLASS 3
SOLDER PASTE INSP REQ (SEE ROBERT BEFORE RUNNING)
CUST TO SUPPLY PRESS FIT FIXTURE
LEAD FREE, NO CLEAN
USE ALPHA OM340
X-RAY &amp; SAVE IMAGES
</t>
    </r>
    <r>
      <rPr>
        <b/>
        <u/>
        <sz val="11"/>
        <color rgb="FF000000"/>
        <rFont val="Calibri"/>
        <family val="2"/>
      </rPr>
      <t xml:space="preserve">RTV &amp; LOCTITE 242 REQ
</t>
    </r>
    <r>
      <rPr>
        <b/>
        <sz val="11"/>
        <color rgb="FF000000"/>
        <rFont val="Calibri"/>
        <family val="2"/>
      </rPr>
      <t xml:space="preserve">DEPANEL &amp; SAND
</t>
    </r>
    <r>
      <rPr>
        <b/>
        <u/>
        <sz val="11"/>
        <color rgb="FF000000"/>
        <rFont val="Calibri"/>
        <family val="2"/>
      </rPr>
      <t>Overpack &amp; ESD warnings
mechanical &amp; torque (1.85 in-lb)</t>
    </r>
  </si>
  <si>
    <t>12/4 - 10:30</t>
  </si>
  <si>
    <t>12/4 - 9:00</t>
  </si>
  <si>
    <t>12/5 - 2:30</t>
  </si>
  <si>
    <t>11/14</t>
  </si>
  <si>
    <r>
      <t xml:space="preserve">clear 11/24
</t>
    </r>
    <r>
      <rPr>
        <b/>
        <strike/>
        <sz val="11"/>
        <color rgb="FF000000"/>
        <rFont val="Calibri"/>
        <family val="2"/>
      </rPr>
      <t>short due 12/3</t>
    </r>
  </si>
  <si>
    <t>11/20 - matl clear</t>
  </si>
  <si>
    <t>136702
NEW</t>
  </si>
  <si>
    <t>12/10
10D</t>
  </si>
  <si>
    <t>DO NOT SKIP PCB PREBAKE
LEADFREE NO CLEAN REQ"
DEPANEL</t>
  </si>
  <si>
    <t>11/25 - 10:30</t>
  </si>
  <si>
    <t>11/25 - 1:00</t>
  </si>
  <si>
    <t xml:space="preserve">Luna Innovations, Inc.
</t>
  </si>
  <si>
    <t>11/20</t>
  </si>
  <si>
    <r>
      <t xml:space="preserve">clear 12/1 </t>
    </r>
    <r>
      <rPr>
        <b/>
        <strike/>
        <sz val="11"/>
        <color rgb="FF000000"/>
        <rFont val="Calibri"/>
        <family val="2"/>
      </rPr>
      <t>short, no ETA 11/24 *No track #, pcb come fr. Summit Chicago</t>
    </r>
  </si>
  <si>
    <r>
      <rPr>
        <b/>
        <sz val="11"/>
        <color rgb="FF000000"/>
        <rFont val="Calibri"/>
        <family val="2"/>
      </rPr>
      <t>11/21 -MAT CLEAR *CUST REQ 3-5 BRDS EARLY. -</t>
    </r>
    <r>
      <rPr>
        <b/>
        <strike/>
        <sz val="11"/>
        <color rgb="FF000000"/>
        <rFont val="Calibri"/>
        <family val="2"/>
      </rPr>
      <t xml:space="preserve">11/16 short SMT TP14 (qty 2100), no ETA Short THT SHLD, no ETA </t>
    </r>
  </si>
  <si>
    <t>12/5 - ship 12/10 (Anne/Tad)
11/26 - expect expedite</t>
  </si>
  <si>
    <r>
      <rPr>
        <b/>
        <sz val="14"/>
        <color rgb="FF000000"/>
        <rFont val="Calibri"/>
        <family val="2"/>
      </rPr>
      <t xml:space="preserve">12/10
</t>
    </r>
    <r>
      <rPr>
        <b/>
        <strike/>
        <sz val="14"/>
        <color rgb="FF000000"/>
        <rFont val="Calibri"/>
        <family val="2"/>
      </rPr>
      <t xml:space="preserve">12/08
</t>
    </r>
    <r>
      <rPr>
        <b/>
        <sz val="14"/>
        <color rgb="FF000000"/>
        <rFont val="Calibri"/>
        <family val="2"/>
      </rPr>
      <t>5D</t>
    </r>
  </si>
  <si>
    <r>
      <rPr>
        <b/>
        <sz val="14"/>
        <color rgb="FFFF0000"/>
        <rFont val="Calibri"/>
        <family val="2"/>
      </rPr>
      <t xml:space="preserve">** DPAS RATING - DO-A7 **
</t>
    </r>
    <r>
      <rPr>
        <b/>
        <sz val="11"/>
        <color rgb="FF000000"/>
        <rFont val="Calibri"/>
        <family val="2"/>
      </rPr>
      <t xml:space="preserve">Trinh requests masking done on test points for next build
</t>
    </r>
    <r>
      <rPr>
        <b/>
        <u/>
        <sz val="11"/>
        <color rgb="FF000000"/>
        <rFont val="Calibri"/>
        <family val="2"/>
      </rPr>
      <t xml:space="preserve">TEST POINT COLORED TABS </t>
    </r>
    <r>
      <rPr>
        <b/>
        <sz val="11"/>
        <color rgb="FF000000"/>
        <rFont val="Calibri"/>
        <family val="2"/>
      </rPr>
      <t xml:space="preserve">CAN FALL OFF IN THE WASH
CLASS 3
LEAD FREE WASH
DNI F4 &amp; F2 and ship with boards
exposed CU s/n 0105 (mark ESD bag of board w/issue)
clip shield leads before install
post-bake (1 hr) per Trinh
</t>
    </r>
    <r>
      <rPr>
        <b/>
        <sz val="11"/>
        <color rgb="FFFF0000"/>
        <rFont val="Calibri"/>
        <family val="2"/>
      </rPr>
      <t>"J7" TRIM GUIDE PINS BEFORE INSTALLING</t>
    </r>
  </si>
  <si>
    <t>12/1 - 7:30</t>
  </si>
  <si>
    <t>12/1 - 10:00</t>
  </si>
  <si>
    <t>12/3 - 9:00</t>
  </si>
  <si>
    <t>10/16</t>
  </si>
  <si>
    <t>test point colored tabs</t>
  </si>
  <si>
    <t>clear 12/1</t>
  </si>
  <si>
    <t>12/1 - kit clear</t>
  </si>
  <si>
    <t>12/1 - day 1 is 12/3 (Anne)</t>
  </si>
  <si>
    <t>12/09
5D</t>
  </si>
  <si>
    <t>balance remain qty 60
Do Not Be Late
DO NOT SKIP PREBAKE
DEPANEL
INSTALL "U4" ON "U4A, U4B" PER ECO
CLEAN BOARDS AFER ASSY</t>
  </si>
  <si>
    <t>12/3 - 9:30</t>
  </si>
  <si>
    <t>12/3 - 10:30</t>
  </si>
  <si>
    <t>12/4 - 7:00</t>
  </si>
  <si>
    <t>HunterLab</t>
  </si>
  <si>
    <r>
      <t xml:space="preserve">clear 11/20
</t>
    </r>
    <r>
      <rPr>
        <b/>
        <strike/>
        <sz val="11"/>
        <color rgb="FF000000"/>
        <rFont val="Calibri"/>
        <family val="2"/>
      </rPr>
      <t>short due 11/24</t>
    </r>
  </si>
  <si>
    <t>136428
NEW</t>
  </si>
  <si>
    <t>12/08
10D</t>
  </si>
  <si>
    <t>11/24 - 12:30</t>
  </si>
  <si>
    <t>11/26 - expect expedite</t>
  </si>
  <si>
    <r>
      <rPr>
        <b/>
        <sz val="14"/>
        <color rgb="FF000000"/>
        <rFont val="Calibri"/>
        <family val="2"/>
      </rPr>
      <t xml:space="preserve">135782-par
NEW
</t>
    </r>
    <r>
      <rPr>
        <b/>
        <sz val="14"/>
        <color rgb="FFFF0000"/>
        <rFont val="Calibri"/>
        <family val="2"/>
      </rPr>
      <t>(DoD-CUI/ ITAR)</t>
    </r>
  </si>
  <si>
    <t>12/08
5D</t>
  </si>
  <si>
    <r>
      <rPr>
        <b/>
        <sz val="14"/>
        <color rgb="FFFF0000"/>
        <rFont val="Calibri"/>
        <family val="2"/>
      </rPr>
      <t xml:space="preserve">** DPAS RATING - DO-A7 **
</t>
    </r>
    <r>
      <rPr>
        <b/>
        <u/>
        <sz val="11"/>
        <color rgb="FF000000"/>
        <rFont val="Calibri"/>
        <family val="2"/>
      </rPr>
      <t xml:space="preserve">TEST POINT COLORED TABS </t>
    </r>
    <r>
      <rPr>
        <b/>
        <sz val="11"/>
        <color rgb="FF000000"/>
        <rFont val="Calibri"/>
        <family val="2"/>
      </rPr>
      <t xml:space="preserve">CAN FALL OFF IN THE WASH
CLASS 3
LEAD FREE WASH
DNI F4 &amp; F2 and ship with boards
exposed CU s/n 0105 (mark ESD bag of board w/issue)
</t>
    </r>
    <r>
      <rPr>
        <b/>
        <sz val="11"/>
        <color rgb="FFFF0000"/>
        <rFont val="Calibri"/>
        <family val="2"/>
      </rPr>
      <t>"J7" TRIM GUIDE PINS BEFORE INSTALLING</t>
    </r>
  </si>
  <si>
    <r>
      <t xml:space="preserve">11/24 - short THT J1, </t>
    </r>
    <r>
      <rPr>
        <b/>
        <strike/>
        <sz val="11"/>
        <color rgb="FF000000"/>
        <rFont val="Calibri"/>
        <family val="2"/>
      </rPr>
      <t xml:space="preserve">no </t>
    </r>
    <r>
      <rPr>
        <b/>
        <sz val="11"/>
        <color rgb="FF000000"/>
        <rFont val="Calibri"/>
        <family val="2"/>
      </rPr>
      <t>ETA 12/1</t>
    </r>
  </si>
  <si>
    <t>136873-2par
NEW</t>
  </si>
  <si>
    <t>EXPEDITE qty 10 shipped 12/4
T/H ONLY
DEPANEL</t>
  </si>
  <si>
    <t>clear 11/26</t>
  </si>
  <si>
    <r>
      <t xml:space="preserve">11/26 - kit clear
</t>
    </r>
    <r>
      <rPr>
        <b/>
        <strike/>
        <sz val="11"/>
        <color rgb="FF000000"/>
        <rFont val="Calibri"/>
        <family val="2"/>
      </rPr>
      <t>11/26 - awt SMT part conf x4</t>
    </r>
  </si>
  <si>
    <t>136809
NEW</t>
  </si>
  <si>
    <t>12/05
5D</t>
  </si>
  <si>
    <t>12/1 - 10:30</t>
  </si>
  <si>
    <t>12/2 - 7:00</t>
  </si>
  <si>
    <t>12/2 - 9:30</t>
  </si>
  <si>
    <t xml:space="preserve">Phoenix Contact, Inc.
</t>
  </si>
  <si>
    <t>xxx</t>
  </si>
  <si>
    <r>
      <t xml:space="preserve">clear 11/26
</t>
    </r>
    <r>
      <rPr>
        <b/>
        <strike/>
        <sz val="11"/>
        <color rgb="FF000000"/>
        <rFont val="Calibri"/>
        <family val="2"/>
      </rPr>
      <t>short due 11/24</t>
    </r>
  </si>
  <si>
    <r>
      <t xml:space="preserve">11/26 - kit clear
</t>
    </r>
    <r>
      <rPr>
        <b/>
        <strike/>
        <sz val="11"/>
        <color rgb="FF000000"/>
        <rFont val="Calibri"/>
        <family val="2"/>
      </rPr>
      <t>11/14 - short THT J2 (due 11/17) &amp; J3 (no ETA)</t>
    </r>
  </si>
  <si>
    <t>136509
ROWC 123189</t>
  </si>
  <si>
    <r>
      <rPr>
        <b/>
        <sz val="11"/>
        <color rgb="FF000000"/>
        <rFont val="Calibri"/>
        <family val="2"/>
      </rPr>
      <t xml:space="preserve">DPAS RATING: DO-A7
CLASS 3
SOLDER PASTE INSP REQ (SEE ROBERT BEFORE RUNNING)
CUST TO SUPPLY PRESS FIT FIXTURE
LEAD FREE, NO CLEAN
USE ALPHA OM340
X-RAY &amp; SAVE IMAGES
</t>
    </r>
    <r>
      <rPr>
        <b/>
        <u/>
        <sz val="11"/>
        <color rgb="FF000000"/>
        <rFont val="Calibri"/>
        <family val="2"/>
      </rPr>
      <t xml:space="preserve">RTV &amp; LOCTITE 242 REQ
</t>
    </r>
    <r>
      <rPr>
        <b/>
        <sz val="11"/>
        <color rgb="FF000000"/>
        <rFont val="Calibri"/>
        <family val="2"/>
      </rPr>
      <t xml:space="preserve">DEPANEL &amp; SAND
</t>
    </r>
    <r>
      <rPr>
        <b/>
        <u/>
        <sz val="11"/>
        <color rgb="FF000000"/>
        <rFont val="Calibri"/>
        <family val="2"/>
      </rPr>
      <t>Overpack &amp; ESD warnings
mechanical &amp; torque req (21 cmN)</t>
    </r>
  </si>
  <si>
    <t>12/1 - 5:00</t>
  </si>
  <si>
    <t>12/1 - 6:30</t>
  </si>
  <si>
    <t>12/1 - 8:00</t>
  </si>
  <si>
    <t>email Robert before SMT start</t>
  </si>
  <si>
    <t>loctite 242 ok to use</t>
  </si>
  <si>
    <t>load to DNI no photos
DNI to load</t>
  </si>
  <si>
    <r>
      <t xml:space="preserve">clear 11/26
</t>
    </r>
    <r>
      <rPr>
        <b/>
        <strike/>
        <sz val="11"/>
        <color rgb="FF000000"/>
        <rFont val="Calibri"/>
        <family val="2"/>
      </rPr>
      <t>short, no ETA</t>
    </r>
  </si>
  <si>
    <r>
      <t xml:space="preserve">11/26 - kit clear
</t>
    </r>
    <r>
      <rPr>
        <b/>
        <strike/>
        <sz val="11"/>
        <color rgb="FF000000"/>
        <rFont val="Calibri"/>
        <family val="2"/>
      </rPr>
      <t>11/11 - short Loctite, no ETA</t>
    </r>
  </si>
  <si>
    <t>136508
NEW</t>
  </si>
  <si>
    <r>
      <rPr>
        <b/>
        <sz val="11"/>
        <color rgb="FF000000"/>
        <rFont val="Calibri"/>
        <family val="2"/>
      </rPr>
      <t xml:space="preserve">DPAS Priority Rating DO-A7
CLASS 3
*** 100% SOLDER PASTE INSPECTION REQ - SEE ROBERT BEFORE RUNNING - ALSO RECORD MEASUREMENTS
No Markings / Stamps
lead-free no-clean (Alpha OM-340)
X-Ray Required &amp; SAVE IMAGES
</t>
    </r>
    <r>
      <rPr>
        <b/>
        <u/>
        <sz val="11"/>
        <color rgb="FF000000"/>
        <rFont val="Calibri"/>
        <family val="2"/>
      </rPr>
      <t xml:space="preserve">Loctite 242 </t>
    </r>
    <r>
      <rPr>
        <b/>
        <sz val="11"/>
        <color rgb="FF000000"/>
        <rFont val="Calibri"/>
        <family val="2"/>
      </rPr>
      <t>prior to solder "J1 - J3" w/torque specs
J3 nuts missing - ok to ship (Tad)
Overpack w/ ESD warning labels</t>
    </r>
  </si>
  <si>
    <t>12/1 - 11:30</t>
  </si>
  <si>
    <r>
      <t xml:space="preserve">clear 11/19
</t>
    </r>
    <r>
      <rPr>
        <b/>
        <strike/>
        <sz val="11"/>
        <color rgb="FF000000"/>
        <rFont val="Calibri"/>
        <family val="2"/>
      </rPr>
      <t>short, no ETA 11/25 11/21</t>
    </r>
  </si>
  <si>
    <t>11/11 - matl clear</t>
  </si>
  <si>
    <t>136176
NEW</t>
  </si>
  <si>
    <t>12/05
10D</t>
  </si>
  <si>
    <t>DO NOT SKIP PREBAKE
"SW1" AFTER WASH
DEPANEL</t>
  </si>
  <si>
    <t>11/24 - 11:30</t>
  </si>
  <si>
    <t>11/24 - 1:30</t>
  </si>
  <si>
    <t xml:space="preserve">Machine Solutions Inc
</t>
  </si>
  <si>
    <r>
      <t xml:space="preserve">11/20 - kit clear
</t>
    </r>
    <r>
      <rPr>
        <b/>
        <strike/>
        <sz val="11"/>
        <color rgb="FF000000"/>
        <rFont val="Calibri"/>
        <family val="2"/>
      </rPr>
      <t>10/23 - short SMT U22 (qty 250), no ETA 11/19</t>
    </r>
  </si>
  <si>
    <t>11/19 - day 1 is 12/1 (Anne)
11/19 - okay to teardown (Anne)</t>
  </si>
  <si>
    <r>
      <rPr>
        <b/>
        <sz val="14"/>
        <color rgb="FF000000"/>
        <rFont val="Calibri"/>
        <family val="2"/>
      </rPr>
      <t xml:space="preserve">136078-par
ROWC 132426
</t>
    </r>
    <r>
      <rPr>
        <b/>
        <sz val="14"/>
        <color rgb="FFFF0000"/>
        <rFont val="Calibri"/>
        <family val="2"/>
      </rPr>
      <t>(DoD-CUI/ ITAR)</t>
    </r>
  </si>
  <si>
    <r>
      <rPr>
        <b/>
        <sz val="11"/>
        <color rgb="FF000000"/>
        <rFont val="Calibri"/>
        <family val="2"/>
      </rPr>
      <t xml:space="preserve">Expected Split Shipment:
Balance remaining 15
*** </t>
    </r>
    <r>
      <rPr>
        <b/>
        <sz val="11"/>
        <color rgb="FFFF0000"/>
        <rFont val="Calibri"/>
        <family val="2"/>
      </rPr>
      <t xml:space="preserve">100% INSP REQ - BOARDS MUST BE PERFECT!!!
</t>
    </r>
    <r>
      <rPr>
        <b/>
        <sz val="11"/>
        <color rgb="FF000000"/>
        <rFont val="Calibri"/>
        <family val="2"/>
      </rPr>
      <t>LEAD FREE NO CLEAN
*** SAC305 REQUIRED
"U13, SW1" ARE MOISTURE SENSITIVE
DEPANEL &amp; SAND
SEE ECO #10 FOR CofC
PACKAGE W/ EXTRA CARE</t>
    </r>
  </si>
  <si>
    <t>11/24 - 6:00</t>
  </si>
  <si>
    <t>11/24 - 8:00</t>
  </si>
  <si>
    <t>11/24 - 10:30</t>
  </si>
  <si>
    <r>
      <t xml:space="preserve">clear 11/25
</t>
    </r>
    <r>
      <rPr>
        <b/>
        <strike/>
        <sz val="11"/>
        <color rgb="FF000000"/>
        <rFont val="Calibri"/>
        <family val="2"/>
      </rPr>
      <t>short due 11/25
short SOME, no ETA 8/28</t>
    </r>
  </si>
  <si>
    <r>
      <t xml:space="preserve">8/28 - matl clear
</t>
    </r>
    <r>
      <rPr>
        <b/>
        <strike/>
        <sz val="11"/>
        <color rgb="FF000000"/>
        <rFont val="Calibri"/>
        <family val="2"/>
      </rPr>
      <t>8/27 - short SMT D7.., no ETA</t>
    </r>
  </si>
  <si>
    <r>
      <rPr>
        <b/>
        <sz val="11"/>
        <color rgb="FF000000"/>
        <rFont val="Calibri"/>
        <family val="2"/>
      </rPr>
      <t xml:space="preserve">11/25 </t>
    </r>
    <r>
      <rPr>
        <b/>
        <strike/>
        <sz val="11"/>
        <color rgb="FF000000"/>
        <rFont val="Calibri"/>
        <family val="2"/>
      </rPr>
      <t xml:space="preserve">- 2 OF 5 BOARDS W/ ISSUES
</t>
    </r>
    <r>
      <rPr>
        <b/>
        <sz val="11"/>
        <color rgb="FF000000"/>
        <rFont val="Calibri"/>
        <family val="2"/>
      </rPr>
      <t xml:space="preserve">9/3 - </t>
    </r>
    <r>
      <rPr>
        <b/>
        <strike/>
        <sz val="11"/>
        <color rgb="FF000000"/>
        <rFont val="Calibri"/>
        <family val="2"/>
      </rPr>
      <t>ON HOLD (CUST)</t>
    </r>
  </si>
  <si>
    <r>
      <rPr>
        <b/>
        <sz val="13"/>
        <color rgb="FF000000"/>
        <rFont val="Calibri"/>
        <family val="2"/>
      </rPr>
      <t xml:space="preserve">134220
ROWC 133578
</t>
    </r>
    <r>
      <rPr>
        <b/>
        <sz val="13"/>
        <color rgb="FFFF0000"/>
        <rFont val="Calibri"/>
        <family val="2"/>
      </rPr>
      <t>(DoD-CUI/ ITAR</t>
    </r>
    <r>
      <rPr>
        <b/>
        <sz val="13"/>
        <color rgb="FF000000"/>
        <rFont val="Calibri"/>
        <family val="2"/>
      </rPr>
      <t>)</t>
    </r>
  </si>
  <si>
    <t>12/04
5D</t>
  </si>
  <si>
    <r>
      <rPr>
        <b/>
        <sz val="11"/>
        <color rgb="FFFF0000"/>
        <rFont val="Calibri"/>
        <family val="2"/>
      </rPr>
      <t xml:space="preserve">ALERT! </t>
    </r>
    <r>
      <rPr>
        <b/>
        <sz val="11"/>
        <color rgb="FF000000"/>
        <rFont val="Calibri"/>
        <family val="2"/>
      </rPr>
      <t xml:space="preserve">confirm w/Robert bare boards okay to use before SMT start
</t>
    </r>
    <r>
      <rPr>
        <b/>
        <sz val="14"/>
        <color rgb="FFFF0000"/>
        <rFont val="Calibri"/>
        <family val="2"/>
      </rPr>
      <t xml:space="preserve">*** </t>
    </r>
    <r>
      <rPr>
        <b/>
        <u/>
        <sz val="12"/>
        <color rgb="FFFF0000"/>
        <rFont val="Calibri"/>
        <family val="2"/>
      </rPr>
      <t>ALTA ALERT!!!</t>
    </r>
    <r>
      <rPr>
        <b/>
        <sz val="12"/>
        <color rgb="FFFF0000"/>
        <rFont val="Calibri"/>
        <family val="2"/>
      </rPr>
      <t xml:space="preserve"> - INCREASE WASH SPEED (PARTS DAMAGED IN WASH LAST BUILD)
</t>
    </r>
    <r>
      <rPr>
        <b/>
        <sz val="11"/>
        <color rgb="FF000000"/>
        <rFont val="Calibri"/>
        <family val="2"/>
      </rPr>
      <t>CLASS 3
"LP_A, LP_B" INSTALL PER ECO
"J100" PRESS FIT PER ECO
"PA, PB, PC" PRESS FIT
"A1" DAUGHTER CARD (</t>
    </r>
    <r>
      <rPr>
        <b/>
        <sz val="11"/>
        <color rgb="FFFF0000"/>
        <rFont val="Calibri"/>
        <family val="2"/>
      </rPr>
      <t xml:space="preserve">B134469 </t>
    </r>
    <r>
      <rPr>
        <b/>
        <sz val="11"/>
        <color rgb="FF000000"/>
        <rFont val="Calibri"/>
        <family val="2"/>
      </rPr>
      <t xml:space="preserve">- new)
</t>
    </r>
    <r>
      <rPr>
        <b/>
        <u/>
        <sz val="11"/>
        <color rgb="FF000000"/>
        <rFont val="Calibri"/>
        <family val="2"/>
      </rPr>
      <t xml:space="preserve">"SCR_M2, WAS_M2" INSTALL PER ECO
</t>
    </r>
    <r>
      <rPr>
        <b/>
        <sz val="11"/>
        <color rgb="FF000000"/>
        <rFont val="Calibri"/>
        <family val="2"/>
      </rPr>
      <t>POST BAKE 30-MIN</t>
    </r>
  </si>
  <si>
    <t>11/26 - 5:00</t>
  </si>
  <si>
    <t>11/26 - 8:00</t>
  </si>
  <si>
    <t>DOC REL 8/25</t>
  </si>
  <si>
    <t>8/27</t>
  </si>
  <si>
    <t>many changes
uploaded</t>
  </si>
  <si>
    <r>
      <t xml:space="preserve">clear 11/25
</t>
    </r>
    <r>
      <rPr>
        <b/>
        <strike/>
        <sz val="11"/>
        <color rgb="FF000000"/>
        <rFont val="Calibri"/>
        <family val="2"/>
      </rPr>
      <t>SHORT, ETA 11/26</t>
    </r>
  </si>
  <si>
    <r>
      <rPr>
        <b/>
        <sz val="11"/>
        <color rgb="FF000000"/>
        <rFont val="Calibri"/>
        <family val="2"/>
      </rPr>
      <t xml:space="preserve">11/16 - MATERIAL CLEAR </t>
    </r>
    <r>
      <rPr>
        <b/>
        <strike/>
        <sz val="11"/>
        <color rgb="FF000000"/>
        <rFont val="Calibri"/>
        <family val="2"/>
      </rPr>
      <t xml:space="preserve">/U9 (SMT) WAIT FOR C/F. </t>
    </r>
    <r>
      <rPr>
        <b/>
        <sz val="11"/>
        <color rgb="FF000000"/>
        <rFont val="Calibri"/>
        <family val="2"/>
      </rPr>
      <t>*CUST REQ TO SHIP BEFORE 12/5 EVEN IF PARTIAL ORDER COMPLETE.</t>
    </r>
  </si>
  <si>
    <t>136681
NEW</t>
  </si>
  <si>
    <r>
      <rPr>
        <b/>
        <sz val="11"/>
        <color rgb="FF000000"/>
        <rFont val="Calibri"/>
        <family val="2"/>
      </rPr>
      <t xml:space="preserve">Ship by 12/5 (even partial)
XRAY &amp; SAVE IMAGES
</t>
    </r>
    <r>
      <rPr>
        <b/>
        <u/>
        <sz val="11"/>
        <color rgb="FF000000"/>
        <rFont val="Calibri"/>
        <family val="2"/>
      </rPr>
      <t xml:space="preserve">install nuts &amp; washers
</t>
    </r>
    <r>
      <rPr>
        <b/>
        <sz val="11"/>
        <color rgb="FF000000"/>
        <rFont val="Calibri"/>
        <family val="2"/>
      </rPr>
      <t xml:space="preserve">DEPANEL
</t>
    </r>
    <r>
      <rPr>
        <b/>
        <sz val="11"/>
        <color rgb="FFFF0000"/>
        <rFont val="Calibri"/>
        <family val="2"/>
      </rPr>
      <t>*** ALL PART/EXCESS MATERIAL BAGS MUST BE HEAT SEALED</t>
    </r>
  </si>
  <si>
    <t>11/26 - 3:00</t>
  </si>
  <si>
    <t>11/21</t>
  </si>
  <si>
    <t>wash process ?</t>
  </si>
  <si>
    <r>
      <t xml:space="preserve">clear 11/4
</t>
    </r>
    <r>
      <rPr>
        <b/>
        <strike/>
        <sz val="11"/>
        <color rgb="FF000000"/>
        <rFont val="Calibri"/>
        <family val="2"/>
      </rPr>
      <t>short due 11/6</t>
    </r>
  </si>
  <si>
    <r>
      <t xml:space="preserve">9/10 - matl clear
</t>
    </r>
    <r>
      <rPr>
        <b/>
        <strike/>
        <sz val="11"/>
        <color rgb="FF000000"/>
        <rFont val="Calibri"/>
        <family val="2"/>
      </rPr>
      <t>9/2 - short SMT U61 qty 254, no ETA</t>
    </r>
  </si>
  <si>
    <t>11/19 - SMT comp qty 120</t>
  </si>
  <si>
    <r>
      <rPr>
        <b/>
        <sz val="13"/>
        <color rgb="FF000000"/>
        <rFont val="Calibri"/>
        <family val="2"/>
      </rPr>
      <t xml:space="preserve">133972
NEW
</t>
    </r>
    <r>
      <rPr>
        <b/>
        <sz val="13"/>
        <color rgb="FFFF0000"/>
        <rFont val="Calibri"/>
        <family val="2"/>
      </rPr>
      <t>(DoD-CUI/ ITAR)</t>
    </r>
  </si>
  <si>
    <t>12/04 
20D</t>
  </si>
  <si>
    <t>11/15 - 7:00</t>
  </si>
  <si>
    <t>11/18 - 8:00</t>
  </si>
  <si>
    <t>DOC REL 8/18</t>
  </si>
  <si>
    <t>9/5</t>
  </si>
  <si>
    <t>136873-1par
NEW</t>
  </si>
  <si>
    <r>
      <rPr>
        <b/>
        <sz val="14"/>
        <color rgb="FF000000"/>
        <rFont val="Calibri"/>
        <family val="2"/>
      </rPr>
      <t xml:space="preserve">12/4
</t>
    </r>
    <r>
      <rPr>
        <b/>
        <sz val="14"/>
        <color rgb="FFFF0000"/>
        <rFont val="Calibri"/>
        <family val="2"/>
      </rPr>
      <t>3D</t>
    </r>
  </si>
  <si>
    <t>EXPEDITE qty 10
balance qty 20
T/H ONLY
DEPANEL</t>
  </si>
  <si>
    <r>
      <t xml:space="preserve">clear 11/19
</t>
    </r>
    <r>
      <rPr>
        <b/>
        <strike/>
        <sz val="11"/>
        <color rgb="FF000000"/>
        <rFont val="Calibri"/>
        <family val="2"/>
      </rPr>
      <t>short, no ETA 11/20</t>
    </r>
  </si>
  <si>
    <t>11/14 - matl clear</t>
  </si>
  <si>
    <r>
      <rPr>
        <b/>
        <sz val="11"/>
        <color rgb="FF000000"/>
        <rFont val="Calibri"/>
        <family val="2"/>
      </rPr>
      <t xml:space="preserve">11/24 - J3 doesn't fit properly
11/21 - </t>
    </r>
    <r>
      <rPr>
        <b/>
        <strike/>
        <sz val="11"/>
        <color rgb="FFFF0000"/>
        <rFont val="Calibri"/>
        <family val="2"/>
      </rPr>
      <t>array doesn't match stencil</t>
    </r>
  </si>
  <si>
    <t>136604
NEW</t>
  </si>
  <si>
    <r>
      <rPr>
        <b/>
        <sz val="14"/>
        <color rgb="FF000000"/>
        <rFont val="Calibri"/>
        <family val="2"/>
      </rPr>
      <t xml:space="preserve">12/03
</t>
    </r>
    <r>
      <rPr>
        <b/>
        <strike/>
        <sz val="14"/>
        <color rgb="FF000000"/>
        <rFont val="Calibri"/>
        <family val="2"/>
      </rPr>
      <t xml:space="preserve">11/26
</t>
    </r>
    <r>
      <rPr>
        <b/>
        <sz val="14"/>
        <color rgb="FF000000"/>
        <rFont val="Calibri"/>
        <family val="2"/>
      </rPr>
      <t>5D</t>
    </r>
  </si>
  <si>
    <t>DO NOT SKIP PREBAKE
DO NOT SKIP AOI
DEPANEL
SEE ECO FOR CofC INFO
OVERPACK</t>
  </si>
  <si>
    <t>11/24 - 2:30</t>
  </si>
  <si>
    <r>
      <t xml:space="preserve">clear 11/14
</t>
    </r>
    <r>
      <rPr>
        <b/>
        <strike/>
        <sz val="11"/>
        <color rgb="FF000000"/>
        <rFont val="Calibri"/>
        <family val="2"/>
      </rPr>
      <t>short due 11/19</t>
    </r>
  </si>
  <si>
    <r>
      <t xml:space="preserve">11/14 - kit clear
</t>
    </r>
    <r>
      <rPr>
        <b/>
        <strike/>
        <sz val="11"/>
        <color rgb="FF000000"/>
        <rFont val="Calibri"/>
        <family val="2"/>
      </rPr>
      <t>11/6 - short thermal compound, no ETA</t>
    </r>
  </si>
  <si>
    <t>11/14 - day 1 is 11/18 (Anne)</t>
  </si>
  <si>
    <t>136479
RONC 133509</t>
  </si>
  <si>
    <t>12/03
10D</t>
  </si>
  <si>
    <r>
      <rPr>
        <b/>
        <sz val="11"/>
        <color rgb="FF000000"/>
        <rFont val="Calibri"/>
        <family val="2"/>
      </rPr>
      <t xml:space="preserve">"C29, C30" AFTER WASH
TRIM LEADS "0.04" MAX
</t>
    </r>
    <r>
      <rPr>
        <b/>
        <u/>
        <sz val="11"/>
        <color rgb="FF000000"/>
        <rFont val="Calibri"/>
        <family val="2"/>
      </rPr>
      <t xml:space="preserve">"F1, 2, 3" INSTALL FUSES
"HS1" THERMAL COMPOUND, nuts, washers, screws &amp; </t>
    </r>
    <r>
      <rPr>
        <b/>
        <strike/>
        <u/>
        <sz val="11"/>
        <color rgb="FF000000"/>
        <rFont val="Calibri"/>
        <family val="2"/>
      </rPr>
      <t>torque</t>
    </r>
    <r>
      <rPr>
        <b/>
        <u/>
        <sz val="11"/>
        <color rgb="FF000000"/>
        <rFont val="Calibri"/>
        <family val="2"/>
      </rPr>
      <t xml:space="preserve"> REQ PER ECO (6/12 - HAND TIGHT (NO TORQUE) ROBERT)
</t>
    </r>
    <r>
      <rPr>
        <b/>
        <sz val="11"/>
        <color rgb="FF000000"/>
        <rFont val="Calibri"/>
        <family val="2"/>
      </rPr>
      <t xml:space="preserve">DEPANEL
</t>
    </r>
    <r>
      <rPr>
        <b/>
        <u/>
        <sz val="11"/>
        <color rgb="FF000000"/>
        <rFont val="Calibri"/>
        <family val="2"/>
      </rPr>
      <t>shipping: RoHS stamp &amp; post-bake required (30 min)</t>
    </r>
  </si>
  <si>
    <t>11/21 - 11:00</t>
  </si>
  <si>
    <t>11/21 - 2:30</t>
  </si>
  <si>
    <t>DOC REL 11/5</t>
  </si>
  <si>
    <t>11/6</t>
  </si>
  <si>
    <t>start by 11/25</t>
  </si>
  <si>
    <t>clear 11/19</t>
  </si>
  <si>
    <t>11/19 - kit clear</t>
  </si>
  <si>
    <t>11/19 - -	Day 1 is 11/21 (Anne)</t>
  </si>
  <si>
    <t>136804
NEW</t>
  </si>
  <si>
    <t>12/01
5D</t>
  </si>
  <si>
    <r>
      <rPr>
        <b/>
        <sz val="11"/>
        <color rgb="FF000000"/>
        <rFont val="Calibri"/>
        <family val="2"/>
      </rPr>
      <t xml:space="preserve">Lead-free Wash
B1, B2 - after wash
</t>
    </r>
    <r>
      <rPr>
        <b/>
        <u/>
        <sz val="11"/>
        <color rgb="FF000000"/>
        <rFont val="Calibri"/>
        <family val="2"/>
      </rPr>
      <t xml:space="preserve">hardware required
</t>
    </r>
    <r>
      <rPr>
        <b/>
        <sz val="11"/>
        <color rgb="FF000000"/>
        <rFont val="Calibri"/>
        <family val="2"/>
      </rPr>
      <t>Depanel</t>
    </r>
  </si>
  <si>
    <t>11/21 - 8:30</t>
  </si>
  <si>
    <t>DOC REL 11/18</t>
  </si>
  <si>
    <t>CLEAR 11/21</t>
  </si>
  <si>
    <r>
      <t xml:space="preserve">11/24 - kit clear
</t>
    </r>
    <r>
      <rPr>
        <b/>
        <strike/>
        <sz val="11"/>
        <color rgb="FF000000"/>
        <rFont val="Calibri"/>
        <family val="2"/>
      </rPr>
      <t>11/21 - SMT CLEAR/SHORT P4 &amp; P2 (TH) NO ETA</t>
    </r>
  </si>
  <si>
    <t>136849
NEW</t>
  </si>
  <si>
    <t>12/01
3D</t>
  </si>
  <si>
    <t>"U3" SEE ECO FOR ORIENTAION AND INSTALLATION</t>
  </si>
  <si>
    <t>11/25 - 8:30</t>
  </si>
  <si>
    <t>11/26 - 9:00</t>
  </si>
  <si>
    <t>clear 11/13</t>
  </si>
  <si>
    <t>11/13 - kit clear</t>
  </si>
  <si>
    <t>129854
RONC 126651</t>
  </si>
  <si>
    <t>12/01
10D</t>
  </si>
  <si>
    <r>
      <rPr>
        <b/>
        <sz val="11"/>
        <color rgb="FF000000"/>
        <rFont val="Calibri"/>
        <family val="2"/>
      </rPr>
      <t xml:space="preserve">mech hardware install time = 1 board per hour
CLASS 3
"XA1, XA2" HANDLE W/ CARE - HAND TIGHTEN ONLY "DO NOT USE ANY TOOLS"
REMOVE ANY HARDWARE PRIOR TO SOLDERING AND WASHING - RE-INSTALL PRIOR TO SHIPPING
***
</t>
    </r>
    <r>
      <rPr>
        <b/>
        <sz val="12"/>
        <color rgb="FFFF0000"/>
        <rFont val="Calibri"/>
        <family val="2"/>
      </rPr>
      <t>*** DO NOT MIX HARDWARE PER ECO #6 -</t>
    </r>
    <r>
      <rPr>
        <b/>
        <u/>
        <sz val="12"/>
        <color rgb="FFFF0000"/>
        <rFont val="Calibri"/>
        <family val="2"/>
      </rPr>
      <t xml:space="preserve"> PUT HARDWARE BACK IN THE SAME PLACE!!!
</t>
    </r>
    <r>
      <rPr>
        <b/>
        <sz val="11"/>
        <color rgb="FF000000"/>
        <rFont val="Calibri"/>
        <family val="2"/>
      </rPr>
      <t xml:space="preserve">TAG BOARDS W/ ANY BTD/DNI PARTS &amp; NOTE ON PAPERWORK PER ECO
</t>
    </r>
    <r>
      <rPr>
        <b/>
        <u/>
        <sz val="11"/>
        <color rgb="FF000000"/>
        <rFont val="Calibri"/>
        <family val="2"/>
      </rPr>
      <t>back: hardware</t>
    </r>
  </si>
  <si>
    <t>UPS ORANGE</t>
  </si>
  <si>
    <t>DOC REL 11/3</t>
  </si>
  <si>
    <t>11/13</t>
  </si>
  <si>
    <r>
      <t xml:space="preserve">clear 11/4
</t>
    </r>
    <r>
      <rPr>
        <b/>
        <strike/>
        <sz val="11"/>
        <color rgb="FF000000"/>
        <rFont val="Calibri"/>
        <family val="2"/>
      </rPr>
      <t>SHORT, ETA 11/14</t>
    </r>
  </si>
  <si>
    <t>11/4 - kit clear
11/3 - MAT CLEAR</t>
  </si>
  <si>
    <t>135601
NEW</t>
  </si>
  <si>
    <t>11/25
15D</t>
  </si>
  <si>
    <t>"J7, J8" MOUNT PER ECO
DEPANEL</t>
  </si>
  <si>
    <t>11/20 - 10:30</t>
  </si>
  <si>
    <t>11/20 - 1:30</t>
  </si>
  <si>
    <t>11/20 - 1:31</t>
  </si>
  <si>
    <t>DOC REL 10/31</t>
  </si>
  <si>
    <t>11/3</t>
  </si>
  <si>
    <t>134515
RMA</t>
  </si>
  <si>
    <r>
      <t xml:space="preserve">clear 11/14
</t>
    </r>
    <r>
      <rPr>
        <b/>
        <strike/>
        <sz val="11"/>
        <color rgb="FF000000"/>
        <rFont val="Calibri"/>
        <family val="2"/>
      </rPr>
      <t>short, no ETA 11/19</t>
    </r>
  </si>
  <si>
    <t>11/13 - matl clear</t>
  </si>
  <si>
    <t>136787
RONC 129214</t>
  </si>
  <si>
    <t>11/24
5D</t>
  </si>
  <si>
    <t>WASH BOARDS
DEPANEL
MAKE SURE BOARDS ARE FREE &amp; CLEAN</t>
  </si>
  <si>
    <t>missing photos ronc</t>
  </si>
  <si>
    <r>
      <t xml:space="preserve">clear 10/27
</t>
    </r>
    <r>
      <rPr>
        <b/>
        <strike/>
        <sz val="11"/>
        <color rgb="FF000000"/>
        <rFont val="Calibri"/>
        <family val="2"/>
      </rPr>
      <t>short, no ETA 10/27 10/31</t>
    </r>
  </si>
  <si>
    <t>10/27 - kit clear
10/13 - matl clear</t>
  </si>
  <si>
    <t>134318
RONC 132706</t>
  </si>
  <si>
    <t>11/24
20D</t>
  </si>
  <si>
    <r>
      <rPr>
        <b/>
        <sz val="12"/>
        <color rgb="FF000000"/>
        <rFont val="Calibri"/>
        <family val="2"/>
      </rPr>
      <t xml:space="preserve">*** 100% INSP REQ - BOARDS MUST BE PERFECT!!!
</t>
    </r>
    <r>
      <rPr>
        <b/>
        <sz val="11"/>
        <color rgb="FF000000"/>
        <rFont val="Calibri"/>
        <family val="2"/>
      </rPr>
      <t xml:space="preserve">"LS1" AFTER WASH (REMOVE SMT PICK &amp; PLACE STICKER)
"BT1, S1, S2, U6" AFTER WASH
</t>
    </r>
    <r>
      <rPr>
        <b/>
        <u/>
        <sz val="11"/>
        <color rgb="FF000000"/>
        <rFont val="Calibri"/>
        <family val="2"/>
      </rPr>
      <t xml:space="preserve">"C2" ADD DP100 EPOXY (CLEAR)
</t>
    </r>
    <r>
      <rPr>
        <b/>
        <sz val="11"/>
        <color rgb="FF000000"/>
        <rFont val="Calibri"/>
        <family val="2"/>
      </rPr>
      <t>DEPANEL</t>
    </r>
  </si>
  <si>
    <t>11/17 - 1:00</t>
  </si>
  <si>
    <t>11/18 - 2:00</t>
  </si>
  <si>
    <t>clear 11/17</t>
  </si>
  <si>
    <t>11/17 - kit clear</t>
  </si>
  <si>
    <t>135840
NEW</t>
  </si>
  <si>
    <t>Lead-Free True No-Clean
Pre-Bake boards required
MOUNT ALL COMPONENTS FLUSH TO PCB
depanel</t>
  </si>
  <si>
    <t>11/20 - 8:00</t>
  </si>
  <si>
    <t>11/20 - 11:00</t>
  </si>
  <si>
    <t xml:space="preserve">United Mesh Solutions, LLC
</t>
  </si>
  <si>
    <t>clear 10/27</t>
  </si>
  <si>
    <r>
      <rPr>
        <b/>
        <sz val="11"/>
        <color rgb="FF000000"/>
        <rFont val="Calibri"/>
        <family val="2"/>
      </rPr>
      <t xml:space="preserve">11/10 - kit clear for all
</t>
    </r>
    <r>
      <rPr>
        <b/>
        <strike/>
        <sz val="11"/>
        <color rgb="FF000000"/>
        <rFont val="Calibri"/>
        <family val="2"/>
      </rPr>
      <t>10/27 - kit clear to build qty 135
short U1 qty 15</t>
    </r>
  </si>
  <si>
    <t>11/4 - pre-SMT depanel &amp; file</t>
  </si>
  <si>
    <t>135546
NEW</t>
  </si>
  <si>
    <r>
      <rPr>
        <b/>
        <strike/>
        <sz val="11"/>
        <color rgb="FF000000"/>
        <rFont val="Calibri"/>
        <family val="2"/>
      </rPr>
      <t xml:space="preserve">SHIP PARTIAL QTY 135
BAL QTY 15
</t>
    </r>
    <r>
      <rPr>
        <b/>
        <sz val="11"/>
        <color rgb="FF000000"/>
        <rFont val="Calibri"/>
        <family val="2"/>
      </rPr>
      <t>DEPANEL
SEE ECO FOR CofC INFO
OVERPACK</t>
    </r>
  </si>
  <si>
    <t>11/20 - 1:00</t>
  </si>
  <si>
    <t xml:space="preserve">Infraredx, Inc.
</t>
  </si>
  <si>
    <t>DOC REL 10/24</t>
  </si>
  <si>
    <t>10/27</t>
  </si>
  <si>
    <t>depanel &amp; sand</t>
  </si>
  <si>
    <r>
      <t xml:space="preserve">clear 10/24
</t>
    </r>
    <r>
      <rPr>
        <b/>
        <strike/>
        <sz val="11"/>
        <color rgb="FF000000"/>
        <rFont val="Calibri"/>
        <family val="2"/>
      </rPr>
      <t>short due 11/23</t>
    </r>
  </si>
  <si>
    <r>
      <t xml:space="preserve">11/7 - clear
</t>
    </r>
    <r>
      <rPr>
        <b/>
        <strike/>
        <sz val="11"/>
        <color rgb="FF000000"/>
        <rFont val="Calibri"/>
        <family val="2"/>
      </rPr>
      <t xml:space="preserve">11/4 - short SMT FL3, no ETA
10/17 - short SMT 3x many,  U8 ETA 11/4, BAL OF FL3 no ETA. </t>
    </r>
  </si>
  <si>
    <t>135064
RONC 133880</t>
  </si>
  <si>
    <t>11/21
10D</t>
  </si>
  <si>
    <t>DO NOT SKIP PREBAKE
CLASS 3
LEAD PROCESS
PART HEIGHT REQUIREMENT PER ECO
DEPANEL</t>
  </si>
  <si>
    <t>11/19 - 10:00</t>
  </si>
  <si>
    <t>11/19 - 12:30</t>
  </si>
  <si>
    <t>DOC REL 10/16</t>
  </si>
  <si>
    <t>10/17</t>
  </si>
  <si>
    <t>alta stand complete</t>
  </si>
  <si>
    <t>clear 11/10</t>
  </si>
  <si>
    <r>
      <t xml:space="preserve">11/14 - kit clear
</t>
    </r>
    <r>
      <rPr>
        <b/>
        <strike/>
        <sz val="11"/>
        <color rgb="FF000000"/>
        <rFont val="Calibri"/>
        <family val="2"/>
      </rPr>
      <t>11/3 - short SMT #13 (D1), no ETA
awt part conf U4 &amp; U10
11/10 - short SMT 4x line items
Awt SMT part conf U4 &amp; U10</t>
    </r>
  </si>
  <si>
    <r>
      <rPr>
        <b/>
        <sz val="11"/>
        <color rgb="FF000000"/>
        <rFont val="Calibri"/>
        <family val="2"/>
      </rPr>
      <t>11/13 -</t>
    </r>
    <r>
      <rPr>
        <b/>
        <strike/>
        <sz val="11"/>
        <color rgb="FF000000"/>
        <rFont val="Calibri"/>
        <family val="2"/>
      </rPr>
      <t xml:space="preserve"> ON HOLD </t>
    </r>
    <r>
      <rPr>
        <b/>
        <sz val="11"/>
        <color rgb="FF000000"/>
        <rFont val="Calibri"/>
        <family val="2"/>
      </rPr>
      <t>(customer review)</t>
    </r>
  </si>
  <si>
    <t>136450-FA
NEW</t>
  </si>
  <si>
    <t>11/21
5D</t>
  </si>
  <si>
    <t>11/17 - 6:00</t>
  </si>
  <si>
    <t>11/17 - 8:00</t>
  </si>
  <si>
    <t>11/10</t>
  </si>
  <si>
    <r>
      <t xml:space="preserve">clear 10/30
</t>
    </r>
    <r>
      <rPr>
        <b/>
        <strike/>
        <sz val="11"/>
        <color rgb="FF000000"/>
        <rFont val="Calibri"/>
        <family val="2"/>
      </rPr>
      <t>awt PCB conf</t>
    </r>
  </si>
  <si>
    <r>
      <t xml:space="preserve">11/14 - kit clear
</t>
    </r>
    <r>
      <rPr>
        <b/>
        <strike/>
        <sz val="11"/>
        <color rgb="FF000000"/>
        <rFont val="Calibri"/>
        <family val="2"/>
      </rPr>
      <t>11/11  - short SMT #3 (C2,C3)
10/30 - kit clear
10/30 - short SMT 3 pieces C2, no ETA
awt SMT part conf C2 &amp; C4</t>
    </r>
  </si>
  <si>
    <r>
      <t xml:space="preserve">11/10 - </t>
    </r>
    <r>
      <rPr>
        <b/>
        <strike/>
        <sz val="11"/>
        <color rgb="FF000000"/>
        <rFont val="Calibri"/>
        <family val="2"/>
      </rPr>
      <t>AWT ARRAY FILE</t>
    </r>
  </si>
  <si>
    <t>132788
NEW</t>
  </si>
  <si>
    <r>
      <rPr>
        <b/>
        <sz val="14"/>
        <color rgb="FF000000"/>
        <rFont val="Calibri"/>
        <family val="2"/>
      </rPr>
      <t xml:space="preserve">11/21
</t>
    </r>
    <r>
      <rPr>
        <b/>
        <strike/>
        <sz val="14"/>
        <color rgb="FF000000"/>
        <rFont val="Calibri"/>
        <family val="2"/>
      </rPr>
      <t xml:space="preserve">11/24
11/13
</t>
    </r>
    <r>
      <rPr>
        <b/>
        <sz val="14"/>
        <color rgb="FF000000"/>
        <rFont val="Calibri"/>
        <family val="2"/>
      </rPr>
      <t>10D</t>
    </r>
  </si>
  <si>
    <t>Expedite (ship on 7/21)
DEPANEL</t>
  </si>
  <si>
    <t>11/15 - 5:00</t>
  </si>
  <si>
    <t xml:space="preserve">Winchester Interconnect
</t>
  </si>
  <si>
    <t>DOC REL 10/29</t>
  </si>
  <si>
    <t>10/30</t>
  </si>
  <si>
    <t>move #6 from THT to SMT?</t>
  </si>
  <si>
    <t>clear 11/11</t>
  </si>
  <si>
    <r>
      <t xml:space="preserve">11/13 - kit clear
</t>
    </r>
    <r>
      <rPr>
        <b/>
        <strike/>
        <sz val="11"/>
        <color rgb="FF000000"/>
        <rFont val="Calibri"/>
        <family val="2"/>
      </rPr>
      <t>11/11 - short SMT #12 (U3), due this week</t>
    </r>
  </si>
  <si>
    <t>136475
NEW</t>
  </si>
  <si>
    <t>11/20
5D</t>
  </si>
  <si>
    <t>11/14 - 9:30</t>
  </si>
  <si>
    <t>11/14 - 11:00</t>
  </si>
  <si>
    <t>11/14 - 2:30</t>
  </si>
  <si>
    <r>
      <t xml:space="preserve">clear 11/5
</t>
    </r>
    <r>
      <rPr>
        <b/>
        <strike/>
        <sz val="11"/>
        <color rgb="FF000000"/>
        <rFont val="Calibri"/>
        <family val="2"/>
      </rPr>
      <t>short due 11/4</t>
    </r>
  </si>
  <si>
    <r>
      <rPr>
        <b/>
        <sz val="11"/>
        <color rgb="FF000000"/>
        <rFont val="Calibri"/>
        <family val="2"/>
      </rPr>
      <t xml:space="preserve">11/5 - kit clear
</t>
    </r>
    <r>
      <rPr>
        <b/>
        <strike/>
        <sz val="11"/>
        <color rgb="FF000000"/>
        <rFont val="Calibri"/>
        <family val="2"/>
      </rPr>
      <t>10/27 - short SMT L2, C198 &amp; BAT1 due 10/28</t>
    </r>
  </si>
  <si>
    <t>11/14 - SMT qty 22 done</t>
  </si>
  <si>
    <t>11/19
10D</t>
  </si>
  <si>
    <r>
      <rPr>
        <b/>
        <sz val="11"/>
        <color rgb="FF000000"/>
        <rFont val="Calibri"/>
        <family val="2"/>
      </rPr>
      <t xml:space="preserve">*** </t>
    </r>
    <r>
      <rPr>
        <b/>
        <sz val="11"/>
        <color rgb="FFFF0000"/>
        <rFont val="Calibri"/>
        <family val="2"/>
      </rPr>
      <t>ALTA ALERT</t>
    </r>
    <r>
      <rPr>
        <b/>
        <sz val="11"/>
        <color rgb="FF000000"/>
        <rFont val="Calibri"/>
        <family val="2"/>
      </rPr>
      <t xml:space="preserve">!!! - "BAT1" FELL OFF FA BOARDS - PLEASE ENSURE EXTRA SOLDER  AND TEST TO SEE IF HOLDER WILL COME OFF
AOI, xray &amp; save images required
LEAD-FREE no-clean (Aquanox)
11/10 - NOTE: LAST SHIPMENT OF QTY  </t>
    </r>
    <r>
      <rPr>
        <b/>
        <u/>
        <sz val="11"/>
        <color rgb="FF000000"/>
        <rFont val="Calibri"/>
        <family val="2"/>
      </rPr>
      <t>50 S/N'S CHANGED TO START @ 116 (116-166)
S/N'S FOR THIS RUN START @ 167</t>
    </r>
  </si>
  <si>
    <t>11/14 - 11:30</t>
  </si>
  <si>
    <t>11/15 - 12:30</t>
  </si>
  <si>
    <t>11/10 - kit clear</t>
  </si>
  <si>
    <t>136320
RONC 135386</t>
  </si>
  <si>
    <t>11/19
7D</t>
  </si>
  <si>
    <t>TRUE NO CLEAN BUILD
MOUNT ALL T/H FLUSH TO PCB
"J1" SOLDER BEFORE "SW11, SW12, SW15, SW16" PER ECO
"S1 x 18" SEE ECO FOR MOUNTING
"MH1" SEE ECO FOR ALIGNMENT</t>
  </si>
  <si>
    <t>11/11 - 10:00</t>
  </si>
  <si>
    <t>11/11 - 1:00</t>
  </si>
  <si>
    <t xml:space="preserve">Federal Aviation Association
</t>
  </si>
  <si>
    <r>
      <t>C</t>
    </r>
    <r>
      <rPr>
        <b/>
        <sz val="11"/>
        <color theme="4" tint="-0.249977111117893"/>
        <rFont val="Calibri"/>
        <family val="2"/>
      </rPr>
      <t xml:space="preserve">lear 11/3 </t>
    </r>
    <r>
      <rPr>
        <b/>
        <strike/>
        <sz val="11"/>
        <color theme="4" tint="-0.249977111117893"/>
        <rFont val="Calibri"/>
        <family val="2"/>
      </rPr>
      <t>short, no ETA 10/31 10/21 9/26 8/25 8/19</t>
    </r>
  </si>
  <si>
    <r>
      <t xml:space="preserve">8/21 - matl clear
</t>
    </r>
    <r>
      <rPr>
        <b/>
        <strike/>
        <sz val="11"/>
        <color theme="4" tint="-0.249977111117893"/>
        <rFont val="Calibri"/>
        <family val="2"/>
      </rPr>
      <t>7/25 - Short SMT: M1, no ETA
D55 - ok to use
7/18 - short many attrition
short SMT X5, no ETA
short some THT M1, no ETA
awt part conf D55 &amp; U105</t>
    </r>
  </si>
  <si>
    <t>11/17 - incorrect LED #50</t>
  </si>
  <si>
    <r>
      <rPr>
        <b/>
        <sz val="14"/>
        <color rgb="FF104861"/>
        <rFont val="Calibri"/>
        <family val="2"/>
      </rPr>
      <t xml:space="preserve">???
</t>
    </r>
    <r>
      <rPr>
        <b/>
        <strike/>
        <sz val="14"/>
        <color rgb="FF104861"/>
        <rFont val="Calibri"/>
        <family val="2"/>
      </rPr>
      <t xml:space="preserve">11/17
</t>
    </r>
    <r>
      <rPr>
        <b/>
        <sz val="14"/>
        <color rgb="FF104861"/>
        <rFont val="Calibri"/>
        <family val="2"/>
      </rPr>
      <t>10D</t>
    </r>
  </si>
  <si>
    <t>CLASS 3
LEAD WASH
NO ADDITIONAL ATTRITION AVAILABEL FOR SMT</t>
  </si>
  <si>
    <t>11/11 - 10:30</t>
  </si>
  <si>
    <t>11/12 - 2:30</t>
  </si>
  <si>
    <t>11/14 - 12:00</t>
  </si>
  <si>
    <t xml:space="preserve">Integrated Consultants
</t>
  </si>
  <si>
    <t>7/18</t>
  </si>
  <si>
    <t xml:space="preserve">clear 11/7 </t>
  </si>
  <si>
    <t>11/7 - kit clear</t>
  </si>
  <si>
    <t>136582
NEW</t>
  </si>
  <si>
    <t>11/11 - 9:30</t>
  </si>
  <si>
    <t>11/12 - 9:00</t>
  </si>
  <si>
    <t>11/12 - 1:30</t>
  </si>
  <si>
    <t>11/7</t>
  </si>
  <si>
    <t>11/17
5D</t>
  </si>
  <si>
    <t>R&amp;R R2, R3, R22, R23, R42, R43, R62, R63</t>
  </si>
  <si>
    <r>
      <rPr>
        <b/>
        <strike/>
        <sz val="11"/>
        <color rgb="FF000000"/>
        <rFont val="Calibri"/>
        <family val="2"/>
      </rPr>
      <t>C</t>
    </r>
    <r>
      <rPr>
        <b/>
        <sz val="11"/>
        <color rgb="FF000000"/>
        <rFont val="Calibri"/>
        <family val="2"/>
      </rPr>
      <t xml:space="preserve">lear 11/3 </t>
    </r>
    <r>
      <rPr>
        <b/>
        <strike/>
        <sz val="11"/>
        <color rgb="FF000000"/>
        <rFont val="Calibri"/>
        <family val="2"/>
      </rPr>
      <t>short, no ETA 10/31 10/21 9/26 8/25 8/19</t>
    </r>
  </si>
  <si>
    <r>
      <t xml:space="preserve">8/21 - matl clear
</t>
    </r>
    <r>
      <rPr>
        <b/>
        <strike/>
        <sz val="11"/>
        <color rgb="FF000000"/>
        <rFont val="Calibri"/>
        <family val="2"/>
      </rPr>
      <t>7/25 - Short SMT: M1, no ETA
D55 - ok to use
7/18 - short many attrition
short SMT X5, no ETA
short some THT M1, no ETA
awt part conf D55 &amp; U105</t>
    </r>
  </si>
  <si>
    <t>11/17 - incorrect part #50</t>
  </si>
  <si>
    <t>133514-par
NEW</t>
  </si>
  <si>
    <t>11/17
10D</t>
  </si>
  <si>
    <t>bal remain qty 3
CLASS 3
LEAD WASH
NO ADDITIONAL ATTRITION AVAILABEL FOR SMT</t>
  </si>
  <si>
    <r>
      <t xml:space="preserve">clear 11/5
</t>
    </r>
    <r>
      <rPr>
        <b/>
        <strike/>
        <sz val="11"/>
        <color rgb="FF000000"/>
        <rFont val="Calibri"/>
        <family val="2"/>
      </rPr>
      <t>short due 11/5</t>
    </r>
  </si>
  <si>
    <r>
      <rPr>
        <b/>
        <sz val="11"/>
        <color rgb="FF000000"/>
        <rFont val="Calibri"/>
        <family val="2"/>
      </rPr>
      <t xml:space="preserve">10/31 - matl clear
</t>
    </r>
    <r>
      <rPr>
        <b/>
        <strike/>
        <sz val="11"/>
        <color rgb="FF000000"/>
        <rFont val="Calibri"/>
        <family val="2"/>
      </rPr>
      <t>10/30 - short J1 due 10/31</t>
    </r>
  </si>
  <si>
    <t>11/7 - ship date is 11/19 (Anne)
11/5 - treat as LT 5 (Tad)</t>
  </si>
  <si>
    <t>136285
NEW</t>
  </si>
  <si>
    <r>
      <rPr>
        <b/>
        <sz val="14"/>
        <color rgb="FFFF0000"/>
        <rFont val="Calibri"/>
        <family val="2"/>
      </rPr>
      <t xml:space="preserve">*** DPAS RATING - DX-A2 (SHIP AS FAST AS POSSIBLE - THIS JOB TAKES PRECEDENCE OVER ALL OTHER JOBS)
</t>
    </r>
    <r>
      <rPr>
        <b/>
        <sz val="11"/>
        <color rgb="FF000000"/>
        <rFont val="Calibri"/>
        <family val="2"/>
      </rPr>
      <t xml:space="preserve">LEADFREE WASH
T/H ONLY
</t>
    </r>
    <r>
      <rPr>
        <b/>
        <u/>
        <sz val="11"/>
        <color rgb="FF000000"/>
        <rFont val="Calibri"/>
        <family val="2"/>
      </rPr>
      <t>install jumpers</t>
    </r>
  </si>
  <si>
    <r>
      <t xml:space="preserve">clear 11/10
</t>
    </r>
    <r>
      <rPr>
        <b/>
        <strike/>
        <sz val="11"/>
        <color rgb="FF000000"/>
        <rFont val="Calibri"/>
        <family val="2"/>
      </rPr>
      <t>short, no ETA</t>
    </r>
  </si>
  <si>
    <t>11/10 - matl clear</t>
  </si>
  <si>
    <t>11/12 - #5 (J1x4) improper fit</t>
  </si>
  <si>
    <t>136317
NEW</t>
  </si>
  <si>
    <t>DNI #5 (J1x4)
T/H ONLY
"R4, 6, 8, 10, C1" AFTER WASH
DEPANEL
CofC PER ECO</t>
  </si>
  <si>
    <t xml:space="preserve">Xodus Imaging
</t>
  </si>
  <si>
    <r>
      <t xml:space="preserve">clear 11/12
</t>
    </r>
    <r>
      <rPr>
        <b/>
        <strike/>
        <sz val="11"/>
        <color rgb="FF000000"/>
        <rFont val="Calibri"/>
        <family val="2"/>
      </rPr>
      <t>short due 11/12</t>
    </r>
  </si>
  <si>
    <r>
      <t xml:space="preserve">11/11 - matl clear
</t>
    </r>
    <r>
      <rPr>
        <b/>
        <strike/>
        <sz val="11"/>
        <color rgb="FF000000"/>
        <rFont val="Calibri"/>
        <family val="2"/>
      </rPr>
      <t>10/28 - awt THT part confirm (C1)</t>
    </r>
  </si>
  <si>
    <t>11/14 - SMT top side 1st</t>
  </si>
  <si>
    <t>136196-FA
ROWC 131668</t>
  </si>
  <si>
    <r>
      <rPr>
        <b/>
        <sz val="14"/>
        <color rgb="FF000000"/>
        <rFont val="Calibri"/>
        <family val="2"/>
      </rPr>
      <t xml:space="preserve">11/17
</t>
    </r>
    <r>
      <rPr>
        <b/>
        <sz val="14"/>
        <color rgb="FFFF0000"/>
        <rFont val="Calibri"/>
        <family val="2"/>
      </rPr>
      <t>3D</t>
    </r>
  </si>
  <si>
    <t>BAL REMAIN QTY 60
DEPANEL</t>
  </si>
  <si>
    <t>11/14 - 5:00</t>
  </si>
  <si>
    <t>11/14 - 8:30</t>
  </si>
  <si>
    <t>11/14 - 10:30</t>
  </si>
  <si>
    <t>10/28</t>
  </si>
  <si>
    <t>none (disregard drawing per Tad)</t>
  </si>
  <si>
    <t>dni to load uploaded</t>
  </si>
  <si>
    <t>confirm bare + stencil</t>
  </si>
  <si>
    <r>
      <t xml:space="preserve">clear 11/7
</t>
    </r>
    <r>
      <rPr>
        <b/>
        <strike/>
        <sz val="11"/>
        <color rgb="FF000000"/>
        <rFont val="Calibri"/>
        <family val="2"/>
      </rPr>
      <t>short due 11/14</t>
    </r>
  </si>
  <si>
    <r>
      <t xml:space="preserve">11/3 - CLEAR
</t>
    </r>
    <r>
      <rPr>
        <b/>
        <strike/>
        <sz val="11"/>
        <color rgb="FF000000"/>
        <rFont val="Calibri"/>
        <family val="2"/>
      </rPr>
      <t>10/31 - Short SMT #50 (U26) &amp; #85 (J6), no ETA</t>
    </r>
  </si>
  <si>
    <t>135780-FA
NEW</t>
  </si>
  <si>
    <t>11/14
5D</t>
  </si>
  <si>
    <t>balance remain qty 45
split shipment:
3 of the 5 first article boards to:
1545 Forbes St
Fredericksburg VA  22405
last 2 of 5 first article boards to:
Robert Klug
2140 Francis Lewis Blvd, 2FL
Whitestone, NY 11357
Lead-Free No-Clean
J3 gasket (if loose, ship w/ boards.  Otherwise, leave it installed)</t>
  </si>
  <si>
    <t>11/13 - 12:00</t>
  </si>
  <si>
    <t>11/13 - 3:30</t>
  </si>
  <si>
    <t>11/14 - 7:30</t>
  </si>
  <si>
    <r>
      <t xml:space="preserve">clear 11/6 </t>
    </r>
    <r>
      <rPr>
        <b/>
        <strike/>
        <sz val="11"/>
        <color rgb="FF000000"/>
        <rFont val="Calibri"/>
        <family val="2"/>
      </rPr>
      <t>short due 11/10</t>
    </r>
  </si>
  <si>
    <t>10/31 - matl clear</t>
  </si>
  <si>
    <t>11/6 - DAY 1 IS 11/10 (Anne)</t>
  </si>
  <si>
    <t>136398
NEW</t>
  </si>
  <si>
    <t>11/10 - 1:00</t>
  </si>
  <si>
    <t xml:space="preserve">GPS Networking, Inc.
</t>
  </si>
  <si>
    <t>CH</t>
  </si>
  <si>
    <r>
      <t xml:space="preserve">clear 11/11
</t>
    </r>
    <r>
      <rPr>
        <b/>
        <strike/>
        <sz val="11"/>
        <color rgb="FF000000"/>
        <rFont val="Calibri"/>
        <family val="2"/>
      </rPr>
      <t>short, no ETA 11/10</t>
    </r>
  </si>
  <si>
    <r>
      <t xml:space="preserve">10/28 - matl clear
</t>
    </r>
    <r>
      <rPr>
        <b/>
        <strike/>
        <sz val="11"/>
        <color rgb="FF000000"/>
        <rFont val="Calibri"/>
        <family val="2"/>
      </rPr>
      <t>10/28 - awt SMT part conf (J1)
10/21 - short SMT U9 &amp; J1, no ETA</t>
    </r>
  </si>
  <si>
    <t>136201
ROWC 121981</t>
  </si>
  <si>
    <r>
      <rPr>
        <b/>
        <sz val="14"/>
        <color rgb="FF000000"/>
        <rFont val="Calibri"/>
        <family val="2"/>
      </rPr>
      <t xml:space="preserve">11/14
</t>
    </r>
    <r>
      <rPr>
        <b/>
        <sz val="14"/>
        <color rgb="FFFF0000"/>
        <rFont val="Calibri"/>
        <family val="2"/>
      </rPr>
      <t>3D</t>
    </r>
  </si>
  <si>
    <t>11/13 - 9:30</t>
  </si>
  <si>
    <t>11/13 - 11:00</t>
  </si>
  <si>
    <t>11/13 - 2:30</t>
  </si>
  <si>
    <t>DOC REL 10/20</t>
  </si>
  <si>
    <t>10/21</t>
  </si>
  <si>
    <r>
      <t xml:space="preserve">clear 11/11
</t>
    </r>
    <r>
      <rPr>
        <b/>
        <strike/>
        <sz val="11"/>
        <color rgb="FF000000"/>
        <rFont val="Calibri"/>
        <family val="2"/>
      </rPr>
      <t>short, no ETA 11/12 11/7 11/5</t>
    </r>
  </si>
  <si>
    <r>
      <t xml:space="preserve">10/27 - matl clear
</t>
    </r>
    <r>
      <rPr>
        <b/>
        <strike/>
        <sz val="11"/>
        <color rgb="FF000000"/>
        <rFont val="Calibri"/>
        <family val="2"/>
      </rPr>
      <t>10/22 - short SMT U3, no ETA</t>
    </r>
  </si>
  <si>
    <r>
      <rPr>
        <b/>
        <sz val="11"/>
        <color rgb="FF000000"/>
        <rFont val="Calibri"/>
        <family val="2"/>
      </rPr>
      <t xml:space="preserve">11/12 - </t>
    </r>
    <r>
      <rPr>
        <b/>
        <strike/>
        <sz val="11"/>
        <color rgb="FFFF0000"/>
        <rFont val="Calibri"/>
        <family val="2"/>
      </rPr>
      <t>ON HOLD</t>
    </r>
    <r>
      <rPr>
        <b/>
        <strike/>
        <sz val="11"/>
        <color rgb="FF000000"/>
        <rFont val="Calibri"/>
        <family val="2"/>
      </rPr>
      <t xml:space="preserve"> missing pad C177</t>
    </r>
  </si>
  <si>
    <t>136109
NEW</t>
  </si>
  <si>
    <t>LEADFREE, NO CLEAN
DNI C177 location (DUE TO MISSING PAD)</t>
  </si>
  <si>
    <t>11/11 - 12:30</t>
  </si>
  <si>
    <t>11/12 - 3:00</t>
  </si>
  <si>
    <t>11/13 - 10:00</t>
  </si>
  <si>
    <t>Palantir</t>
  </si>
  <si>
    <t>DOC REL 10/21</t>
  </si>
  <si>
    <t>10/22</t>
  </si>
  <si>
    <r>
      <t xml:space="preserve">clear 11/6
</t>
    </r>
    <r>
      <rPr>
        <b/>
        <strike/>
        <sz val="11"/>
        <color rgb="FF000000"/>
        <rFont val="Calibri"/>
        <family val="2"/>
      </rPr>
      <t>SHORT, ETA 11/14</t>
    </r>
  </si>
  <si>
    <r>
      <t xml:space="preserve">11/5 - matl clear
</t>
    </r>
    <r>
      <rPr>
        <b/>
        <strike/>
        <sz val="11"/>
        <color rgb="FF000000"/>
        <rFont val="Calibri"/>
        <family val="2"/>
      </rPr>
      <t>11/3 - C60,  R4 and R148 (SMT), TP1 (TH) NO ETA</t>
    </r>
  </si>
  <si>
    <t>11/6 - day 1 is 11/12 (Anne)</t>
  </si>
  <si>
    <t>136552
RONC 134156</t>
  </si>
  <si>
    <t>"SW3, SW4" AFTER WASH
ALL T/H MOUNT FLUSH TO PCB
PD1 place as-is
DEPANEL
OVERPACK</t>
  </si>
  <si>
    <t>11/10 - 12:30</t>
  </si>
  <si>
    <t xml:space="preserve">Biolog, Inc.
</t>
  </si>
  <si>
    <r>
      <t xml:space="preserve">clear 11/4
</t>
    </r>
    <r>
      <rPr>
        <b/>
        <strike/>
        <sz val="11"/>
        <color rgb="FF000000"/>
        <rFont val="Calibri"/>
        <family val="2"/>
      </rPr>
      <t>short due 11/5</t>
    </r>
  </si>
  <si>
    <r>
      <t xml:space="preserve">11/4 - kit clear
</t>
    </r>
    <r>
      <rPr>
        <b/>
        <strike/>
        <sz val="11"/>
        <color rgb="FF000000"/>
        <rFont val="Calibri"/>
        <family val="2"/>
      </rPr>
      <t>10/17 - shorrt SMT 30 pieces of  U1_GPS, no ETA</t>
    </r>
  </si>
  <si>
    <t>11/4 - day 1 11/6 (Anne)
10/17 - SMT top side 1st</t>
  </si>
  <si>
    <r>
      <rPr>
        <b/>
        <sz val="14"/>
        <color rgb="FF000000"/>
        <rFont val="Calibri"/>
        <family val="2"/>
      </rPr>
      <t xml:space="preserve">???
</t>
    </r>
    <r>
      <rPr>
        <b/>
        <strike/>
        <sz val="14"/>
        <color rgb="FF000000"/>
        <rFont val="Calibri"/>
        <family val="2"/>
      </rPr>
      <t xml:space="preserve">11/10
</t>
    </r>
    <r>
      <rPr>
        <b/>
        <sz val="14"/>
        <color rgb="FFFF0000"/>
        <rFont val="Calibri"/>
        <family val="2"/>
      </rPr>
      <t>3D</t>
    </r>
  </si>
  <si>
    <t>DO NOT SKIP PREBAKE
"S1, S3., C34" AFTER WASH</t>
  </si>
  <si>
    <t>11/6 - 10:30</t>
  </si>
  <si>
    <t>11/6 - 5:00</t>
  </si>
  <si>
    <t>11/7 - 2:30</t>
  </si>
  <si>
    <r>
      <t xml:space="preserve">clear 10/14
</t>
    </r>
    <r>
      <rPr>
        <b/>
        <strike/>
        <sz val="11"/>
        <color rgb="FF000000"/>
        <rFont val="Calibri"/>
        <family val="2"/>
      </rPr>
      <t>awt pcb conf</t>
    </r>
  </si>
  <si>
    <r>
      <t xml:space="preserve">10/31 - kit clear
</t>
    </r>
    <r>
      <rPr>
        <b/>
        <strike/>
        <sz val="11"/>
        <color rgb="FF000000"/>
        <rFont val="Calibri"/>
        <family val="2"/>
      </rPr>
      <t>10/13 - short J1, no ETA 10/30 (no skip)</t>
    </r>
  </si>
  <si>
    <r>
      <rPr>
        <b/>
        <sz val="11"/>
        <color rgb="FF000000"/>
        <rFont val="Calibri"/>
        <family val="2"/>
      </rPr>
      <t xml:space="preserve">11/7 - short part
</t>
    </r>
    <r>
      <rPr>
        <b/>
        <sz val="11"/>
        <color rgb="FFFF0000"/>
        <rFont val="Calibri"/>
        <family val="2"/>
      </rPr>
      <t>* SEE TAD FOR ECO REVIEW UPON RELEASE</t>
    </r>
  </si>
  <si>
    <r>
      <rPr>
        <b/>
        <sz val="14"/>
        <color rgb="FF000000"/>
        <rFont val="Calibri"/>
        <family val="2"/>
      </rPr>
      <t xml:space="preserve">???
</t>
    </r>
    <r>
      <rPr>
        <b/>
        <strike/>
        <sz val="14"/>
        <color rgb="FF000000"/>
        <rFont val="Calibri"/>
        <family val="2"/>
      </rPr>
      <t xml:space="preserve">11/7
</t>
    </r>
    <r>
      <rPr>
        <b/>
        <sz val="14"/>
        <color rgb="FF000000"/>
        <rFont val="Calibri"/>
        <family val="2"/>
      </rPr>
      <t>5D</t>
    </r>
  </si>
  <si>
    <r>
      <rPr>
        <b/>
        <sz val="12"/>
        <color rgb="FF000000"/>
        <rFont val="Calibri"/>
        <family val="2"/>
      </rPr>
      <t xml:space="preserve">*** </t>
    </r>
    <r>
      <rPr>
        <b/>
        <sz val="12"/>
        <color rgb="FFFF0000"/>
        <rFont val="Calibri"/>
        <family val="2"/>
      </rPr>
      <t>DPAS DO-A7</t>
    </r>
    <r>
      <rPr>
        <b/>
        <sz val="12"/>
        <color rgb="FF000000"/>
        <rFont val="Calibri"/>
        <family val="2"/>
      </rPr>
      <t xml:space="preserve"> ***
</t>
    </r>
    <r>
      <rPr>
        <b/>
        <sz val="11"/>
        <color rgb="FF000000"/>
        <rFont val="Calibri"/>
        <family val="2"/>
      </rPr>
      <t xml:space="preserve">CLASS 3
</t>
    </r>
    <r>
      <rPr>
        <b/>
        <sz val="14"/>
        <color rgb="FF000000"/>
        <rFont val="Calibri"/>
        <family val="2"/>
      </rPr>
      <t xml:space="preserve">*** </t>
    </r>
    <r>
      <rPr>
        <b/>
        <sz val="14"/>
        <color rgb="FFFF0000"/>
        <rFont val="Calibri"/>
        <family val="2"/>
      </rPr>
      <t>100% INSPECTION IS REQUIRED</t>
    </r>
    <r>
      <rPr>
        <b/>
        <sz val="14"/>
        <color rgb="FF000000"/>
        <rFont val="Calibri"/>
        <family val="2"/>
      </rPr>
      <t xml:space="preserve"> ***
</t>
    </r>
    <r>
      <rPr>
        <b/>
        <u/>
        <sz val="11"/>
        <color rgb="FF000000"/>
        <rFont val="Calibri"/>
        <family val="2"/>
      </rPr>
      <t xml:space="preserve">PREBAKE "U601_1 thru U601_6, U401_1, U401_2"
</t>
    </r>
    <r>
      <rPr>
        <b/>
        <sz val="11"/>
        <color rgb="FF000000"/>
        <rFont val="Calibri"/>
        <family val="2"/>
      </rPr>
      <t xml:space="preserve">LEADFREE, NO CLEAN
*** USE SAME SOLDER AS LAST BUILD - </t>
    </r>
    <r>
      <rPr>
        <b/>
        <u/>
        <sz val="11"/>
        <color rgb="FF000000"/>
        <rFont val="Calibri"/>
        <family val="2"/>
      </rPr>
      <t xml:space="preserve">ALPHA OM-340 </t>
    </r>
    <r>
      <rPr>
        <b/>
        <sz val="11"/>
        <color rgb="FF000000"/>
        <rFont val="Calibri"/>
        <family val="2"/>
      </rPr>
      <t>LEAD FREE, NO CLEAN -</t>
    </r>
    <r>
      <rPr>
        <b/>
        <sz val="12"/>
        <color rgb="FF000000"/>
        <rFont val="Calibri"/>
        <family val="2"/>
      </rPr>
      <t xml:space="preserve"> *** RECORD LOT NUMBER
</t>
    </r>
    <r>
      <rPr>
        <b/>
        <u/>
        <sz val="14"/>
        <color rgb="FFFF0000"/>
        <rFont val="Calibri"/>
        <family val="2"/>
      </rPr>
      <t>100% XRAY REQ</t>
    </r>
    <r>
      <rPr>
        <b/>
        <sz val="14"/>
        <color rgb="FFFF0000"/>
        <rFont val="Calibri"/>
        <family val="2"/>
      </rPr>
      <t xml:space="preserve"> </t>
    </r>
    <r>
      <rPr>
        <b/>
        <sz val="14"/>
        <color rgb="FF000000"/>
        <rFont val="Calibri"/>
        <family val="2"/>
      </rPr>
      <t>-</t>
    </r>
    <r>
      <rPr>
        <b/>
        <sz val="11"/>
        <color rgb="FF000000"/>
        <rFont val="Calibri"/>
        <family val="2"/>
      </rPr>
      <t xml:space="preserve"> SAVE IMAGES - SEE ECO
DEPANEL &amp; SAND
OVERPACK</t>
    </r>
  </si>
  <si>
    <t>11/4 - 8:00</t>
  </si>
  <si>
    <t>11/4 - 12:00</t>
  </si>
  <si>
    <t>11/5 - 6:30</t>
  </si>
  <si>
    <t xml:space="preserve">John Hopkins University Applied Physics La
</t>
  </si>
  <si>
    <t>DOC REL 10/10</t>
  </si>
  <si>
    <r>
      <rPr>
        <strike/>
        <sz val="9"/>
        <color rgb="FF000000"/>
        <rFont val="Calibri"/>
        <family val="2"/>
        <scheme val="minor"/>
      </rPr>
      <t xml:space="preserve">ENSURE CORRECT PCB REV
</t>
    </r>
    <r>
      <rPr>
        <sz val="9"/>
        <color rgb="FF000000"/>
        <rFont val="Calibri"/>
        <family val="2"/>
        <scheme val="minor"/>
      </rPr>
      <t xml:space="preserve">-
note solder requirement on folder
-
</t>
    </r>
    <r>
      <rPr>
        <strike/>
        <sz val="9"/>
        <color rgb="FF000000"/>
        <rFont val="Calibri"/>
        <family val="2"/>
        <scheme val="minor"/>
      </rPr>
      <t xml:space="preserve">verify prebake completed
</t>
    </r>
    <r>
      <rPr>
        <sz val="9"/>
        <color rgb="FF000000"/>
        <rFont val="Calibri"/>
        <family val="2"/>
        <scheme val="minor"/>
      </rPr>
      <t>-
Ensure folders are poroperly filled out post-assemblies</t>
    </r>
  </si>
  <si>
    <t>clear 11/5</t>
  </si>
  <si>
    <t>11/5 - clear</t>
  </si>
  <si>
    <t>RWK</t>
  </si>
  <si>
    <t>no-charge rework</t>
  </si>
  <si>
    <t>Integrated Consultants, Inc.</t>
  </si>
  <si>
    <t>11/5</t>
  </si>
  <si>
    <r>
      <t xml:space="preserve">clear 10/21
</t>
    </r>
    <r>
      <rPr>
        <b/>
        <strike/>
        <sz val="11"/>
        <color rgb="FF000000"/>
        <rFont val="Calibri"/>
        <family val="2"/>
      </rPr>
      <t>short due 10/21</t>
    </r>
  </si>
  <si>
    <r>
      <t xml:space="preserve">11/4 - kit clear
</t>
    </r>
    <r>
      <rPr>
        <b/>
        <strike/>
        <sz val="11"/>
        <color rgb="FF000000"/>
        <rFont val="Calibri"/>
        <family val="2"/>
      </rPr>
      <t xml:space="preserve">10/17 - short SMT U1 (no skip), no ETA </t>
    </r>
    <r>
      <rPr>
        <b/>
        <sz val="11"/>
        <color rgb="FF000000"/>
        <rFont val="Calibri"/>
        <family val="2"/>
      </rPr>
      <t xml:space="preserve">11/4, </t>
    </r>
    <r>
      <rPr>
        <b/>
        <strike/>
        <sz val="11"/>
        <color rgb="FF000000"/>
        <rFont val="Calibri"/>
        <family val="2"/>
      </rPr>
      <t>THT U5 &amp; Pres_Fit, no ETA</t>
    </r>
  </si>
  <si>
    <r>
      <rPr>
        <b/>
        <sz val="14"/>
        <color rgb="FF000000"/>
        <rFont val="Calibri"/>
        <family val="2"/>
      </rPr>
      <t xml:space="preserve">135061
</t>
    </r>
    <r>
      <rPr>
        <b/>
        <sz val="14"/>
        <color rgb="FFFF0000"/>
        <rFont val="Calibri"/>
        <family val="2"/>
      </rPr>
      <t xml:space="preserve">ROWC </t>
    </r>
    <r>
      <rPr>
        <b/>
        <sz val="14"/>
        <color rgb="FF000000"/>
        <rFont val="Calibri"/>
        <family val="2"/>
      </rPr>
      <t>134453</t>
    </r>
  </si>
  <si>
    <t>CLASS 3
LEAD PROCESS
"H1" SHIELD - INSPECT PARTS BEFORE INSTALLING
PRESS FIT REQ
DEPANEL
OVERPACK</t>
  </si>
  <si>
    <t>11/10 - 6:00</t>
  </si>
  <si>
    <t>11/10 - 10:00</t>
  </si>
  <si>
    <t>11/10 - 12:00</t>
  </si>
  <si>
    <r>
      <t xml:space="preserve">clear 10/20
</t>
    </r>
    <r>
      <rPr>
        <b/>
        <strike/>
        <sz val="11"/>
        <color rgb="FF000000"/>
        <rFont val="Calibri"/>
        <family val="2"/>
      </rPr>
      <t>short due 10/17</t>
    </r>
  </si>
  <si>
    <r>
      <t xml:space="preserve">11/4 - kit clear
</t>
    </r>
    <r>
      <rPr>
        <b/>
        <strike/>
        <sz val="11"/>
        <color rgb="FF000000"/>
        <rFont val="Calibri"/>
        <family val="2"/>
      </rPr>
      <t>10/16 - short SMT U1 (qty 50), no ETA 11/4</t>
    </r>
  </si>
  <si>
    <r>
      <rPr>
        <b/>
        <sz val="14"/>
        <color rgb="FF000000"/>
        <rFont val="Calibri"/>
        <family val="2"/>
      </rPr>
      <t xml:space="preserve">134963
</t>
    </r>
    <r>
      <rPr>
        <b/>
        <sz val="14"/>
        <color rgb="FFFF0000"/>
        <rFont val="Calibri"/>
        <family val="2"/>
      </rPr>
      <t xml:space="preserve">RONC </t>
    </r>
    <r>
      <rPr>
        <b/>
        <sz val="14"/>
        <color rgb="FF000000"/>
        <rFont val="Calibri"/>
        <family val="2"/>
      </rPr>
      <t>134453</t>
    </r>
  </si>
  <si>
    <t>CLASS 3
LEAD PROCESS
"H1" SHIELD - INSPECT PARTS IN SHIELD AREA BEFORE INSTALLING SHIELDS
DEPANEL</t>
  </si>
  <si>
    <t>11/8 - 11:30</t>
  </si>
  <si>
    <t>11/10 - 7:00</t>
  </si>
  <si>
    <t>11/10 - 11:00</t>
  </si>
  <si>
    <t>clear 10/1</t>
  </si>
  <si>
    <t>10/1 - kit clear</t>
  </si>
  <si>
    <t>135763
RONC 134845</t>
  </si>
  <si>
    <t>11/12
30D</t>
  </si>
  <si>
    <t>T/H ONLY</t>
  </si>
  <si>
    <t xml:space="preserve">Nova Tech
</t>
  </si>
  <si>
    <t>DOC REL 9/18</t>
  </si>
  <si>
    <r>
      <t xml:space="preserve">clear 11/6
</t>
    </r>
    <r>
      <rPr>
        <b/>
        <strike/>
        <sz val="11"/>
        <color rgb="FF000000"/>
        <rFont val="Calibri"/>
        <family val="2"/>
      </rPr>
      <t>short, no ETA 11/13</t>
    </r>
  </si>
  <si>
    <r>
      <t xml:space="preserve">11/5 - matl clear
</t>
    </r>
    <r>
      <rPr>
        <b/>
        <strike/>
        <sz val="11"/>
        <color rgb="FF000000"/>
        <rFont val="Calibri"/>
        <family val="2"/>
      </rPr>
      <t>10/23 - short SMT U3 &amp; R32, no ETA 10/27 week
awt THT part conf C12</t>
    </r>
  </si>
  <si>
    <t>11/6 - day 1 11/10 (Anne)</t>
  </si>
  <si>
    <t>136209-FA
ROWC 129640</t>
  </si>
  <si>
    <r>
      <rPr>
        <b/>
        <sz val="14"/>
        <color rgb="FF000000"/>
        <rFont val="Calibri"/>
        <family val="2"/>
      </rPr>
      <t xml:space="preserve">11/12
</t>
    </r>
    <r>
      <rPr>
        <b/>
        <sz val="14"/>
        <color rgb="FFFF0000"/>
        <rFont val="Calibri"/>
        <family val="2"/>
      </rPr>
      <t>3D</t>
    </r>
  </si>
  <si>
    <r>
      <rPr>
        <b/>
        <sz val="11"/>
        <color rgb="FF000000"/>
        <rFont val="Calibri"/>
      </rPr>
      <t xml:space="preserve">BTD #44 (R32)
FA qty 25, 2nd qty 55
DEPANEL &amp; SAND </t>
    </r>
    <r>
      <rPr>
        <b/>
        <u/>
        <sz val="11"/>
        <color rgb="FF000000"/>
        <rFont val="Calibri"/>
      </rPr>
      <t>(0.07-0.20MM CALL OUT ON ECO)</t>
    </r>
  </si>
  <si>
    <t>11/11 - 7:30</t>
  </si>
  <si>
    <t>11/11 - 11:00</t>
  </si>
  <si>
    <t>watch SMT lineman setup bottom</t>
  </si>
  <si>
    <t>LOAD TO NO LOAD
uploaded</t>
  </si>
  <si>
    <t>confirm bare + stencil
QTY CHANGE</t>
  </si>
  <si>
    <r>
      <t xml:space="preserve">clear 11/7
</t>
    </r>
    <r>
      <rPr>
        <b/>
        <strike/>
        <sz val="11"/>
        <color rgb="FF000000"/>
        <rFont val="Calibri"/>
        <family val="2"/>
      </rPr>
      <t>short, no ETA 11/7</t>
    </r>
  </si>
  <si>
    <r>
      <t xml:space="preserve">11/7 - kit clear
</t>
    </r>
    <r>
      <rPr>
        <b/>
        <strike/>
        <sz val="11"/>
        <color rgb="FF000000"/>
        <rFont val="Calibri"/>
        <family val="2"/>
      </rPr>
      <t xml:space="preserve">7/29 - smt clear
</t>
    </r>
    <r>
      <rPr>
        <b/>
        <sz val="11"/>
        <color rgb="FF000000"/>
        <rFont val="Calibri"/>
        <family val="2"/>
      </rPr>
      <t xml:space="preserve">7/25 - </t>
    </r>
    <r>
      <rPr>
        <b/>
        <strike/>
        <sz val="11"/>
        <color rgb="FF000000"/>
        <rFont val="Calibri"/>
        <family val="2"/>
      </rPr>
      <t>Short SMT: A1_D2 &amp; A14_J1 ETA 7/28 to 7/30
Short THT 2x items, no ETA</t>
    </r>
  </si>
  <si>
    <t>7/23 - SMT TOP side 1ST 7/23 - On hold per customer</t>
  </si>
  <si>
    <t>134356
RONC 133583</t>
  </si>
  <si>
    <r>
      <rPr>
        <b/>
        <sz val="12"/>
        <color rgb="FFFF0000"/>
        <rFont val="Calibri"/>
        <family val="2"/>
      </rPr>
      <t xml:space="preserve">ALERT! </t>
    </r>
    <r>
      <rPr>
        <b/>
        <sz val="12"/>
        <color rgb="FF000000"/>
        <rFont val="Calibri"/>
        <family val="2"/>
      </rPr>
      <t xml:space="preserve">confirm w/Robert bare boards okay to use before SMT start
</t>
    </r>
    <r>
      <rPr>
        <b/>
        <sz val="12"/>
        <color rgb="FFFF0000"/>
        <rFont val="Calibri"/>
        <family val="2"/>
      </rPr>
      <t xml:space="preserve">*** QUALITY ALERT - CUST REPORTED POSSIBLE TRACE CRAKING FROM PRESS FIT OR MAYBE A DESIGN ISSUE - USE CAUTION FOR PRESS FIT AND TORQUING HARDWARE ***
</t>
    </r>
    <r>
      <rPr>
        <b/>
        <sz val="11"/>
        <color rgb="FF000000"/>
        <rFont val="Calibri"/>
        <family val="2"/>
      </rPr>
      <t xml:space="preserve">CLASS 3
"A7_JAx25" PRESS FIT
</t>
    </r>
    <r>
      <rPr>
        <b/>
        <u/>
        <sz val="11"/>
        <color rgb="FF000000"/>
        <rFont val="Calibri"/>
        <family val="2"/>
      </rPr>
      <t xml:space="preserve">HARDWARE &amp; TORQUING REQ (see Robert before Torque)
</t>
    </r>
    <r>
      <rPr>
        <b/>
        <sz val="11"/>
        <color rgb="FF000000"/>
        <rFont val="Calibri"/>
        <family val="2"/>
      </rPr>
      <t>DEPANEL
prev build: trim leads A1 thru A6</t>
    </r>
  </si>
  <si>
    <t>11/10 - 11:30</t>
  </si>
  <si>
    <t xml:space="preserve">DIVERSIFIED SUPPLY
</t>
  </si>
  <si>
    <t>DOC REL 7/22</t>
  </si>
  <si>
    <t>7/25</t>
  </si>
  <si>
    <r>
      <t xml:space="preserve">clear 11/4
</t>
    </r>
    <r>
      <rPr>
        <b/>
        <strike/>
        <sz val="11"/>
        <color rgb="FF000000"/>
        <rFont val="Calibri"/>
        <family val="2"/>
      </rPr>
      <t>short, no ETA 11/6</t>
    </r>
  </si>
  <si>
    <t>10/29 - matl clear</t>
  </si>
  <si>
    <r>
      <rPr>
        <b/>
        <u/>
        <sz val="11"/>
        <color rgb="FFFF0000"/>
        <rFont val="Calibri"/>
        <family val="2"/>
      </rPr>
      <t xml:space="preserve">11/3 - LAST MIN PART CHANGES, PLEASE VERIFY
</t>
    </r>
    <r>
      <rPr>
        <b/>
        <sz val="11"/>
        <color rgb="FF000000"/>
        <rFont val="Calibri"/>
        <family val="2"/>
      </rPr>
      <t>10/29 - SMT top side 1st</t>
    </r>
  </si>
  <si>
    <t>136276
NEW</t>
  </si>
  <si>
    <r>
      <rPr>
        <b/>
        <sz val="14"/>
        <color rgb="FF000000"/>
        <rFont val="Calibri"/>
        <family val="2"/>
      </rPr>
      <t xml:space="preserve">11/12
</t>
    </r>
    <r>
      <rPr>
        <b/>
        <strike/>
        <sz val="14"/>
        <color rgb="FF000000"/>
        <rFont val="Calibri"/>
        <family val="2"/>
      </rPr>
      <t xml:space="preserve">11/11
</t>
    </r>
    <r>
      <rPr>
        <b/>
        <sz val="14"/>
        <color rgb="FF000000"/>
        <rFont val="Calibri"/>
        <family val="2"/>
      </rPr>
      <t>5D</t>
    </r>
  </si>
  <si>
    <r>
      <rPr>
        <b/>
        <sz val="11"/>
        <color rgb="FF000000"/>
        <rFont val="Calibri"/>
        <family val="2"/>
      </rPr>
      <t xml:space="preserve">*** </t>
    </r>
    <r>
      <rPr>
        <b/>
        <u/>
        <sz val="11"/>
        <color rgb="FF000000"/>
        <rFont val="Calibri"/>
        <family val="2"/>
      </rPr>
      <t xml:space="preserve">11/3 - LAST MINUTE PART CHANGES - SEE EMAIL FROM PHUONG
</t>
    </r>
    <r>
      <rPr>
        <b/>
        <sz val="11"/>
        <color rgb="FF000000"/>
        <rFont val="Calibri"/>
        <family val="2"/>
      </rPr>
      <t>* WILL CALL - CUST PICK UP</t>
    </r>
    <r>
      <rPr>
        <b/>
        <sz val="11"/>
        <color rgb="FFFF0000"/>
        <rFont val="Calibri"/>
        <family val="2"/>
      </rPr>
      <t xml:space="preserve"> (MAKE SURE WE RECORD ANY FINDINGS - REWORK ETC - DOUBLE CHECK BOARDS SINCE CUST IS PICKING UP IN PERSON)
READ ECO #1 &amp; 2 BEFORE RUNNING
</t>
    </r>
    <r>
      <rPr>
        <b/>
        <sz val="11"/>
        <color rgb="FF000000"/>
        <rFont val="Calibri"/>
        <family val="2"/>
      </rPr>
      <t>"LCD1" AFTER WASH
*** JOB REQ HARD FOAM PADS W/ ADHISIVE TAPE - SEE TAD</t>
    </r>
  </si>
  <si>
    <t>11/6 - 12:30</t>
  </si>
  <si>
    <t>11/6 - 3:00</t>
  </si>
  <si>
    <t>WILL CALL</t>
  </si>
  <si>
    <t xml:space="preserve">Terabit Wireless
</t>
  </si>
  <si>
    <t>DOC REL 10/28</t>
  </si>
  <si>
    <t>10/29</t>
  </si>
  <si>
    <t>clear 11/4</t>
  </si>
  <si>
    <t>11/4 - kit clear</t>
  </si>
  <si>
    <t>136275
NEW</t>
  </si>
  <si>
    <r>
      <rPr>
        <b/>
        <sz val="11"/>
        <color rgb="FF000000"/>
        <rFont val="Calibri"/>
        <family val="2"/>
      </rPr>
      <t>* WILL CALL - CUST PICK UP</t>
    </r>
    <r>
      <rPr>
        <b/>
        <sz val="11"/>
        <color rgb="FFFF0000"/>
        <rFont val="Calibri"/>
        <family val="2"/>
      </rPr>
      <t xml:space="preserve"> (MAKE SURE WE RECORD ANY FINDINGS - REWORK ETC - DOUBLE CHECK BOARDS SINCE CUST IS PICKING UP IN PERSON)
READ ECO #1 &amp; 2 BEFORE RUNNING
</t>
    </r>
    <r>
      <rPr>
        <b/>
        <sz val="11"/>
        <color rgb="FF000000"/>
        <rFont val="Calibri"/>
        <family val="2"/>
      </rPr>
      <t>"UE1" AFTER WASH
*** JOB REQ HARD FOAM PADS W/ ADHISIVE TAPE - SEE TAD</t>
    </r>
  </si>
  <si>
    <t>11/6 - 11:30</t>
  </si>
  <si>
    <t>11/6 - 1:00</t>
  </si>
  <si>
    <t>11/6 - 3:30</t>
  </si>
  <si>
    <t>11/4</t>
  </si>
  <si>
    <t>clear 10/28</t>
  </si>
  <si>
    <t>10/28 - kit clear</t>
  </si>
  <si>
    <t>134804
NEW</t>
  </si>
  <si>
    <t>11/11
10D</t>
  </si>
  <si>
    <r>
      <rPr>
        <b/>
        <sz val="11"/>
        <color rgb="FF000000"/>
        <rFont val="Calibri"/>
        <family val="2"/>
      </rPr>
      <t xml:space="preserve">Handle with Gloves
DO NOT SKIP AOI OR XRAY
"J18" SOLDER PER ECO #3
</t>
    </r>
    <r>
      <rPr>
        <b/>
        <sz val="11"/>
        <color rgb="FFFF0000"/>
        <rFont val="Calibri"/>
        <family val="2"/>
      </rPr>
      <t xml:space="preserve">*** "U23x192" CHECK ECO #4 - PART HAS 2 TYPES OF LEADS THAT MAY NEED </t>
    </r>
    <r>
      <rPr>
        <b/>
        <sz val="11"/>
        <color rgb="FF000000"/>
        <rFont val="Calibri"/>
        <family val="2"/>
      </rPr>
      <t xml:space="preserve">SPECIAL PROCESSING TO AVOID POTENTIAL VOIDS
XRAY &amp; SAVE IMAGES
"HS1, HS2" INSTALL PER ECO
press fit
"C63, C172" REQUIRES WASHERS BEFORE INSTALLTION &amp; </t>
    </r>
    <r>
      <rPr>
        <b/>
        <u/>
        <sz val="11"/>
        <color rgb="FF000000"/>
        <rFont val="Calibri"/>
        <family val="2"/>
      </rPr>
      <t>RTV washer to board REQ</t>
    </r>
    <r>
      <rPr>
        <b/>
        <sz val="11"/>
        <color rgb="FF000000"/>
        <rFont val="Calibri"/>
        <family val="2"/>
      </rPr>
      <t xml:space="preserve"> PER ECO #8
</t>
    </r>
    <r>
      <rPr>
        <b/>
        <sz val="11"/>
        <color rgb="FFFF0000"/>
        <rFont val="Calibri"/>
        <family val="2"/>
      </rPr>
      <t xml:space="preserve">*** "J7, 10, 12" PINS MAY REQUIRE TOOLING PER ECO
</t>
    </r>
    <r>
      <rPr>
        <b/>
        <u/>
        <sz val="11"/>
        <color rgb="FF000000"/>
        <rFont val="Calibri"/>
        <family val="2"/>
      </rPr>
      <t xml:space="preserve">POST BAKE 30 min
</t>
    </r>
    <r>
      <rPr>
        <b/>
        <sz val="11"/>
        <color rgb="FF000000"/>
        <rFont val="Calibri"/>
        <family val="2"/>
      </rPr>
      <t xml:space="preserve">DEPANEL
</t>
    </r>
    <r>
      <rPr>
        <b/>
        <u/>
        <sz val="11"/>
        <color rgb="FF000000"/>
        <rFont val="Calibri"/>
        <family val="2"/>
      </rPr>
      <t>install screws required</t>
    </r>
  </si>
  <si>
    <t>11/7 - 7:30</t>
  </si>
  <si>
    <t>11/7 - 11:00</t>
  </si>
  <si>
    <t>INFORM LINEMAN TO WEAR GLOVES
label before xray</t>
  </si>
  <si>
    <r>
      <t xml:space="preserve">clear 10/14
</t>
    </r>
    <r>
      <rPr>
        <b/>
        <strike/>
        <sz val="11"/>
        <color rgb="FF000000"/>
        <rFont val="Calibri"/>
        <family val="2"/>
      </rPr>
      <t>short, no ETA 10/14 10/15*</t>
    </r>
  </si>
  <si>
    <r>
      <t xml:space="preserve">10/14 - kit clear
10/1 - matl clear
</t>
    </r>
    <r>
      <rPr>
        <b/>
        <strike/>
        <sz val="11"/>
        <color rgb="FF000000"/>
        <rFont val="Calibri"/>
        <family val="2"/>
      </rPr>
      <t>9/10 - short SMT many, no ETA</t>
    </r>
  </si>
  <si>
    <t>134820
NEW</t>
  </si>
  <si>
    <t>11/11
20D</t>
  </si>
  <si>
    <r>
      <rPr>
        <b/>
        <sz val="11"/>
        <color rgb="FF000000"/>
        <rFont val="Calibri"/>
        <family val="2"/>
      </rPr>
      <t xml:space="preserve">NO CLEAN BUILD
DO NOT SKIP AOI
DEPANEL
</t>
    </r>
    <r>
      <rPr>
        <b/>
        <strike/>
        <sz val="11"/>
        <color rgb="FF000000"/>
        <rFont val="Calibri"/>
        <family val="2"/>
      </rPr>
      <t xml:space="preserve">rtv required </t>
    </r>
    <r>
      <rPr>
        <b/>
        <sz val="11"/>
        <color rgb="FF000000"/>
        <rFont val="Calibri"/>
        <family val="2"/>
      </rPr>
      <t>(waived)</t>
    </r>
  </si>
  <si>
    <t>11/8 - 5:00</t>
  </si>
  <si>
    <t>11/8 - 9:00</t>
  </si>
  <si>
    <t>9/10</t>
  </si>
  <si>
    <r>
      <t xml:space="preserve">clear 10/22
</t>
    </r>
    <r>
      <rPr>
        <b/>
        <strike/>
        <sz val="11"/>
        <color rgb="FF000000"/>
        <rFont val="Calibri"/>
        <family val="2"/>
      </rPr>
      <t>short due 10/22</t>
    </r>
  </si>
  <si>
    <r>
      <t xml:space="preserve">11/4 - kit clear
</t>
    </r>
    <r>
      <rPr>
        <b/>
        <strike/>
        <sz val="11"/>
        <color rgb="FF000000"/>
        <rFont val="Calibri"/>
        <family val="2"/>
      </rPr>
      <t>10/16 - short SMT U3 no ETA 11/4</t>
    </r>
  </si>
  <si>
    <t>11/7 - SMT BOT 1ST BECAUSE NO FIXTURE (PER LAST BUILD)</t>
  </si>
  <si>
    <t>136233
RONC 133879</t>
  </si>
  <si>
    <t>11/11
5D</t>
  </si>
  <si>
    <t>CLASS 3
LEAD PROCESS
"U1" QUALITY ALERT FROM AA - PAST SUPPLIER ISSUES
"U11" AFTER WASH
DEPANEL</t>
  </si>
  <si>
    <t>11/8 - 8:00</t>
  </si>
  <si>
    <r>
      <t xml:space="preserve">clear 10/21
</t>
    </r>
    <r>
      <rPr>
        <b/>
        <strike/>
        <sz val="11"/>
        <color rgb="FF000000"/>
        <rFont val="Calibri"/>
        <family val="2"/>
      </rPr>
      <t>short due 10/17</t>
    </r>
  </si>
  <si>
    <r>
      <t xml:space="preserve">11/4 - kit clear
</t>
    </r>
    <r>
      <rPr>
        <b/>
        <strike/>
        <sz val="11"/>
        <color rgb="FF000000"/>
        <rFont val="Calibri"/>
        <family val="2"/>
      </rPr>
      <t>10/16 - short SMT U3 (qty 100), no ETA 11/4</t>
    </r>
  </si>
  <si>
    <t>134960
RONC 133879</t>
  </si>
  <si>
    <t>CLASS 3
"U1" QUALITY ALERT FOR PIN NOT FULLY SOLDERED
"U11" AFTER WASH 
LEAD PROCESS
DEPANEL</t>
  </si>
  <si>
    <t>11/7 - 8:00</t>
  </si>
  <si>
    <t>11/8 - 2:30</t>
  </si>
  <si>
    <t>clear 10/31</t>
  </si>
  <si>
    <t>10/31 - kit clear</t>
  </si>
  <si>
    <t>10/31 - day 1 is 11/4 (Anne)</t>
  </si>
  <si>
    <t>136247
NEW</t>
  </si>
  <si>
    <t>11/10
5D</t>
  </si>
  <si>
    <t>11/6 - 8:00</t>
  </si>
  <si>
    <t>11/6 - 11:00</t>
  </si>
  <si>
    <t xml:space="preserve">Becton, Dickinson and Company
</t>
  </si>
  <si>
    <t>short due 11/3</t>
  </si>
  <si>
    <t>11/3 - KIT CLEAR
10/31 - matl clear</t>
  </si>
  <si>
    <t>136331
NEW</t>
  </si>
  <si>
    <t>"SW1" AFTER WASH
DEPANEL
OVERPACK</t>
  </si>
  <si>
    <t>11/7 - 5:00</t>
  </si>
  <si>
    <r>
      <t xml:space="preserve">11/7 - kit clear
</t>
    </r>
    <r>
      <rPr>
        <b/>
        <strike/>
        <sz val="11"/>
        <color rgb="FF000000"/>
        <rFont val="Calibri"/>
        <family val="2"/>
      </rPr>
      <t>10/30 - short SMT RN1, no ETA
short THT X12, no ETA</t>
    </r>
  </si>
  <si>
    <t>136323
NEW</t>
  </si>
  <si>
    <r>
      <rPr>
        <b/>
        <sz val="14"/>
        <color rgb="FF000000"/>
        <rFont val="Calibri"/>
        <family val="2"/>
      </rPr>
      <t xml:space="preserve">11/10
</t>
    </r>
    <r>
      <rPr>
        <b/>
        <sz val="14"/>
        <color rgb="FFFF0000"/>
        <rFont val="Calibri"/>
        <family val="2"/>
      </rPr>
      <t>1D</t>
    </r>
  </si>
  <si>
    <t>-	DNI SMT #100 RN1
-	DNI THT #59 X12
LEAD No-Clean PROCESS
"T1, T2, U26" MOISTURE SENSITIVE - SEE ECO
NO DISCERNABLE RESIDUE FROM NO CLEAN PROCESS PER ECO
remove pick &amp; place tabs/stickers</t>
  </si>
  <si>
    <t>clear 10/3</t>
  </si>
  <si>
    <r>
      <t xml:space="preserve">11/4 - KIT CLEAR
</t>
    </r>
    <r>
      <rPr>
        <b/>
        <strike/>
        <sz val="11"/>
        <color rgb="FF000000"/>
        <rFont val="Calibri"/>
        <family val="2"/>
      </rPr>
      <t>11/4 - auditing</t>
    </r>
  </si>
  <si>
    <t>135786-2ND
RONC 1ST</t>
  </si>
  <si>
    <r>
      <rPr>
        <b/>
        <sz val="11"/>
        <color rgb="FF000000"/>
        <rFont val="Calibri"/>
        <family val="2"/>
      </rPr>
      <t xml:space="preserve">BTD X4, X5 &amp; X6
pre-bake bare boards required
Lead-Free No-Clean
Depanel
</t>
    </r>
    <r>
      <rPr>
        <b/>
        <u/>
        <sz val="11"/>
        <color rgb="FF000000"/>
        <rFont val="Calibri"/>
        <family val="2"/>
      </rPr>
      <t xml:space="preserve">Install nuts &amp; washers
</t>
    </r>
    <r>
      <rPr>
        <b/>
        <sz val="11"/>
        <color rgb="FF000000"/>
        <rFont val="Calibri"/>
        <family val="2"/>
      </rPr>
      <t>boards clean of residue before ship
remove all stickers &amp; picknplace tab
ESD sticker on ESD bags required</t>
    </r>
  </si>
  <si>
    <t>11/5 - 9:30</t>
  </si>
  <si>
    <t>11/5 - 12:00</t>
  </si>
  <si>
    <t>11/6 - 7:00</t>
  </si>
  <si>
    <t>DOC REL 11/4</t>
  </si>
  <si>
    <t>136072-par
ROWC 134552</t>
  </si>
  <si>
    <r>
      <rPr>
        <b/>
        <sz val="14"/>
        <color rgb="FF000000"/>
        <rFont val="Calibri"/>
        <family val="2"/>
      </rPr>
      <t xml:space="preserve">11/10
</t>
    </r>
    <r>
      <rPr>
        <b/>
        <sz val="14"/>
        <color rgb="FFFF0000"/>
        <rFont val="Calibri"/>
        <family val="2"/>
      </rPr>
      <t>3D</t>
    </r>
  </si>
  <si>
    <t>* SEE TAD FOR ECO REVIEW UPON RELEASE</t>
  </si>
  <si>
    <t>135447-par
ROWC 134597</t>
  </si>
  <si>
    <t>11/7
5D</t>
  </si>
  <si>
    <r>
      <t xml:space="preserve">clear 10/31
</t>
    </r>
    <r>
      <rPr>
        <b/>
        <strike/>
        <sz val="11"/>
        <color rgb="FF000000"/>
        <rFont val="Calibri"/>
        <family val="2"/>
      </rPr>
      <t>short due 11/4</t>
    </r>
  </si>
  <si>
    <t>10/31 - kit clear
10/29 - matl clear</t>
  </si>
  <si>
    <t>136467
NEW</t>
  </si>
  <si>
    <t>DEPANEL
NO LABELS/STAMPS/DECALS/STICKERS ALLOWED on bottom</t>
  </si>
  <si>
    <t>11/5 - 7:30</t>
  </si>
  <si>
    <r>
      <t xml:space="preserve">clear 11/5
</t>
    </r>
    <r>
      <rPr>
        <b/>
        <strike/>
        <sz val="11"/>
        <color rgb="FF000000"/>
        <rFont val="Calibri"/>
        <family val="2"/>
      </rPr>
      <t>short due 11/5 11/4</t>
    </r>
  </si>
  <si>
    <r>
      <t xml:space="preserve">11/5 - kit clear
</t>
    </r>
    <r>
      <rPr>
        <b/>
        <strike/>
        <sz val="11"/>
        <color rgb="FF000000"/>
        <rFont val="Calibri"/>
        <family val="2"/>
      </rPr>
      <t>10/27 - short SMT L2, C198 &amp; BAT1 due 10/28</t>
    </r>
  </si>
  <si>
    <r>
      <rPr>
        <b/>
        <u/>
        <sz val="12"/>
        <color rgb="FFFF0000"/>
        <rFont val="Calibri"/>
        <family val="2"/>
      </rPr>
      <t xml:space="preserve">10/30 - WILL NEED OT - SCHD AHEAD
</t>
    </r>
    <r>
      <rPr>
        <b/>
        <sz val="11"/>
        <color rgb="FF000000"/>
        <rFont val="Calibri"/>
        <family val="2"/>
      </rPr>
      <t>10/28 - use new stencil</t>
    </r>
  </si>
  <si>
    <t>136318-FA
RONC 133552</t>
  </si>
  <si>
    <r>
      <rPr>
        <b/>
        <sz val="14"/>
        <color rgb="FF000000"/>
        <rFont val="Calibri"/>
        <family val="2"/>
      </rPr>
      <t xml:space="preserve">11/7
</t>
    </r>
    <r>
      <rPr>
        <b/>
        <sz val="14"/>
        <color rgb="FFFF0000"/>
        <rFont val="Calibri"/>
        <family val="2"/>
      </rPr>
      <t>2D</t>
    </r>
  </si>
  <si>
    <r>
      <rPr>
        <b/>
        <u/>
        <sz val="12"/>
        <color rgb="FFFF0000"/>
        <rFont val="Calibri"/>
        <family val="2"/>
      </rPr>
      <t xml:space="preserve">*** SCHEDULE OT &amp; TRY TO RUN EARLY TO GET A JUMP
</t>
    </r>
    <r>
      <rPr>
        <b/>
        <sz val="11"/>
        <color rgb="FF000000"/>
        <rFont val="Calibri"/>
        <family val="2"/>
      </rPr>
      <t xml:space="preserve">Split ship: LT 2 qty 50, LT 10 qty 50
*** </t>
    </r>
    <r>
      <rPr>
        <b/>
        <sz val="11"/>
        <color rgb="FFFF0000"/>
        <rFont val="Calibri"/>
        <family val="2"/>
      </rPr>
      <t xml:space="preserve">ALTA ALERT!!! - </t>
    </r>
    <r>
      <rPr>
        <b/>
        <sz val="11"/>
        <color rgb="FF000000"/>
        <rFont val="Calibri"/>
        <family val="2"/>
      </rPr>
      <t>"BAT1" FELL OFF FA BOARDS - PLEASE ENSURE EXTRA SOLDER  AND TEST TO SEE IF HOLDER WILL COME OFF
AOI, xray &amp; save images required
LEAD-FREE no-clean (Aquanox)
11/10 - CUST REQ S/N'S TO START @ 116 (SENT THEM NEW LABELS</t>
    </r>
  </si>
  <si>
    <t>11/5 - 2:00</t>
  </si>
  <si>
    <t>11/6 - 12:00</t>
  </si>
  <si>
    <r>
      <t xml:space="preserve">clear 10/10
</t>
    </r>
    <r>
      <rPr>
        <b/>
        <strike/>
        <sz val="11"/>
        <color rgb="FF000000"/>
        <rFont val="Calibri"/>
        <family val="2"/>
      </rPr>
      <t>short 14 due 10/21
short due 10/21</t>
    </r>
  </si>
  <si>
    <r>
      <t xml:space="preserve">10/17 - kit clear
</t>
    </r>
    <r>
      <rPr>
        <b/>
        <strike/>
        <sz val="11"/>
        <color rgb="FF000000"/>
        <rFont val="Calibri"/>
        <family val="2"/>
      </rPr>
      <t>9/30 - short SMT U49, U14 &amp; J8, no ETA 10/14~see email</t>
    </r>
  </si>
  <si>
    <t>11/6 - request to have Tri run future builds or Tri instruct whoever is building this to teach his special method of Solder Bridge</t>
  </si>
  <si>
    <t>135134
ROWC 126414</t>
  </si>
  <si>
    <t>11/7
15D</t>
  </si>
  <si>
    <r>
      <rPr>
        <b/>
        <sz val="11"/>
        <color rgb="FFFF0000"/>
        <rFont val="Calibri"/>
        <family val="2"/>
      </rPr>
      <t xml:space="preserve">*** SEE ALTA QUALITY ALERT
*** 100% INSP REQ - BOARDS MUST BE PERFECT!!!
*** SOLDER BRIDGE REQ @ ""U14, U15, U20, U21, U26, U27, U32 and U33"" @ PINS 22, 23 &amp; 24
</t>
    </r>
    <r>
      <rPr>
        <b/>
        <sz val="11"/>
        <color rgb="FF000000"/>
        <rFont val="Calibri"/>
        <family val="2"/>
      </rPr>
      <t>XRAY &amp; SAVE IMAGES
DEPANEL
QR code label matches board &amp; bag</t>
    </r>
  </si>
  <si>
    <t>11/5 - 7:00</t>
  </si>
  <si>
    <t>9/30</t>
  </si>
  <si>
    <t>COMPLETE ECO board + bag</t>
  </si>
  <si>
    <r>
      <t xml:space="preserve">clear 10/31
</t>
    </r>
    <r>
      <rPr>
        <b/>
        <strike/>
        <sz val="11"/>
        <color rgb="FF000000"/>
        <rFont val="Calibri"/>
        <family val="2"/>
      </rPr>
      <t>short due 10/31</t>
    </r>
  </si>
  <si>
    <r>
      <t xml:space="preserve">10/31 - kit clear
</t>
    </r>
    <r>
      <rPr>
        <b/>
        <strike/>
        <sz val="11"/>
        <color rgb="FF000000"/>
        <rFont val="Calibri"/>
        <family val="2"/>
      </rPr>
      <t>10/30 - short matl due 10/31</t>
    </r>
  </si>
  <si>
    <t>136473
RONC 118863</t>
  </si>
  <si>
    <t>T/H ONLY
PRESS FIT REQ
DEPANEL</t>
  </si>
  <si>
    <t xml:space="preserve">Technical Marine Service, Inc.
</t>
  </si>
  <si>
    <r>
      <t xml:space="preserve">clear 9/11
</t>
    </r>
    <r>
      <rPr>
        <b/>
        <strike/>
        <sz val="11"/>
        <color rgb="FF000000"/>
        <rFont val="Calibri"/>
        <family val="2"/>
      </rPr>
      <t>short due 9/22</t>
    </r>
  </si>
  <si>
    <r>
      <t xml:space="preserve">10/17 - kit claer
</t>
    </r>
    <r>
      <rPr>
        <b/>
        <strike/>
        <sz val="11"/>
        <color rgb="FF000000"/>
        <rFont val="Calibri"/>
        <family val="2"/>
      </rPr>
      <t>9/11 - short SMT: U27, U69 &amp; U79 qty high, no ETA 10/16
9/3 - short SMT many (cust consigned), no ETA</t>
    </r>
  </si>
  <si>
    <r>
      <rPr>
        <b/>
        <sz val="11"/>
        <color rgb="FF000000"/>
        <rFont val="Calibri"/>
        <family val="2"/>
      </rPr>
      <t xml:space="preserve">11/5 - </t>
    </r>
    <r>
      <rPr>
        <b/>
        <strike/>
        <sz val="11"/>
        <color rgb="FFFF0000"/>
        <rFont val="Calibri"/>
        <family val="2"/>
      </rPr>
      <t xml:space="preserve">HOLD
ID'd qty 12 exposed copper
</t>
    </r>
    <r>
      <rPr>
        <b/>
        <sz val="11"/>
        <color rgb="FF000000"/>
        <rFont val="Calibri"/>
        <family val="2"/>
      </rPr>
      <t xml:space="preserve">11/5 - SMT bot comp
</t>
    </r>
  </si>
  <si>
    <t>135130
ROWC 126415</t>
  </si>
  <si>
    <t>* QR LABELS REQUIRED PER PO EMAIL 9/25
place small amount of antistatic film tape over exposed copper on 2 boards
100% INSPECTION REQUIRED
ALTA ALERT - "J100" SEE ECO
DO NOT SKIP AOI
XRAY &amp; SAVE IMAGES
DEPANEL
DNI nuts, washers &amp; shunts</t>
  </si>
  <si>
    <t>11/5 - 6:00</t>
  </si>
  <si>
    <t>11/5 - 9:00</t>
  </si>
  <si>
    <t>11/5 - 1:30</t>
  </si>
  <si>
    <t>DOC REL 9/2</t>
  </si>
  <si>
    <t>9/3</t>
  </si>
  <si>
    <t>QUALITY ALERT</t>
  </si>
  <si>
    <t>clear 10/30</t>
  </si>
  <si>
    <t>10/30 - kit clear
11/3 LAST 3PCS J1 RECV'D</t>
  </si>
  <si>
    <t>10/30 - SMT top side 1st</t>
  </si>
  <si>
    <t>136248
NEW</t>
  </si>
  <si>
    <t>11/6
5D</t>
  </si>
  <si>
    <t>COMPONENT HEIGHT REQUIREMENT PER ECO #3
DEPANEL</t>
  </si>
  <si>
    <t>11/3 - 7:00</t>
  </si>
  <si>
    <t>11/3 - 8:00</t>
  </si>
  <si>
    <t>11/3 - 8:30</t>
  </si>
  <si>
    <t>Becton, Dickinson and Company</t>
  </si>
  <si>
    <t>clear 10/29</t>
  </si>
  <si>
    <r>
      <rPr>
        <b/>
        <sz val="11"/>
        <color rgb="FF000000"/>
        <rFont val="Calibri"/>
        <family val="2"/>
      </rPr>
      <t xml:space="preserve">10/30 - kit clear
</t>
    </r>
    <r>
      <rPr>
        <b/>
        <strike/>
        <sz val="11"/>
        <color rgb="FF000000"/>
        <rFont val="Calibri"/>
        <family val="2"/>
      </rPr>
      <t>10/29 - short SMT R19 due 10/30</t>
    </r>
  </si>
  <si>
    <t>136197
NEW</t>
  </si>
  <si>
    <t>Lead-Free Wash
U13 place as-is
C7 -- see ECO for placement
DNI R100 &amp; ship with boards</t>
  </si>
  <si>
    <t>11/4 - 10:00</t>
  </si>
  <si>
    <t>11/4 - 1:00</t>
  </si>
  <si>
    <r>
      <t xml:space="preserve">clear 10/23
</t>
    </r>
    <r>
      <rPr>
        <b/>
        <strike/>
        <sz val="11"/>
        <color rgb="FF000000"/>
        <rFont val="Calibri"/>
        <family val="2"/>
      </rPr>
      <t>short, no ETA 10/23 10/14</t>
    </r>
  </si>
  <si>
    <r>
      <t xml:space="preserve">10/23 - kit clear
10/13 - matl clear (new parts)
</t>
    </r>
    <r>
      <rPr>
        <b/>
        <strike/>
        <sz val="11"/>
        <color rgb="FF000000"/>
        <rFont val="Calibri"/>
        <family val="2"/>
      </rPr>
      <t>9/30 - matl clear
9/29 - short SMT T1, no ETA
short THT J10 &amp; both L3, no ETA</t>
    </r>
  </si>
  <si>
    <t>10/13 - new parts received. part changes</t>
  </si>
  <si>
    <t>135750
NEW</t>
  </si>
  <si>
    <t>11/6
10D</t>
  </si>
  <si>
    <r>
      <rPr>
        <b/>
        <sz val="11"/>
        <color rgb="FF000000"/>
        <rFont val="Calibri"/>
        <family val="2"/>
      </rPr>
      <t xml:space="preserve">"PF1, C79, C83 &amp; RL1" AFTER WASH
"L3,4,5" INSTALL GAP PADS PER ECO
using weighted bars
</t>
    </r>
    <r>
      <rPr>
        <b/>
        <sz val="12"/>
        <color rgb="FFFF0000"/>
        <rFont val="Calibri"/>
        <family val="2"/>
      </rPr>
      <t>QTY 141 USE RL-12</t>
    </r>
    <r>
      <rPr>
        <b/>
        <u/>
        <sz val="16"/>
        <color rgb="FFFF0000"/>
        <rFont val="Calibri"/>
        <family val="2"/>
      </rPr>
      <t>6</t>
    </r>
    <r>
      <rPr>
        <b/>
        <sz val="12"/>
        <color rgb="FFFF0000"/>
        <rFont val="Calibri"/>
        <family val="2"/>
      </rPr>
      <t>36 / QTY 39 RL-12</t>
    </r>
    <r>
      <rPr>
        <b/>
        <u/>
        <sz val="16"/>
        <color rgb="FFFF0000"/>
        <rFont val="Calibri"/>
        <family val="2"/>
      </rPr>
      <t>5</t>
    </r>
    <r>
      <rPr>
        <b/>
        <sz val="12"/>
        <color rgb="FFFF0000"/>
        <rFont val="Calibri"/>
        <family val="2"/>
      </rPr>
      <t xml:space="preserve">76
</t>
    </r>
    <r>
      <rPr>
        <b/>
        <sz val="11"/>
        <color rgb="FF000000"/>
        <rFont val="Calibri"/>
        <family val="2"/>
      </rPr>
      <t xml:space="preserve">DEPANEL
</t>
    </r>
    <r>
      <rPr>
        <b/>
        <u/>
        <sz val="11"/>
        <color rgb="FF000000"/>
        <rFont val="Calibri"/>
        <family val="2"/>
      </rPr>
      <t xml:space="preserve">RTV &amp; COATING WAIVED
</t>
    </r>
    <r>
      <rPr>
        <b/>
        <sz val="11"/>
        <color rgb="FF000000"/>
        <rFont val="Calibri"/>
        <family val="2"/>
      </rPr>
      <t xml:space="preserve">OVERPACK
SPLIT SHIPMENT -
QTY 10 </t>
    </r>
    <r>
      <rPr>
        <b/>
        <u/>
        <sz val="12"/>
        <color rgb="FF000000"/>
        <rFont val="Calibri"/>
        <family val="2"/>
      </rPr>
      <t>(10 BOARDS W/ RL-12636)</t>
    </r>
    <r>
      <rPr>
        <b/>
        <sz val="11"/>
        <color rgb="FF000000"/>
        <rFont val="Calibri"/>
        <family val="2"/>
      </rPr>
      <t xml:space="preserve"> TO 22820 E Appleway Ave Ste B
Liberty Lake, WA 99019-5214
QTY 50 (</t>
    </r>
    <r>
      <rPr>
        <b/>
        <u/>
        <sz val="12"/>
        <color rgb="FF000000"/>
        <rFont val="Calibri"/>
        <family val="2"/>
      </rPr>
      <t>13 BOARDS W/ RL-12576 &amp; 37 BOARDS W/ RL-12636</t>
    </r>
    <r>
      <rPr>
        <b/>
        <sz val="12"/>
        <color rgb="FF000000"/>
        <rFont val="Calibri"/>
        <family val="2"/>
      </rPr>
      <t>)</t>
    </r>
    <r>
      <rPr>
        <b/>
        <sz val="11"/>
        <color rgb="FF000000"/>
        <rFont val="Calibri"/>
        <family val="2"/>
      </rPr>
      <t xml:space="preserve"> TO 12234 N IH 35 Bldg B, Unit 100
Austin, TX 78753-1725</t>
    </r>
  </si>
  <si>
    <t>10/29 - 11:30</t>
  </si>
  <si>
    <t>10/30 - 8:00</t>
  </si>
  <si>
    <t>10/30 - 1:00</t>
  </si>
  <si>
    <t>DOC REL 9/25</t>
  </si>
  <si>
    <t>9/29</t>
  </si>
  <si>
    <t>new parts replaced
&amp; updated shipping instructions</t>
  </si>
  <si>
    <r>
      <t xml:space="preserve">clear 10/31
</t>
    </r>
    <r>
      <rPr>
        <b/>
        <strike/>
        <sz val="11"/>
        <color rgb="FF000000"/>
        <rFont val="Calibri"/>
        <family val="2"/>
      </rPr>
      <t>short, no ETA 10/29</t>
    </r>
  </si>
  <si>
    <t>10/31 - kit clear
10/22 - matl clear</t>
  </si>
  <si>
    <t>136206
ROWC 121971</t>
  </si>
  <si>
    <t>11/3 - 9:00</t>
  </si>
  <si>
    <t>11/3 - 9:30</t>
  </si>
  <si>
    <t>BAG
alta stand complete</t>
  </si>
  <si>
    <r>
      <t xml:space="preserve">clear 10/29
</t>
    </r>
    <r>
      <rPr>
        <b/>
        <strike/>
        <sz val="11"/>
        <color rgb="FF000000"/>
        <rFont val="Calibri"/>
        <family val="2"/>
      </rPr>
      <t>short, no ETA 10/29</t>
    </r>
  </si>
  <si>
    <r>
      <t xml:space="preserve">10/29 - kit clear
</t>
    </r>
    <r>
      <rPr>
        <b/>
        <strike/>
        <sz val="11"/>
        <color rgb="FF000000"/>
        <rFont val="Calibri"/>
        <family val="2"/>
      </rPr>
      <t>10/22 - short SMT U5 &amp; J1, no ETA 10/28
10/21 - matl clear</t>
    </r>
  </si>
  <si>
    <t>136200
ROWC 129633</t>
  </si>
  <si>
    <t>11/5
5D</t>
  </si>
  <si>
    <r>
      <rPr>
        <b/>
        <sz val="12"/>
        <color rgb="FFFF0000"/>
        <rFont val="Calibri"/>
        <family val="2"/>
      </rPr>
      <t xml:space="preserve">*** "U5" MASK OFF PAD PER ECO - CHECK BEFORE RUNNING SMT
</t>
    </r>
    <r>
      <rPr>
        <b/>
        <sz val="11"/>
        <color rgb="FF000000"/>
        <rFont val="Calibri"/>
        <family val="2"/>
      </rPr>
      <t>DEPANEL</t>
    </r>
  </si>
  <si>
    <t>11/4 - 7:30</t>
  </si>
  <si>
    <t>11/4 - 9:00</t>
  </si>
  <si>
    <t>11/4 - 10:30</t>
  </si>
  <si>
    <r>
      <rPr>
        <sz val="9"/>
        <color rgb="FF000000"/>
        <rFont val="Calibri"/>
        <family val="2"/>
        <scheme val="minor"/>
      </rPr>
      <t xml:space="preserve">confirm bare + stencil
</t>
    </r>
    <r>
      <rPr>
        <strike/>
        <sz val="9"/>
        <color rgb="FF000000"/>
        <rFont val="Calibri"/>
        <family val="2"/>
        <scheme val="minor"/>
      </rPr>
      <t>CONFIRM SMT J3 GUIDE PIN</t>
    </r>
  </si>
  <si>
    <r>
      <rPr>
        <b/>
        <sz val="11"/>
        <color rgb="FF000000"/>
        <rFont val="Calibri"/>
        <family val="2"/>
      </rPr>
      <t xml:space="preserve">clear 10/13
</t>
    </r>
    <r>
      <rPr>
        <b/>
        <strike/>
        <sz val="11"/>
        <color rgb="FF000000"/>
        <rFont val="Calibri"/>
        <family val="2"/>
      </rPr>
      <t>awt pcb conf</t>
    </r>
  </si>
  <si>
    <r>
      <t xml:space="preserve">10/29 - kit clear
</t>
    </r>
    <r>
      <rPr>
        <b/>
        <strike/>
        <sz val="11"/>
        <color rgb="FF000000"/>
        <rFont val="Calibri"/>
        <family val="2"/>
      </rPr>
      <t>10/13 - short J1, no ETA (no skip)</t>
    </r>
  </si>
  <si>
    <t>135448
ROWC 134596</t>
  </si>
  <si>
    <r>
      <rPr>
        <b/>
        <sz val="12"/>
        <color rgb="FFFF0000"/>
        <rFont val="Calibri"/>
        <family val="2"/>
      </rPr>
      <t xml:space="preserve">*** DPAS DO-A7 ***
</t>
    </r>
    <r>
      <rPr>
        <b/>
        <sz val="11"/>
        <color rgb="FF000000"/>
        <rFont val="Calibri"/>
        <family val="2"/>
      </rPr>
      <t xml:space="preserve">CLASS 3
</t>
    </r>
    <r>
      <rPr>
        <b/>
        <sz val="14"/>
        <color rgb="FFFF0000"/>
        <rFont val="Calibri"/>
        <family val="2"/>
      </rPr>
      <t xml:space="preserve">*** 100% INSPECTION IS REQUIRED ***
</t>
    </r>
    <r>
      <rPr>
        <b/>
        <u/>
        <sz val="11"/>
        <color rgb="FF000000"/>
        <rFont val="Calibri"/>
        <family val="2"/>
      </rPr>
      <t xml:space="preserve">PREBAKE "U601_1 thru U601_6, U401_1, U401_2"
</t>
    </r>
    <r>
      <rPr>
        <b/>
        <sz val="11"/>
        <color rgb="FF000000"/>
        <rFont val="Calibri"/>
        <family val="2"/>
      </rPr>
      <t xml:space="preserve">LEADFREE, NO CLEAN
*** USE SAME SOLDER AS LAST BUILD - </t>
    </r>
    <r>
      <rPr>
        <b/>
        <u/>
        <sz val="11"/>
        <color rgb="FF000000"/>
        <rFont val="Calibri"/>
        <family val="2"/>
      </rPr>
      <t xml:space="preserve">ALPHA OM-340 </t>
    </r>
    <r>
      <rPr>
        <b/>
        <sz val="11"/>
        <color rgb="FF000000"/>
        <rFont val="Calibri"/>
        <family val="2"/>
      </rPr>
      <t>-</t>
    </r>
    <r>
      <rPr>
        <b/>
        <sz val="12"/>
        <color rgb="FFFF0000"/>
        <rFont val="Calibri"/>
        <family val="2"/>
      </rPr>
      <t xml:space="preserve"> *** RECORD LOT NUMBER
</t>
    </r>
    <r>
      <rPr>
        <b/>
        <u/>
        <sz val="14"/>
        <color rgb="FFFF0000"/>
        <rFont val="Calibri"/>
        <family val="2"/>
      </rPr>
      <t>100% XRAY REQ</t>
    </r>
    <r>
      <rPr>
        <b/>
        <sz val="14"/>
        <color rgb="FF000000"/>
        <rFont val="Calibri"/>
        <family val="2"/>
      </rPr>
      <t xml:space="preserve"> -</t>
    </r>
    <r>
      <rPr>
        <b/>
        <sz val="11"/>
        <color rgb="FF000000"/>
        <rFont val="Calibri"/>
        <family val="2"/>
      </rPr>
      <t xml:space="preserve"> SAVE IMAGES - SEE ECO
DEPANEL &amp; SAND
OVERPACK</t>
    </r>
  </si>
  <si>
    <t>11/3 - 10:30</t>
  </si>
  <si>
    <t>11/4 - 5:00</t>
  </si>
  <si>
    <r>
      <rPr>
        <strike/>
        <sz val="9"/>
        <color rgb="FF000000"/>
        <rFont val="Calibri"/>
        <family val="2"/>
        <scheme val="minor"/>
      </rPr>
      <t xml:space="preserve">ENSURE CORRECT PCB REV
</t>
    </r>
    <r>
      <rPr>
        <sz val="9"/>
        <color rgb="FF000000"/>
        <rFont val="Calibri"/>
        <family val="2"/>
        <scheme val="minor"/>
      </rPr>
      <t>-
n</t>
    </r>
    <r>
      <rPr>
        <strike/>
        <sz val="9"/>
        <color rgb="FF000000"/>
        <rFont val="Calibri"/>
        <family val="2"/>
        <scheme val="minor"/>
      </rPr>
      <t xml:space="preserve">ote solder requirement on folder
</t>
    </r>
    <r>
      <rPr>
        <sz val="9"/>
        <color rgb="FF000000"/>
        <rFont val="Calibri"/>
        <family val="2"/>
        <scheme val="minor"/>
      </rPr>
      <t xml:space="preserve">-
</t>
    </r>
    <r>
      <rPr>
        <strike/>
        <sz val="9"/>
        <color rgb="FF000000"/>
        <rFont val="Calibri"/>
        <family val="2"/>
        <scheme val="minor"/>
      </rPr>
      <t xml:space="preserve">verify prebake completed
</t>
    </r>
    <r>
      <rPr>
        <sz val="9"/>
        <color rgb="FF000000"/>
        <rFont val="Calibri"/>
        <family val="2"/>
        <scheme val="minor"/>
      </rPr>
      <t>-
Ensure folders are poroperly filled out post-assemblies</t>
    </r>
  </si>
  <si>
    <r>
      <t xml:space="preserve">clear 10/20
</t>
    </r>
    <r>
      <rPr>
        <b/>
        <strike/>
        <sz val="11"/>
        <color rgb="FF000000"/>
        <rFont val="Calibri"/>
        <family val="2"/>
      </rPr>
      <t>SHORT, NO ETA 10/19 10/13</t>
    </r>
  </si>
  <si>
    <r>
      <t xml:space="preserve">10/20 - kit clear
</t>
    </r>
    <r>
      <rPr>
        <b/>
        <strike/>
        <sz val="11"/>
        <color rgb="FF000000"/>
        <rFont val="Calibri"/>
        <family val="2"/>
      </rPr>
      <t>SHORT U404, U7A, and J1 (SMT) NO ETA *ECO NOTE14_USE NO CLEAN PROCESS*</t>
    </r>
  </si>
  <si>
    <r>
      <rPr>
        <b/>
        <sz val="11"/>
        <color rgb="FF000000"/>
        <rFont val="Calibri"/>
        <family val="2"/>
      </rPr>
      <t xml:space="preserve">10/28 - </t>
    </r>
    <r>
      <rPr>
        <b/>
        <strike/>
        <sz val="11"/>
        <color rgb="FF000000"/>
        <rFont val="Calibri"/>
        <family val="2"/>
      </rPr>
      <t xml:space="preserve">SMT complete 6 bottom, on HOLD to awt new #85 (J1)
</t>
    </r>
    <r>
      <rPr>
        <b/>
        <sz val="11"/>
        <color rgb="FF000000"/>
        <rFont val="Calibri"/>
        <family val="2"/>
      </rPr>
      <t xml:space="preserve">10/16 - PCBS REMAKE W/ 10/16 ETA 
</t>
    </r>
    <r>
      <rPr>
        <b/>
        <strike/>
        <sz val="11"/>
        <color rgb="FF000000"/>
        <rFont val="Calibri"/>
        <family val="2"/>
      </rPr>
      <t>8/15 - HOLD *DESIGN ISSUES)</t>
    </r>
  </si>
  <si>
    <t>134096
NEW</t>
  </si>
  <si>
    <r>
      <rPr>
        <b/>
        <sz val="11"/>
        <color rgb="FF000000"/>
        <rFont val="Calibri"/>
        <family val="2"/>
      </rPr>
      <t xml:space="preserve">Lead-Free No-Clean
</t>
    </r>
    <r>
      <rPr>
        <b/>
        <sz val="12"/>
        <color rgb="FFFF0000"/>
        <rFont val="Calibri"/>
        <family val="2"/>
      </rPr>
      <t xml:space="preserve">*** NEED TO EXPEDITE BY 2-3 DAYS
</t>
    </r>
    <r>
      <rPr>
        <b/>
        <sz val="11"/>
        <color rgb="FF000000"/>
        <rFont val="Calibri"/>
        <family val="2"/>
      </rPr>
      <t xml:space="preserve">DO NOT SKIP PREBAKE
NO CLEAN - CANNOT BE WASHED
"U67, U68" CHECK ORIENTATION PER ECO
"C422, U29" AFTER WASH - SEE ECO
"J7 x 14" MOUNT FLUSH TO PCB PER ECO
</t>
    </r>
    <r>
      <rPr>
        <b/>
        <sz val="12"/>
        <color rgb="FF000000"/>
        <rFont val="Calibri"/>
        <family val="2"/>
      </rPr>
      <t xml:space="preserve">*** </t>
    </r>
    <r>
      <rPr>
        <b/>
        <sz val="12"/>
        <color rgb="FFFF0000"/>
        <rFont val="Calibri"/>
        <family val="2"/>
      </rPr>
      <t xml:space="preserve">"J2" IS PRESS FIT CAN BE HAND SOLDERED IF WE DO NOT HAVE THE TOOLING - SEE ECO
</t>
    </r>
    <r>
      <rPr>
        <b/>
        <sz val="11"/>
        <color rgb="FF000000"/>
        <rFont val="Calibri"/>
        <family val="2"/>
      </rPr>
      <t xml:space="preserve">T/H MOUNT FLUSH TO PCB ("J4, J5" IS EXCEPTION
"J4, J5" HAVE STANDOFFS FOR PROPER HIEGHT OFF PCB - SEE ECO
DEPANEL
</t>
    </r>
    <r>
      <rPr>
        <b/>
        <u/>
        <sz val="11"/>
        <color rgb="FF000000"/>
        <rFont val="Calibri"/>
        <family val="2"/>
      </rPr>
      <t>install nuts</t>
    </r>
  </si>
  <si>
    <t>10/27 - 11:30</t>
  </si>
  <si>
    <t>10/29 - 2:00</t>
  </si>
  <si>
    <t>10/31 - 11:00</t>
  </si>
  <si>
    <t xml:space="preserve">Parallel Systems
</t>
  </si>
  <si>
    <t>SMT complete ASAP to give back more time</t>
  </si>
  <si>
    <t>9/19</t>
  </si>
  <si>
    <t>10/29 - kit clear</t>
  </si>
  <si>
    <t>136236
NEW</t>
  </si>
  <si>
    <r>
      <rPr>
        <b/>
        <sz val="11"/>
        <color rgb="FF000000"/>
        <rFont val="Calibri"/>
        <family val="2"/>
      </rPr>
      <t xml:space="preserve">DO NOT SKIP pREBAKE
</t>
    </r>
    <r>
      <rPr>
        <b/>
        <u/>
        <sz val="12"/>
        <color rgb="FFFF0000"/>
        <rFont val="Calibri"/>
        <family val="2"/>
      </rPr>
      <t xml:space="preserve">*** "U802, U504x4" - DO NOT WASH!!! - SEE ECO
</t>
    </r>
    <r>
      <rPr>
        <b/>
        <sz val="11"/>
        <color rgb="FF000000"/>
        <rFont val="Calibri"/>
        <family val="2"/>
      </rPr>
      <t>"SW200, SW301, SW501, SW700, SW900, BATT200" - AFTER WASH 
DEPANEL
SEE ECO #13 &amp; 14 FOR CofC REQUIREMENTS</t>
    </r>
  </si>
  <si>
    <t>N/A</t>
  </si>
  <si>
    <r>
      <t xml:space="preserve">clear 10/27
</t>
    </r>
    <r>
      <rPr>
        <b/>
        <strike/>
        <sz val="11"/>
        <color rgb="FF000000"/>
        <rFont val="Calibri"/>
        <family val="2"/>
      </rPr>
      <t>short due 10/28</t>
    </r>
  </si>
  <si>
    <r>
      <t xml:space="preserve">10/28 - kit clear
</t>
    </r>
    <r>
      <rPr>
        <b/>
        <strike/>
        <sz val="11"/>
        <color rgb="FF000000"/>
        <rFont val="Calibri"/>
        <family val="2"/>
      </rPr>
      <t>10/23 - short SMT J4, R11 &amp; R196 due up to 10/28
short SMT Y1, no ETA</t>
    </r>
  </si>
  <si>
    <t>136199
ROWC 124495</t>
  </si>
  <si>
    <t>11/4
5D</t>
  </si>
  <si>
    <t>"U19" LEAVE PASTE OFF THERMAL PAD
"J2" - MUST SOLDER TABS PER ECO
DEPANEL</t>
  </si>
  <si>
    <t>change process uploaded</t>
  </si>
  <si>
    <r>
      <t xml:space="preserve">clear 10/24 </t>
    </r>
    <r>
      <rPr>
        <b/>
        <strike/>
        <sz val="11"/>
        <color rgb="FF000000"/>
        <rFont val="Calibri"/>
        <family val="2"/>
      </rPr>
      <t>short due 10/24</t>
    </r>
  </si>
  <si>
    <r>
      <t xml:space="preserve">10/28 - kit clear
</t>
    </r>
    <r>
      <rPr>
        <b/>
        <strike/>
        <sz val="11"/>
        <color rgb="FF000000"/>
        <rFont val="Calibri"/>
        <family val="2"/>
      </rPr>
      <t>10/22 - short SMT J1 (no skip), no ETA 10/28</t>
    </r>
  </si>
  <si>
    <t>10/28 - lineman setup</t>
  </si>
  <si>
    <t>136203
ROWC 121977</t>
  </si>
  <si>
    <t>"U3" THERMAL PAD SHOULD NOT BE SOLDERED TO THE PCB
DEPANEL</t>
  </si>
  <si>
    <t>10/29 - 10:30</t>
  </si>
  <si>
    <t>10/29 - 12:30</t>
  </si>
  <si>
    <t>BAG 
alta stand complete</t>
  </si>
  <si>
    <r>
      <t xml:space="preserve">clear 10/28
</t>
    </r>
    <r>
      <rPr>
        <b/>
        <strike/>
        <sz val="11"/>
        <color rgb="FF000000"/>
        <rFont val="Calibri"/>
        <family val="2"/>
      </rPr>
      <t>short, no ETA 10/29</t>
    </r>
  </si>
  <si>
    <t>10/28 - kit clear
10/21 - matl clear</t>
  </si>
  <si>
    <t>10/29 - request new stencil
10/28 - lineman setup</t>
  </si>
  <si>
    <t>136202
ROWC 121984</t>
  </si>
  <si>
    <t>DEPANEL
Confirm w/ Robert/Tad bare boards are okay to use before starting</t>
  </si>
  <si>
    <t>10/30 - 1:30</t>
  </si>
  <si>
    <t>10/30 - 4:30</t>
  </si>
  <si>
    <t>10/31 - 8:00</t>
  </si>
  <si>
    <t>confirm with Tad if bare boards okay to use</t>
  </si>
  <si>
    <r>
      <rPr>
        <b/>
        <sz val="11"/>
        <color rgb="FF000000"/>
        <rFont val="Calibri"/>
        <family val="2"/>
      </rPr>
      <t xml:space="preserve">clear 10/28
</t>
    </r>
    <r>
      <rPr>
        <b/>
        <strike/>
        <sz val="11"/>
        <color rgb="FF000000"/>
        <rFont val="Calibri"/>
        <family val="2"/>
      </rPr>
      <t>short due 10/27</t>
    </r>
  </si>
  <si>
    <r>
      <rPr>
        <b/>
        <sz val="11"/>
        <color rgb="FF000000"/>
        <rFont val="Calibri"/>
        <family val="2"/>
      </rPr>
      <t xml:space="preserve">10/28 - kit clear
</t>
    </r>
    <r>
      <rPr>
        <b/>
        <strike/>
        <sz val="11"/>
        <color rgb="FF000000"/>
        <rFont val="Calibri"/>
        <family val="2"/>
      </rPr>
      <t>10/24 - short THT J2 due 10/28</t>
    </r>
  </si>
  <si>
    <t>136205
NEW</t>
  </si>
  <si>
    <t>"J1" PLACE AS IS
DEPANEL</t>
  </si>
  <si>
    <t>10/30 - 9:30</t>
  </si>
  <si>
    <r>
      <t xml:space="preserve">clear 10/16
</t>
    </r>
    <r>
      <rPr>
        <b/>
        <strike/>
        <sz val="11"/>
        <color rgb="FF000000"/>
        <rFont val="Calibri"/>
        <family val="2"/>
      </rPr>
      <t>short, no ETA</t>
    </r>
  </si>
  <si>
    <r>
      <t xml:space="preserve">10/28 - kit clear
</t>
    </r>
    <r>
      <rPr>
        <b/>
        <strike/>
        <sz val="11"/>
        <color rgb="FF000000"/>
        <rFont val="Calibri"/>
        <family val="2"/>
      </rPr>
      <t>10/28 - awt THT part conf (K1,K2)
10/16 - short THT
9/29 - short SMT LED3, no ETA
short THT many, no ETA</t>
    </r>
  </si>
  <si>
    <t>135593
NEW</t>
  </si>
  <si>
    <r>
      <rPr>
        <b/>
        <sz val="11"/>
        <color rgb="FF000000"/>
        <rFont val="Calibri"/>
        <family val="2"/>
      </rPr>
      <t xml:space="preserve">SOLDER BUILD UP ON GROUND PAD NOT EXCEED 0.06" HEIGHT
"SW1" AFTER WASH
TRIM LEADS 0.140 MAX
</t>
    </r>
    <r>
      <rPr>
        <b/>
        <u/>
        <sz val="11"/>
        <color rgb="FF000000"/>
        <rFont val="Calibri"/>
        <family val="2"/>
      </rPr>
      <t xml:space="preserve">RTV REQ PER ECO #10
install Mount Supports / Mech
</t>
    </r>
    <r>
      <rPr>
        <b/>
        <sz val="11"/>
        <color rgb="FF000000"/>
        <rFont val="Calibri"/>
        <family val="2"/>
      </rPr>
      <t>DEPANEL
OVERPACK</t>
    </r>
  </si>
  <si>
    <t>10/17 - 11:00</t>
  </si>
  <si>
    <t>10/20 - 9:00</t>
  </si>
  <si>
    <t xml:space="preserve">Friedrich Air Conditioning LLC
</t>
  </si>
  <si>
    <t>DOC REL 9/26</t>
  </si>
  <si>
    <t>rtv review</t>
  </si>
  <si>
    <r>
      <t xml:space="preserve">clear 10/30
</t>
    </r>
    <r>
      <rPr>
        <b/>
        <strike/>
        <sz val="11"/>
        <color rgb="FF000000"/>
        <rFont val="Calibri"/>
        <family val="2"/>
      </rPr>
      <t>short, no ETA 10/30</t>
    </r>
  </si>
  <si>
    <t>10/30 - kit clear
10/16 - matl clear</t>
  </si>
  <si>
    <t>10/27 - ship on 11/3 (Anne)</t>
  </si>
  <si>
    <t>136082
NEW</t>
  </si>
  <si>
    <r>
      <rPr>
        <b/>
        <sz val="14"/>
        <color rgb="FF000000"/>
        <rFont val="Calibri"/>
        <family val="2"/>
      </rPr>
      <t xml:space="preserve">11/3
</t>
    </r>
    <r>
      <rPr>
        <b/>
        <sz val="14"/>
        <color rgb="FFFF0000"/>
        <rFont val="Calibri"/>
        <family val="2"/>
      </rPr>
      <t>3D</t>
    </r>
  </si>
  <si>
    <r>
      <rPr>
        <b/>
        <sz val="11"/>
        <color rgb="FF000000"/>
        <rFont val="Calibri"/>
        <family val="2"/>
      </rPr>
      <t xml:space="preserve">expedite: ship on 11/3
CLASS 3
LEAD FREE WASH
PRESS FIT REQ
</t>
    </r>
    <r>
      <rPr>
        <b/>
        <u/>
        <sz val="11"/>
        <color rgb="FF000000"/>
        <rFont val="Calibri"/>
        <family val="2"/>
      </rPr>
      <t>install BP_VCC (hand-tight + qtr turn)</t>
    </r>
  </si>
  <si>
    <t>10/31 - 1:30</t>
  </si>
  <si>
    <r>
      <t xml:space="preserve">clear 9/9
</t>
    </r>
    <r>
      <rPr>
        <b/>
        <strike/>
        <sz val="11"/>
        <color rgb="FF000000"/>
        <rFont val="Calibri"/>
        <family val="2"/>
      </rPr>
      <t>short 9 boards due 9/8</t>
    </r>
  </si>
  <si>
    <r>
      <t xml:space="preserve">9/9 - kit clear
</t>
    </r>
    <r>
      <rPr>
        <b/>
        <strike/>
        <sz val="11"/>
        <color rgb="FF000000"/>
        <rFont val="Calibri"/>
        <family val="2"/>
      </rPr>
      <t>9/8 - short SMT: U28 (back will harvest), U30 due 9/9</t>
    </r>
  </si>
  <si>
    <t>9/9 - day 1 on LT 10 9/10 (Anne)</t>
  </si>
  <si>
    <t>133493-3 BAL
RONC 1ST</t>
  </si>
  <si>
    <t>11/3
10D</t>
  </si>
  <si>
    <r>
      <rPr>
        <b/>
        <sz val="11"/>
        <color rgb="FF000000"/>
        <rFont val="Calibri"/>
        <family val="2"/>
      </rPr>
      <t xml:space="preserve">harvest U28 from prev batch
</t>
    </r>
    <r>
      <rPr>
        <b/>
        <sz val="11"/>
        <color rgb="FFFF0000"/>
        <rFont val="Calibri"/>
        <family val="2"/>
      </rPr>
      <t>internal quality issue</t>
    </r>
    <r>
      <rPr>
        <b/>
        <sz val="11"/>
        <color rgb="FF000000"/>
        <rFont val="Calibri"/>
        <family val="2"/>
      </rPr>
      <t xml:space="preserve">: DURING SMT RUN, please make sure polarity is good for all boards within panel &amp; every panel before reflow
po: split shipment
</t>
    </r>
    <r>
      <rPr>
        <b/>
        <strike/>
        <sz val="11"/>
        <color rgb="FF000000"/>
        <rFont val="Calibri"/>
        <family val="2"/>
      </rPr>
      <t>- 300 pcs to ship 9-23
-</t>
    </r>
    <r>
      <rPr>
        <b/>
        <sz val="11"/>
        <color rgb="FF000000"/>
        <rFont val="Calibri"/>
        <family val="2"/>
      </rPr>
      <t xml:space="preserve"> 200 pcs to ship 11/3</t>
    </r>
  </si>
  <si>
    <t>9/11 - 11:30</t>
  </si>
  <si>
    <t>9/15 - 8:00</t>
  </si>
  <si>
    <t>9/16 - 2:30</t>
  </si>
  <si>
    <t>9/8</t>
  </si>
  <si>
    <r>
      <t xml:space="preserve">clear 10/27 </t>
    </r>
    <r>
      <rPr>
        <b/>
        <strike/>
        <sz val="11"/>
        <color rgb="FF000000"/>
        <rFont val="Calibri"/>
        <family val="2"/>
      </rPr>
      <t>short, no ETA 10/27</t>
    </r>
  </si>
  <si>
    <t>10/27 - kit clear
10/21 - matl clear</t>
  </si>
  <si>
    <t>10/29 - undersized J1, requires filing
10/28 - lineman setup</t>
  </si>
  <si>
    <t>136213
ROWC 125010</t>
  </si>
  <si>
    <t>11/3
5D</t>
  </si>
  <si>
    <t>NO CLEAN COLDER REQ
DEPANEL</t>
  </si>
  <si>
    <t>10/29 - 8:00</t>
  </si>
  <si>
    <t>10/29 - 10:00</t>
  </si>
  <si>
    <r>
      <t xml:space="preserve">clear 10/27
</t>
    </r>
    <r>
      <rPr>
        <b/>
        <strike/>
        <sz val="11"/>
        <color rgb="FF000000"/>
        <rFont val="Calibri"/>
        <family val="2"/>
      </rPr>
      <t>short, no ETA 10/24</t>
    </r>
  </si>
  <si>
    <r>
      <rPr>
        <b/>
        <sz val="11"/>
        <color rgb="FF000000"/>
        <rFont val="Calibri"/>
        <family val="2"/>
      </rPr>
      <t xml:space="preserve">10/27 - kit clear
10/23 - matl clear
</t>
    </r>
    <r>
      <rPr>
        <b/>
        <strike/>
        <sz val="11"/>
        <color rgb="FF000000"/>
        <rFont val="Calibri"/>
        <family val="2"/>
      </rPr>
      <t>10/21 - short SMT R1, J2, J3 &amp; J4 due 10/23</t>
    </r>
  </si>
  <si>
    <t>10/29 - many solder bridges after SMT complete
10/28 - lineman setup</t>
  </si>
  <si>
    <t>136204
ROWC 121978</t>
  </si>
  <si>
    <t>10/29 - 6:00</t>
  </si>
  <si>
    <r>
      <t xml:space="preserve">clear 10/24
</t>
    </r>
    <r>
      <rPr>
        <b/>
        <strike/>
        <sz val="11"/>
        <color rgb="FF000000"/>
        <rFont val="Calibri"/>
        <family val="2"/>
      </rPr>
      <t>short, no ETA</t>
    </r>
  </si>
  <si>
    <r>
      <t xml:space="preserve">10/27 - kit clear
</t>
    </r>
    <r>
      <rPr>
        <b/>
        <strike/>
        <sz val="11"/>
        <color rgb="FF000000"/>
        <rFont val="Calibri"/>
        <family val="2"/>
      </rPr>
      <t>10/23 - short SMT R40, no ETA 10/27</t>
    </r>
  </si>
  <si>
    <t>136198
ROWC 124126</t>
  </si>
  <si>
    <t>"J4" SOLDER PER ECO
"D4-D7, J3, J5" PLACE PART AS IS
DEPANEL</t>
  </si>
  <si>
    <t>10/30 - 2:00</t>
  </si>
  <si>
    <t>10/31 - 7:00</t>
  </si>
  <si>
    <r>
      <t xml:space="preserve">clear 10/28
</t>
    </r>
    <r>
      <rPr>
        <b/>
        <strike/>
        <sz val="11"/>
        <color rgb="FF000000"/>
        <rFont val="Calibri"/>
        <family val="2"/>
      </rPr>
      <t>short due 10/29 10/27</t>
    </r>
  </si>
  <si>
    <r>
      <t xml:space="preserve">10/28 - kit clear
</t>
    </r>
    <r>
      <rPr>
        <b/>
        <strike/>
        <sz val="11"/>
        <color rgb="FF000000"/>
        <rFont val="Calibri"/>
        <family val="2"/>
      </rPr>
      <t>10/21 - awt THT part conf "L19"
RTV DP-420 due 10/21</t>
    </r>
  </si>
  <si>
    <t>10/30 - do not populate Q4..
10/29 - Q4 gnd pads are small
10/28 - SMT top side 1st</t>
  </si>
  <si>
    <t>135818-FA
NEW</t>
  </si>
  <si>
    <r>
      <rPr>
        <b/>
        <sz val="14"/>
        <color rgb="FF000000"/>
        <rFont val="Calibri"/>
        <family val="2"/>
      </rPr>
      <t xml:space="preserve">11/3
</t>
    </r>
    <r>
      <rPr>
        <b/>
        <strike/>
        <sz val="14"/>
        <color rgb="FF000000"/>
        <rFont val="Calibri"/>
        <family val="2"/>
      </rPr>
      <t xml:space="preserve">10/31
</t>
    </r>
    <r>
      <rPr>
        <b/>
        <sz val="14"/>
        <color rgb="FFFF0000"/>
        <rFont val="Calibri"/>
        <family val="2"/>
      </rPr>
      <t>3D</t>
    </r>
  </si>
  <si>
    <r>
      <rPr>
        <b/>
        <sz val="11"/>
        <color rgb="FF000000"/>
        <rFont val="Calibri"/>
        <family val="2"/>
      </rPr>
      <t xml:space="preserve">L11 slots align w/pads. do not use Marking text for orientation
DNI Q4 &amp; ship w/ boards
bal qty 70
DO NOT SKIP PREBAKE
"L16" SEE ECO FOR "WE" MARKING ORIENTATION
"J3, J11" MUST BE FULLY SOLDERED
"C106, C107" SOLDER @ RIGHT ANGLE PER ECO
</t>
    </r>
    <r>
      <rPr>
        <b/>
        <u/>
        <sz val="11"/>
        <color rgb="FF000000"/>
        <rFont val="Calibri"/>
        <family val="2"/>
      </rPr>
      <t xml:space="preserve">"C106, C107" STAKE W/ DP-420
</t>
    </r>
    <r>
      <rPr>
        <b/>
        <sz val="11"/>
        <color rgb="FF000000"/>
        <rFont val="Calibri"/>
        <family val="2"/>
      </rPr>
      <t xml:space="preserve">DEPANEL
</t>
    </r>
    <r>
      <rPr>
        <b/>
        <u/>
        <sz val="11"/>
        <color rgb="FF000000"/>
        <rFont val="Calibri"/>
        <family val="2"/>
      </rPr>
      <t>install nuts</t>
    </r>
  </si>
  <si>
    <t>10/29 - 9:00</t>
  </si>
  <si>
    <t>10/30 - 11:30</t>
  </si>
  <si>
    <t>DOC REL 10/17</t>
  </si>
  <si>
    <r>
      <t xml:space="preserve">clear 10/29 </t>
    </r>
    <r>
      <rPr>
        <b/>
        <strike/>
        <sz val="11"/>
        <color rgb="FF000000"/>
        <rFont val="Calibri"/>
        <family val="2"/>
      </rPr>
      <t>short due 10/28</t>
    </r>
  </si>
  <si>
    <t>10/29 - kit clear
10/27 - matl clear</t>
  </si>
  <si>
    <t>136243
NEW</t>
  </si>
  <si>
    <t>10/31 - 6:30</t>
  </si>
  <si>
    <t>10/31 - 9:00</t>
  </si>
  <si>
    <r>
      <t xml:space="preserve">clear 10/17
</t>
    </r>
    <r>
      <rPr>
        <b/>
        <strike/>
        <sz val="11"/>
        <color rgb="FF000000"/>
        <rFont val="Calibri"/>
        <family val="2"/>
      </rPr>
      <t>short, no ETA7</t>
    </r>
  </si>
  <si>
    <r>
      <t xml:space="preserve">10/17 - kit clear
10/16 - matl clear
</t>
    </r>
    <r>
      <rPr>
        <b/>
        <strike/>
        <sz val="11"/>
        <color rgb="FF000000"/>
        <rFont val="Calibri"/>
        <family val="2"/>
      </rPr>
      <t>10/14 - short SMT C2 (qty 200), no ETA</t>
    </r>
  </si>
  <si>
    <t>10/14 - SMT top side 1st</t>
  </si>
  <si>
    <t>134962
RONC 134451</t>
  </si>
  <si>
    <r>
      <rPr>
        <b/>
        <sz val="14"/>
        <color rgb="FF000000"/>
        <rFont val="Calibri"/>
        <family val="2"/>
      </rPr>
      <t xml:space="preserve">11/3
</t>
    </r>
    <r>
      <rPr>
        <b/>
        <strike/>
        <sz val="14"/>
        <color rgb="FF000000"/>
        <rFont val="Calibri"/>
        <family val="2"/>
      </rPr>
      <t xml:space="preserve">10/31
</t>
    </r>
    <r>
      <rPr>
        <b/>
        <sz val="14"/>
        <color rgb="FF000000"/>
        <rFont val="Calibri"/>
        <family val="2"/>
      </rPr>
      <t>10D</t>
    </r>
  </si>
  <si>
    <r>
      <rPr>
        <b/>
        <sz val="11"/>
        <color rgb="FF000000"/>
        <rFont val="Calibri"/>
        <family val="2"/>
      </rPr>
      <t xml:space="preserve">*** </t>
    </r>
    <r>
      <rPr>
        <b/>
        <sz val="11"/>
        <color rgb="FFFF0000"/>
        <rFont val="Calibri"/>
        <family val="2"/>
      </rPr>
      <t xml:space="preserve">11/3 IS HARD SHIP DATE (FINISH EARLY BUT SHIP ON 11/3
</t>
    </r>
    <r>
      <rPr>
        <b/>
        <sz val="11"/>
        <color rgb="FF000000"/>
        <rFont val="Calibri"/>
        <family val="2"/>
      </rPr>
      <t>CLASS 3
LEAD CLEAN PROCESS
DEPANEL
LABEL ESD BAG AS WELL</t>
    </r>
  </si>
  <si>
    <t>10/23 - 12:30</t>
  </si>
  <si>
    <t>10/24 - 8:00</t>
  </si>
  <si>
    <t>10/24 - 12:00</t>
  </si>
  <si>
    <t>delam issue</t>
  </si>
  <si>
    <t>DOC REL 10/13</t>
  </si>
  <si>
    <t>10/14</t>
  </si>
  <si>
    <t>BAG 
eco complete</t>
  </si>
  <si>
    <t>clear 10/17</t>
  </si>
  <si>
    <t>10/17 - kit clear</t>
  </si>
  <si>
    <t>10/17 - day 1 is 10/21 (Anne)</t>
  </si>
  <si>
    <t>135907
NEW</t>
  </si>
  <si>
    <t>do not trim J24 leads
"BATT1" LEAVE PASTE ON CENTER PAD
DEPANEL
COATING &amp; LABELS WAIVED</t>
  </si>
  <si>
    <t>10/24 - 1:00</t>
  </si>
  <si>
    <t>10/27 - 8:30</t>
  </si>
  <si>
    <t>10/27 - 1:00</t>
  </si>
  <si>
    <t>CANX JOB 11/3</t>
  </si>
  <si>
    <t>10/28 - awt THT part confirm (J3)</t>
  </si>
  <si>
    <t>11/3 - CANX &amp; XFER TO B106604</t>
  </si>
  <si>
    <t>132912
NEW</t>
  </si>
  <si>
    <r>
      <rPr>
        <b/>
        <u/>
        <sz val="12"/>
        <color rgb="FFFF0000"/>
        <rFont val="Calibri"/>
        <family val="2"/>
      </rPr>
      <t xml:space="preserve">*** 11/3 CANX &amp; XFER TO B106604 - PCB REV CHANGE
</t>
    </r>
    <r>
      <rPr>
        <b/>
        <strike/>
        <sz val="11"/>
        <color rgb="FF104861"/>
        <rFont val="Calibri"/>
        <family val="2"/>
      </rPr>
      <t>DEPANEL
SEE ECO FOR CofC INFO
OVERPACK</t>
    </r>
  </si>
  <si>
    <t>DOC REL 10/27</t>
  </si>
  <si>
    <t>clear 10/16</t>
  </si>
  <si>
    <r>
      <t xml:space="preserve">10/17 - kit clear
</t>
    </r>
    <r>
      <rPr>
        <b/>
        <strike/>
        <sz val="11"/>
        <color rgb="FF000000"/>
        <rFont val="Calibri"/>
        <family val="2"/>
      </rPr>
      <t>10/16 - short SMT R28 due 10/17
10/16 - short SMT U12 &amp; R28 (qty high), no ETA</t>
    </r>
  </si>
  <si>
    <r>
      <rPr>
        <b/>
        <sz val="11"/>
        <color rgb="FF000000"/>
        <rFont val="Calibri"/>
        <family val="2"/>
      </rPr>
      <t xml:space="preserve">10/22 - </t>
    </r>
    <r>
      <rPr>
        <b/>
        <strike/>
        <sz val="11"/>
        <color rgb="FF000000"/>
        <rFont val="Calibri"/>
        <family val="2"/>
      </rPr>
      <t>PAUSE, pending print review per Trinh (24 boards ran) - new stencil requested</t>
    </r>
  </si>
  <si>
    <t>135694-2 bal
ROWC 127725</t>
  </si>
  <si>
    <t>10/31
10D</t>
  </si>
  <si>
    <r>
      <rPr>
        <b/>
        <sz val="12"/>
        <color rgb="FFFF0000"/>
        <rFont val="Calibri"/>
        <family val="2"/>
      </rPr>
      <t xml:space="preserve">*** </t>
    </r>
    <r>
      <rPr>
        <b/>
        <strike/>
        <sz val="12"/>
        <color rgb="FFFF0000"/>
        <rFont val="Calibri"/>
        <family val="2"/>
      </rPr>
      <t xml:space="preserve">PRE INSPECT PCB'S - "J3" SHOULD NOT HAVE A TAB PER ECO #4 - NOTIFY AA IF THERE IS A TAB
</t>
    </r>
    <r>
      <rPr>
        <b/>
        <sz val="12"/>
        <color rgb="FFFF0000"/>
        <rFont val="Calibri"/>
        <family val="2"/>
      </rPr>
      <t xml:space="preserve">(confirmed - okay)
</t>
    </r>
    <r>
      <rPr>
        <b/>
        <sz val="11"/>
        <color rgb="FF000000"/>
        <rFont val="Calibri"/>
        <family val="2"/>
      </rPr>
      <t>shipped qty 20 on 10/27
NO CLEAN BUILD
DEPANEL</t>
    </r>
  </si>
  <si>
    <t>10/21 - 11:00</t>
  </si>
  <si>
    <t>10/28 - 11:00</t>
  </si>
  <si>
    <t xml:space="preserve">Marshall Radio Telemetry Inc
</t>
  </si>
  <si>
    <r>
      <rPr>
        <sz val="8"/>
        <color rgb="FFFFC000"/>
        <rFont val="Calibri"/>
        <family val="2"/>
        <scheme val="minor"/>
      </rPr>
      <t>SMT quality issue, misalign &amp; USB too much solder (</t>
    </r>
    <r>
      <rPr>
        <strike/>
        <sz val="8"/>
        <color rgb="FFFFC000"/>
        <rFont val="Calibri"/>
        <family val="2"/>
        <scheme val="minor"/>
      </rPr>
      <t>may require move to Line 3</t>
    </r>
    <r>
      <rPr>
        <sz val="8"/>
        <color rgb="FFFFC000"/>
        <rFont val="Calibri"/>
        <family val="2"/>
        <scheme val="minor"/>
      </rPr>
      <t>)</t>
    </r>
  </si>
  <si>
    <t>DOC REL 10/2</t>
  </si>
  <si>
    <t>bag
alta stand complete</t>
  </si>
  <si>
    <t>verify pcbs have a tab</t>
  </si>
  <si>
    <r>
      <t xml:space="preserve">clear 10/16
</t>
    </r>
    <r>
      <rPr>
        <b/>
        <strike/>
        <sz val="11"/>
        <color rgb="FF000000"/>
        <rFont val="Calibri"/>
        <family val="2"/>
      </rPr>
      <t>short due 10/17</t>
    </r>
  </si>
  <si>
    <r>
      <t xml:space="preserve">10/17 - kit clear
</t>
    </r>
    <r>
      <rPr>
        <b/>
        <strike/>
        <sz val="11"/>
        <color rgb="FF000000"/>
        <rFont val="Calibri"/>
        <family val="2"/>
      </rPr>
      <t>9/30 - SMT matl clear
Short THT RT1 (qty 12 pieces), no ETA</t>
    </r>
  </si>
  <si>
    <t>135751
NEW</t>
  </si>
  <si>
    <r>
      <rPr>
        <b/>
        <u/>
        <sz val="11"/>
        <color rgb="FF000000"/>
        <rFont val="Calibri"/>
        <family val="2"/>
      </rPr>
      <t xml:space="preserve">"F1" INSTALL FUSE
</t>
    </r>
    <r>
      <rPr>
        <b/>
        <sz val="11"/>
        <color rgb="FF000000"/>
        <rFont val="Calibri"/>
        <family val="2"/>
      </rPr>
      <t>DEPANEL
OVERPACK
SPLIT SHIPMENT - QTY 10 TO 22820 E Appleway Ave Ste B
Liberty Lake, WA 99019-5214
/ QTY 50 TO 12234 N IH 35 Bldg B, Unit 100 Austin, TX 78753-1725
COATING &amp; RTV WAIVED</t>
    </r>
  </si>
  <si>
    <t>10/22 - 8:30</t>
  </si>
  <si>
    <t>10/22 - 10:00</t>
  </si>
  <si>
    <t>10/23 - 1:30</t>
  </si>
  <si>
    <t>purchase new labels?</t>
  </si>
  <si>
    <r>
      <t xml:space="preserve">10/28 - kit clear
10/27  - matl clear
</t>
    </r>
    <r>
      <rPr>
        <b/>
        <strike/>
        <sz val="11"/>
        <color rgb="FF000000"/>
        <rFont val="Calibri"/>
        <family val="2"/>
      </rPr>
      <t>10/24 - short SMT Y1 due 10/27
10/21 - short SMT 3x itms, no ETA</t>
    </r>
  </si>
  <si>
    <t>136210-FA
ROWC 121979</t>
  </si>
  <si>
    <r>
      <rPr>
        <b/>
        <sz val="14"/>
        <color rgb="FF000000"/>
        <rFont val="Calibri"/>
        <family val="2"/>
      </rPr>
      <t xml:space="preserve">10/31
</t>
    </r>
    <r>
      <rPr>
        <b/>
        <sz val="14"/>
        <color rgb="FFFF0000"/>
        <rFont val="Calibri"/>
        <family val="2"/>
      </rPr>
      <t>3D</t>
    </r>
  </si>
  <si>
    <r>
      <rPr>
        <b/>
        <sz val="11"/>
        <color rgb="FF000000"/>
        <rFont val="Calibri"/>
      </rPr>
      <t>FA qty change to 30 (</t>
    </r>
    <r>
      <rPr>
        <b/>
        <strike/>
        <sz val="11"/>
        <color rgb="FF000000"/>
        <rFont val="Calibri"/>
      </rPr>
      <t xml:space="preserve">awt </t>
    </r>
    <r>
      <rPr>
        <b/>
        <sz val="11"/>
        <color rgb="FF000000"/>
        <rFont val="Calibri"/>
      </rPr>
      <t>PO)
balance qty 55
DEPANEL &amp; SAND (0.07-0.20MM CALL OUT ON ECO)</t>
    </r>
  </si>
  <si>
    <t>10/28 - 12:00</t>
  </si>
  <si>
    <t>QTY CHANGE</t>
  </si>
  <si>
    <r>
      <t xml:space="preserve">clear 10/24
</t>
    </r>
    <r>
      <rPr>
        <b/>
        <strike/>
        <sz val="11"/>
        <color rgb="FF000000"/>
        <rFont val="Calibri"/>
        <family val="2"/>
      </rPr>
      <t>short, no ETA 10/24</t>
    </r>
  </si>
  <si>
    <t>10/24 - kit clear
10/21 - matl clear</t>
  </si>
  <si>
    <t>136207
NEW</t>
  </si>
  <si>
    <t>10/31
5D</t>
  </si>
  <si>
    <t>10/28 - 8:00</t>
  </si>
  <si>
    <t>10/28 - 10:00</t>
  </si>
  <si>
    <t>10/24 - kit clear
10/22 - matl clear</t>
  </si>
  <si>
    <t>10/28 - new stencil orderd</t>
  </si>
  <si>
    <t>136208
ROWC 121964</t>
  </si>
  <si>
    <t>10/28 - 1:00</t>
  </si>
  <si>
    <t>10/29 - 7:00</t>
  </si>
  <si>
    <r>
      <t xml:space="preserve">clear 10/23
</t>
    </r>
    <r>
      <rPr>
        <b/>
        <strike/>
        <sz val="11"/>
        <color rgb="FF000000"/>
        <rFont val="Calibri"/>
        <family val="2"/>
      </rPr>
      <t>short due 10/23</t>
    </r>
  </si>
  <si>
    <r>
      <t xml:space="preserve">10/23 - kit clear
10/23 - matl clear
</t>
    </r>
    <r>
      <rPr>
        <b/>
        <strike/>
        <sz val="11"/>
        <color rgb="FF000000"/>
        <rFont val="Calibri"/>
        <family val="2"/>
      </rPr>
      <t xml:space="preserve">10/22 - Short SMT R3, R16 &amp; Q1 due 10/23
Short THT J1 &amp; U3 due 10/23 </t>
    </r>
  </si>
  <si>
    <t>10/23 - ship on 10/30 (Anne)</t>
  </si>
  <si>
    <t>136195
ROWC 124493</t>
  </si>
  <si>
    <t>10/30
5D</t>
  </si>
  <si>
    <t>"U3" AFTER WASH
DEPANEL</t>
  </si>
  <si>
    <t>10/27 - 6:00</t>
  </si>
  <si>
    <t>10/27 - 8:00</t>
  </si>
  <si>
    <t>10/27 - 12:00</t>
  </si>
  <si>
    <t>136212
NEW</t>
  </si>
  <si>
    <t>10/28 - 10:30</t>
  </si>
  <si>
    <t>10/28 - 12:30</t>
  </si>
  <si>
    <t>10/28 - 1:30</t>
  </si>
  <si>
    <r>
      <rPr>
        <b/>
        <sz val="11"/>
        <color rgb="FF000000"/>
        <rFont val="Calibri"/>
        <family val="2"/>
      </rPr>
      <t xml:space="preserve">clear 10/22
</t>
    </r>
    <r>
      <rPr>
        <b/>
        <strike/>
        <sz val="11"/>
        <color rgb="FF000000"/>
        <rFont val="Calibri"/>
        <family val="2"/>
      </rPr>
      <t>short due 10/29 10/21</t>
    </r>
  </si>
  <si>
    <t>10/22 - kit clear
10/16 - matl clear</t>
  </si>
  <si>
    <t>10/17 - SMT top side 1st</t>
  </si>
  <si>
    <t>136231
RONC 134451</t>
  </si>
  <si>
    <t>10/29
5D</t>
  </si>
  <si>
    <t>CLASS 3
LEAD PROCESS
DEPANEL</t>
  </si>
  <si>
    <t>10/24 - 11:00</t>
  </si>
  <si>
    <t>on bag
complete ECO</t>
  </si>
  <si>
    <r>
      <t xml:space="preserve">clear 10/15
</t>
    </r>
    <r>
      <rPr>
        <b/>
        <strike/>
        <sz val="11"/>
        <color rgb="FF000000"/>
        <rFont val="Calibri"/>
        <family val="2"/>
      </rPr>
      <t>short, no ETA 10/15 to 10/17</t>
    </r>
  </si>
  <si>
    <t>10/15 - kit claer
9/24 - matl clear</t>
  </si>
  <si>
    <t>135639-2 bal
NEW</t>
  </si>
  <si>
    <t>10/29
10D</t>
  </si>
  <si>
    <t>*Full QTY 90 received - can run all at once
*** QUALITY ALERT - SOLDER BALL ON PREVIOUS BUILD - SEE ECO
SPLIT SHIP: 
10/22 QTY 15, 10/29 QTY 75
"PF1, C79,C83" AFTER WASH
"L3,4,5" INSTALL GAP PADS PER ECO
DEPANEL
RTV &amp; COATING WAIVED
OVERPACK</t>
  </si>
  <si>
    <t>10/16 - 8:30</t>
  </si>
  <si>
    <t>10/16 - 1:30</t>
  </si>
  <si>
    <t>DOC REL 9/23</t>
  </si>
  <si>
    <t>10/15</t>
  </si>
  <si>
    <r>
      <t xml:space="preserve">clear 10/9
</t>
    </r>
    <r>
      <rPr>
        <b/>
        <strike/>
        <sz val="11"/>
        <color rgb="FF000000"/>
        <rFont val="Calibri"/>
        <family val="2"/>
      </rPr>
      <t>short 1 pcb, no ETA</t>
    </r>
  </si>
  <si>
    <r>
      <rPr>
        <b/>
        <sz val="11"/>
        <color rgb="FF000000"/>
        <rFont val="Calibri"/>
        <family val="2"/>
      </rPr>
      <t xml:space="preserve">10/15 - kit clear
</t>
    </r>
    <r>
      <rPr>
        <b/>
        <strike/>
        <sz val="11"/>
        <color rgb="FF000000"/>
        <rFont val="Calibri"/>
        <family val="2"/>
      </rPr>
      <t>10/9 - short THT J1 assembly, due 10/14</t>
    </r>
  </si>
  <si>
    <t>136083
RONC 121672</t>
  </si>
  <si>
    <t>DEPANEL
10/9 - close short qty 24 of 25</t>
  </si>
  <si>
    <t>10/14 - 6:00</t>
  </si>
  <si>
    <t>10/14 -7:30</t>
  </si>
  <si>
    <t>prev BUILD qty 70 LT 5 THT needed xtra time</t>
  </si>
  <si>
    <t>DOC REL 10/7</t>
  </si>
  <si>
    <t>10/9</t>
  </si>
  <si>
    <t>run asap, back needs the extra time</t>
  </si>
  <si>
    <t>START ASAP</t>
  </si>
  <si>
    <t>clear 10/14</t>
  </si>
  <si>
    <t>10/14 - kit clear</t>
  </si>
  <si>
    <t>135904
NEW</t>
  </si>
  <si>
    <t>10/28
10D</t>
  </si>
  <si>
    <t>10/21 - 12:30</t>
  </si>
  <si>
    <t>10/21 - 2:30</t>
  </si>
  <si>
    <t>10/23 - 1:00</t>
  </si>
  <si>
    <t>alta L</t>
  </si>
  <si>
    <t>10/21 - kit clear
10/17 - matl clear</t>
  </si>
  <si>
    <t>136225
RONC 135977</t>
  </si>
  <si>
    <t>10/28
5D</t>
  </si>
  <si>
    <r>
      <rPr>
        <b/>
        <sz val="11"/>
        <color rgb="FF000000"/>
        <rFont val="Calibri"/>
        <family val="2"/>
      </rPr>
      <t xml:space="preserve">LEAD FREE PROCESS
WASH BOARDS AFTER SOLDER WITHIN 8 HRS PER ECO
*** </t>
    </r>
    <r>
      <rPr>
        <b/>
        <sz val="11"/>
        <color rgb="FFFF0000"/>
        <rFont val="Calibri"/>
        <family val="2"/>
      </rPr>
      <t xml:space="preserve">CofC REQUIRES ROHS PER ECO
</t>
    </r>
    <r>
      <rPr>
        <b/>
        <sz val="11"/>
        <color rgb="FF000000"/>
        <rFont val="Calibri"/>
        <family val="2"/>
      </rPr>
      <t>DEPANEL</t>
    </r>
  </si>
  <si>
    <r>
      <t xml:space="preserve">clear 9/30
</t>
    </r>
    <r>
      <rPr>
        <b/>
        <strike/>
        <sz val="11"/>
        <color rgb="FF000000"/>
        <rFont val="Calibri"/>
        <family val="2"/>
      </rPr>
      <t>short, no ETA 10/3</t>
    </r>
  </si>
  <si>
    <r>
      <t xml:space="preserve">9/30 - kit clear
9/9 - matl clear
</t>
    </r>
    <r>
      <rPr>
        <b/>
        <strike/>
        <sz val="11"/>
        <color rgb="FF000000"/>
        <rFont val="Calibri"/>
        <family val="2"/>
      </rPr>
      <t>9/8 - short SMT: R6 qty 100, no ETA</t>
    </r>
  </si>
  <si>
    <t>135359
NEW</t>
  </si>
  <si>
    <t>10/28
20D</t>
  </si>
  <si>
    <t>SHIP TO SNA (SEE ERIC)
"R2. R3" RESISTOR STACK - SEE ECO
DEPANEL</t>
  </si>
  <si>
    <t>10/3 - 7:00</t>
  </si>
  <si>
    <t>10/3 - 9:00</t>
  </si>
  <si>
    <t>DOC REL 9/5</t>
  </si>
  <si>
    <r>
      <t xml:space="preserve">1022 - kit clear
</t>
    </r>
    <r>
      <rPr>
        <b/>
        <strike/>
        <sz val="11"/>
        <color rgb="FF000000"/>
        <rFont val="Calibri"/>
        <family val="2"/>
      </rPr>
      <t>10/20 - short THT Q2, R14 &amp; R3, no ETA</t>
    </r>
  </si>
  <si>
    <t>10/27 - awt new parts</t>
  </si>
  <si>
    <t>135019
NEW</t>
  </si>
  <si>
    <r>
      <rPr>
        <b/>
        <sz val="14"/>
        <color rgb="FF000000"/>
        <rFont val="Calibri"/>
        <family val="2"/>
      </rPr>
      <t xml:space="preserve">10/27
</t>
    </r>
    <r>
      <rPr>
        <b/>
        <sz val="14"/>
        <color rgb="FFFF0000"/>
        <rFont val="Calibri"/>
        <family val="2"/>
      </rPr>
      <t>3D</t>
    </r>
  </si>
  <si>
    <r>
      <rPr>
        <b/>
        <sz val="12"/>
        <color rgb="FFFF0000"/>
        <rFont val="Calibri"/>
        <family val="2"/>
      </rPr>
      <t xml:space="preserve">*** DPAS DO-A1 - SHIP EARLY - CANNOT BE LATE!!!
</t>
    </r>
    <r>
      <rPr>
        <b/>
        <sz val="11"/>
        <color rgb="FF000000"/>
        <rFont val="Calibri"/>
        <family val="2"/>
      </rPr>
      <t>T/H ONLY
LEAD FREE WASH</t>
    </r>
  </si>
  <si>
    <t xml:space="preserve">Cablenet Wiring Prod.
</t>
  </si>
  <si>
    <t>10/20</t>
  </si>
  <si>
    <t>FIT CHECK</t>
  </si>
  <si>
    <t>10/20 - ship qty 20 on 10/27 (Anne)</t>
  </si>
  <si>
    <t>135694-1 par
ROWC 127725</t>
  </si>
  <si>
    <r>
      <rPr>
        <b/>
        <sz val="14"/>
        <color rgb="FF000000"/>
        <rFont val="Calibri"/>
        <family val="2"/>
      </rPr>
      <t xml:space="preserve">10/27
</t>
    </r>
    <r>
      <rPr>
        <b/>
        <strike/>
        <sz val="14"/>
        <color rgb="FF000000"/>
        <rFont val="Calibri"/>
        <family val="2"/>
      </rPr>
      <t>10D</t>
    </r>
  </si>
  <si>
    <r>
      <rPr>
        <b/>
        <sz val="12"/>
        <color rgb="FFFF0000"/>
        <rFont val="Calibri"/>
        <family val="2"/>
      </rPr>
      <t xml:space="preserve">*** </t>
    </r>
    <r>
      <rPr>
        <b/>
        <strike/>
        <sz val="12"/>
        <color rgb="FFFF0000"/>
        <rFont val="Calibri"/>
        <family val="2"/>
      </rPr>
      <t xml:space="preserve">PRE INSPECT PCB'S - "J3" SHOULD NOT HAVE A TAB PER ECO #4 - NOTIFY AA IF THERE IS A TAB
</t>
    </r>
    <r>
      <rPr>
        <b/>
        <sz val="12"/>
        <color rgb="FFFF0000"/>
        <rFont val="Calibri"/>
        <family val="2"/>
      </rPr>
      <t xml:space="preserve">(confirmed - okay)
</t>
    </r>
    <r>
      <rPr>
        <b/>
        <sz val="11"/>
        <color rgb="FF000000"/>
        <rFont val="Calibri"/>
        <family val="2"/>
      </rPr>
      <t>ship qty 20 on 10/27
balance remain qty 180
NO CLEAN BUILD
DEPANEL</t>
    </r>
  </si>
  <si>
    <t>10/22 - 11:00</t>
  </si>
  <si>
    <t>SMT quality issue, misalign &amp; USB too much solder (may require move to Line 3)</t>
  </si>
  <si>
    <t>on bag
alta stand complete</t>
  </si>
  <si>
    <r>
      <t xml:space="preserve">clear 10/22
</t>
    </r>
    <r>
      <rPr>
        <b/>
        <strike/>
        <sz val="11"/>
        <color rgb="FF000000"/>
        <rFont val="Calibri"/>
        <family val="2"/>
      </rPr>
      <t>short, no ETA 10/22</t>
    </r>
  </si>
  <si>
    <t>10/22 - kit clear
10/17 - matl clear</t>
  </si>
  <si>
    <t>10/22 - SMT top side 1st</t>
  </si>
  <si>
    <t>136144
NEW</t>
  </si>
  <si>
    <r>
      <rPr>
        <b/>
        <sz val="11"/>
        <color rgb="FF000000"/>
        <rFont val="Calibri"/>
        <family val="2"/>
      </rPr>
      <t xml:space="preserve">RUN AS NO-CLEAN
DO NOT SKIP PREBAKE
</t>
    </r>
    <r>
      <rPr>
        <b/>
        <sz val="12"/>
        <color rgb="FFFF0000"/>
        <rFont val="Calibri"/>
        <family val="2"/>
      </rPr>
      <t xml:space="preserve">*** "J2" LIMITED ATTRITION - DO NOT LOSE PARTS!!!
</t>
    </r>
    <r>
      <rPr>
        <b/>
        <sz val="11"/>
        <color rgb="FF000000"/>
        <rFont val="Calibri"/>
        <family val="2"/>
      </rPr>
      <t xml:space="preserve">"LS1, S1, D1" AFTER WASH
</t>
    </r>
    <r>
      <rPr>
        <b/>
        <sz val="12"/>
        <color rgb="FFFF0000"/>
        <rFont val="Calibri"/>
        <family val="2"/>
      </rPr>
      <t xml:space="preserve">*** "LS1" CANNOT BE WASHED!!!
</t>
    </r>
    <r>
      <rPr>
        <b/>
        <sz val="11"/>
        <color rgb="FF000000"/>
        <rFont val="Calibri"/>
        <family val="2"/>
      </rPr>
      <t>DEPANEL</t>
    </r>
  </si>
  <si>
    <t>10/23 - 6:00</t>
  </si>
  <si>
    <t>10/23 - 7:30</t>
  </si>
  <si>
    <t>10/23- 11:00</t>
  </si>
  <si>
    <r>
      <t xml:space="preserve">clear 10/15
</t>
    </r>
    <r>
      <rPr>
        <b/>
        <strike/>
        <sz val="11"/>
        <color rgb="FF000000"/>
        <rFont val="Calibri"/>
        <family val="2"/>
      </rPr>
      <t>short due 10/14</t>
    </r>
  </si>
  <si>
    <r>
      <rPr>
        <b/>
        <sz val="11"/>
        <color rgb="FF000000"/>
        <rFont val="Calibri"/>
        <family val="2"/>
      </rPr>
      <t xml:space="preserve">10/20- kit clear
</t>
    </r>
    <r>
      <rPr>
        <b/>
        <strike/>
        <sz val="11"/>
        <color rgb="FF000000"/>
        <rFont val="Calibri"/>
        <family val="2"/>
      </rPr>
      <t>10/15 - short SMT C33, no ETA &amp; awt SMT part conf D21
10/13 - short many SMT &amp; 2x THT line items, no ETA</t>
    </r>
  </si>
  <si>
    <t>135998
NEW</t>
  </si>
  <si>
    <t>10/27
5D</t>
  </si>
  <si>
    <r>
      <rPr>
        <b/>
        <sz val="11"/>
        <color rgb="FF000000"/>
        <rFont val="Calibri"/>
        <family val="2"/>
      </rPr>
      <t xml:space="preserve">DO NOT SKIP PREBAKE
*** </t>
    </r>
    <r>
      <rPr>
        <b/>
        <sz val="12"/>
        <color rgb="FFFF0000"/>
        <rFont val="Calibri"/>
        <family val="2"/>
      </rPr>
      <t>USE Sn96.5 Ag3.0 Cu0.5  ONL</t>
    </r>
    <r>
      <rPr>
        <b/>
        <sz val="11"/>
        <color rgb="FF000000"/>
        <rFont val="Calibri"/>
        <family val="2"/>
      </rPr>
      <t>Y
SEE ECO FOR CofC
DEPANEL
OVERPACK</t>
    </r>
  </si>
  <si>
    <t>10/22 - 5:00</t>
  </si>
  <si>
    <t>10/23 - 8:00</t>
  </si>
  <si>
    <t>Packet Digital /
ANDURIL</t>
  </si>
  <si>
    <t>DOC REL 10/3</t>
  </si>
  <si>
    <t>10435</t>
  </si>
  <si>
    <r>
      <t xml:space="preserve">clear 10/13
</t>
    </r>
    <r>
      <rPr>
        <b/>
        <strike/>
        <sz val="11"/>
        <color rgb="FF000000"/>
        <rFont val="Calibri"/>
        <family val="2"/>
      </rPr>
      <t>short due 10/14</t>
    </r>
  </si>
  <si>
    <r>
      <t xml:space="preserve">10/13 - kit clear
10/8 - matl clear
</t>
    </r>
    <r>
      <rPr>
        <b/>
        <strike/>
        <sz val="11"/>
        <color rgb="FF000000"/>
        <rFont val="Calibri"/>
        <family val="2"/>
      </rPr>
      <t>10/3 - short SMT J9, no ETA
short THT 2x, no ETA</t>
    </r>
  </si>
  <si>
    <t>135560
NEW</t>
  </si>
  <si>
    <t>10/27
10D</t>
  </si>
  <si>
    <r>
      <rPr>
        <b/>
        <sz val="11"/>
        <color rgb="FF000000"/>
        <rFont val="Calibri"/>
        <family val="2"/>
      </rPr>
      <t xml:space="preserve">BTD S1 - S4, ENSURE QTY 13 BOARDS ARE COMPLETE
DO NOT SKIP PCB PREBAKE
"U18, B1" AFTER WASH
</t>
    </r>
    <r>
      <rPr>
        <b/>
        <u/>
        <sz val="11"/>
        <color rgb="FF000000"/>
        <rFont val="Calibri"/>
        <family val="2"/>
      </rPr>
      <t>"B1" BATTERY - INSTALL</t>
    </r>
    <r>
      <rPr>
        <b/>
        <sz val="11"/>
        <color rgb="FF000000"/>
        <rFont val="Calibri"/>
        <family val="2"/>
      </rPr>
      <t xml:space="preserve"> PER ECO
</t>
    </r>
    <r>
      <rPr>
        <b/>
        <u/>
        <sz val="11"/>
        <color rgb="FF000000"/>
        <rFont val="Calibri"/>
        <family val="2"/>
      </rPr>
      <t>"MH1-5" INSTALL</t>
    </r>
    <r>
      <rPr>
        <b/>
        <sz val="11"/>
        <color rgb="FF000000"/>
        <rFont val="Calibri"/>
        <family val="2"/>
      </rPr>
      <t xml:space="preserve"> PER ECO
DEPANEL
press fit stand-offs</t>
    </r>
  </si>
  <si>
    <t>10/21 - 1:00</t>
  </si>
  <si>
    <t xml:space="preserve">Candela Corp.
</t>
  </si>
  <si>
    <t>REMIND BACK OF BTD request</t>
  </si>
  <si>
    <t>10/3</t>
  </si>
  <si>
    <r>
      <rPr>
        <b/>
        <sz val="11"/>
        <color rgb="FF000000"/>
        <rFont val="Calibri"/>
        <family val="2"/>
      </rPr>
      <t xml:space="preserve">10/17 - kit clear
</t>
    </r>
    <r>
      <rPr>
        <b/>
        <strike/>
        <sz val="11"/>
        <color rgb="FF000000"/>
        <rFont val="Calibri"/>
        <family val="2"/>
      </rPr>
      <t>10/16 - short SMT 8x due 10/17
short THT 3x due 10/17</t>
    </r>
  </si>
  <si>
    <t>136171
ROWC 131078</t>
  </si>
  <si>
    <t>10/24
5D</t>
  </si>
  <si>
    <t>10/20 - 1:30</t>
  </si>
  <si>
    <t>10/21 - 7:00</t>
  </si>
  <si>
    <r>
      <t xml:space="preserve">clear 10/17
</t>
    </r>
    <r>
      <rPr>
        <b/>
        <strike/>
        <sz val="11"/>
        <color rgb="FF000000"/>
        <rFont val="Calibri"/>
        <family val="2"/>
      </rPr>
      <t>short, no ETA 10/20</t>
    </r>
  </si>
  <si>
    <r>
      <t xml:space="preserve">10/16 - kit clear
</t>
    </r>
    <r>
      <rPr>
        <b/>
        <strike/>
        <sz val="11"/>
        <color rgb="FF000000"/>
        <rFont val="Calibri"/>
        <family val="2"/>
      </rPr>
      <t>10/15 - awt SMT part confs x2 x1</t>
    </r>
  </si>
  <si>
    <t>10/21 - #88 (Q10..) lead trimming issue</t>
  </si>
  <si>
    <t>136055
NEW</t>
  </si>
  <si>
    <r>
      <rPr>
        <b/>
        <sz val="11"/>
        <color rgb="FF000000"/>
        <rFont val="Calibri"/>
        <family val="2"/>
      </rPr>
      <t xml:space="preserve">"U2, U7" AFTER WASH
</t>
    </r>
    <r>
      <rPr>
        <b/>
        <sz val="12"/>
        <color rgb="FFFF0000"/>
        <rFont val="Calibri"/>
        <family val="2"/>
      </rPr>
      <t xml:space="preserve">*** "Q10, Q11" SEE ECO #8 FOR INSTALLATOIN
DEPANEL
</t>
    </r>
    <r>
      <rPr>
        <b/>
        <sz val="11"/>
        <color rgb="FF000000"/>
        <rFont val="Calibri"/>
        <family val="2"/>
      </rPr>
      <t>MAKE SURE BOARDS ARE FREE &amp; CLEAN OF DEBRIS &amp; CONTAMINANTS
SEE ECO #10 FOR LABEL &amp; PACKING INSTRUCTIONS</t>
    </r>
  </si>
  <si>
    <t>10/20 - 11:00</t>
  </si>
  <si>
    <r>
      <rPr>
        <b/>
        <sz val="11"/>
        <color rgb="FF000000"/>
        <rFont val="Calibri"/>
        <family val="2"/>
      </rPr>
      <t xml:space="preserve">clear for qty 87 9/26
</t>
    </r>
    <r>
      <rPr>
        <b/>
        <strike/>
        <sz val="11"/>
        <color rgb="FF000000"/>
        <rFont val="Calibri"/>
        <family val="2"/>
      </rPr>
      <t>qty 87 due 9/22
short due 11/6</t>
    </r>
  </si>
  <si>
    <r>
      <rPr>
        <b/>
        <sz val="11"/>
        <color rgb="FF000000"/>
        <rFont val="Calibri"/>
        <family val="2"/>
      </rPr>
      <t xml:space="preserve">9/26 - kit clear for qty 87
</t>
    </r>
    <r>
      <rPr>
        <b/>
        <strike/>
        <sz val="11"/>
        <color rgb="FF000000"/>
        <rFont val="Calibri"/>
        <family val="2"/>
      </rPr>
      <t>9/2 - short SMT U9 due 9/11, R5 &amp; Q13 qty high - no ETA
short THT VR1 no ETA</t>
    </r>
  </si>
  <si>
    <t>9/26 - okay to run qty 87 (Anne)</t>
  </si>
  <si>
    <t>133973-1 PAR
NEW</t>
  </si>
  <si>
    <t>10/24
20D</t>
  </si>
  <si>
    <t>split shipment: qty 87 on 10/24
BALANCE REMAIN: QTY 167
LEAD WASH
DEPANEL</t>
  </si>
  <si>
    <t>10/1 - 8:30</t>
  </si>
  <si>
    <t>10/2 - 6:30</t>
  </si>
  <si>
    <r>
      <t xml:space="preserve">clear 10/17
</t>
    </r>
    <r>
      <rPr>
        <b/>
        <strike/>
        <sz val="11"/>
        <color rgb="FF000000"/>
        <rFont val="Calibri"/>
        <family val="2"/>
      </rPr>
      <t>short, no ETA 10/16 10/15 9/30 9/29  9/12 9/16 7/11</t>
    </r>
  </si>
  <si>
    <r>
      <rPr>
        <b/>
        <sz val="11"/>
        <color rgb="FF000000"/>
        <rFont val="Calibri"/>
        <family val="2"/>
      </rPr>
      <t xml:space="preserve">10/20 - kit clear
8/8 - matl clear
</t>
    </r>
    <r>
      <rPr>
        <b/>
        <strike/>
        <sz val="11"/>
        <color rgb="FF000000"/>
        <rFont val="Calibri"/>
        <family val="2"/>
      </rPr>
      <t>6/30 - SMT: R1 due this week, IC12 (no ETA) 7/15, R8 ok to use</t>
    </r>
  </si>
  <si>
    <t>10/17 - have not received the official "kit clear"</t>
  </si>
  <si>
    <t>133802-2 bal
ROWC 125768</t>
  </si>
  <si>
    <r>
      <rPr>
        <b/>
        <sz val="12"/>
        <color rgb="FFFF0000"/>
        <rFont val="Calibri"/>
        <family val="2"/>
      </rPr>
      <t xml:space="preserve">*** PREBAKE PCB'S 24 HR MIN
RUN BARE PCB'S ONE CYCLE THROUGH REFLOW @ SMT PROFILE TEMP
</t>
    </r>
    <r>
      <rPr>
        <b/>
        <sz val="11"/>
        <color rgb="FF000000"/>
        <rFont val="Calibri"/>
        <family val="2"/>
      </rPr>
      <t>LEAD PROCESS
10/22 - shipped expedite qty 20
"L1" T/H PER ECO
SAND REQ (PER FAB DRAWING)
DEPANEL</t>
    </r>
  </si>
  <si>
    <t>10/21 - 7:30</t>
  </si>
  <si>
    <t xml:space="preserve">TendoNova Corporation
</t>
  </si>
  <si>
    <t>DOC REL 6/26</t>
  </si>
  <si>
    <t>6/30</t>
  </si>
  <si>
    <t>1 res part change
uploaded</t>
  </si>
  <si>
    <t>inform robert special</t>
  </si>
  <si>
    <r>
      <t xml:space="preserve">clear 10/20
</t>
    </r>
    <r>
      <rPr>
        <b/>
        <strike/>
        <sz val="11"/>
        <color rgb="FF000000"/>
        <rFont val="Calibri"/>
        <family val="2"/>
      </rPr>
      <t>short due 10/20</t>
    </r>
  </si>
  <si>
    <r>
      <rPr>
        <b/>
        <sz val="11"/>
        <color rgb="FF000000"/>
        <rFont val="Calibri"/>
        <family val="2"/>
      </rPr>
      <t xml:space="preserve">10/20 - kit clear
10/16 - matl clear
</t>
    </r>
    <r>
      <rPr>
        <b/>
        <strike/>
        <sz val="11"/>
        <color rgb="FF000000"/>
        <rFont val="Calibri"/>
        <family val="2"/>
      </rPr>
      <t>10/15 - short THT J2 due 10/16</t>
    </r>
  </si>
  <si>
    <t>10/16 - SMT top side 1st</t>
  </si>
  <si>
    <t>136143
NEW</t>
  </si>
  <si>
    <r>
      <rPr>
        <b/>
        <sz val="14"/>
        <color rgb="FF000000"/>
        <rFont val="Calibri"/>
        <family val="2"/>
      </rPr>
      <t xml:space="preserve">10/23
</t>
    </r>
    <r>
      <rPr>
        <b/>
        <sz val="14"/>
        <color rgb="FFFF0000"/>
        <rFont val="Calibri"/>
        <family val="2"/>
      </rPr>
      <t>3D</t>
    </r>
  </si>
  <si>
    <t>10/22 - 6:00</t>
  </si>
  <si>
    <t>10/22 - 7:30</t>
  </si>
  <si>
    <t>clear 10/9</t>
  </si>
  <si>
    <t>10/9 - kit clear</t>
  </si>
  <si>
    <t>135614
NEW</t>
  </si>
  <si>
    <t>10/23
10D</t>
  </si>
  <si>
    <t>"J2" MOUNT PER ECO</t>
  </si>
  <si>
    <t>10/16 - 7:00</t>
  </si>
  <si>
    <t>10/16 - 10:30</t>
  </si>
  <si>
    <t>Safe Grain Inc. / Maxi-Tronic</t>
  </si>
  <si>
    <t>133802-1 par
ROWC 125768</t>
  </si>
  <si>
    <r>
      <rPr>
        <b/>
        <sz val="14"/>
        <color rgb="FF000000"/>
        <rFont val="Calibri"/>
        <family val="2"/>
      </rPr>
      <t xml:space="preserve">10/22
</t>
    </r>
    <r>
      <rPr>
        <b/>
        <strike/>
        <sz val="14"/>
        <color rgb="FF000000"/>
        <rFont val="Calibri"/>
        <family val="2"/>
      </rPr>
      <t>10/23
10D</t>
    </r>
  </si>
  <si>
    <r>
      <rPr>
        <b/>
        <sz val="12"/>
        <color rgb="FFFF0000"/>
        <rFont val="Calibri"/>
        <family val="2"/>
      </rPr>
      <t xml:space="preserve">EXPEDITE min qty 20
*** PREBAKE PCB'S 24 HR MIN
RUN BARE PCB'S ONE CYCLE THROUGH REFLOW @ SMT PROFILE TEMP
</t>
    </r>
    <r>
      <rPr>
        <b/>
        <sz val="11"/>
        <color rgb="FF000000"/>
        <rFont val="Calibri"/>
        <family val="2"/>
      </rPr>
      <t>LEAD PROCESS
balance 70
"L1" T/H PER ECO
SAND REQ (PER FAB DRAWING)
DEPANEL</t>
    </r>
  </si>
  <si>
    <r>
      <t xml:space="preserve">clear 10/1
</t>
    </r>
    <r>
      <rPr>
        <b/>
        <strike/>
        <sz val="11"/>
        <color rgb="FF000000"/>
        <rFont val="Calibri"/>
        <family val="2"/>
      </rPr>
      <t>short, no ETA 9/23 8/15 8/11</t>
    </r>
  </si>
  <si>
    <r>
      <t xml:space="preserve">10/1 - kit clear
7/28 - matl clear
</t>
    </r>
    <r>
      <rPr>
        <b/>
        <strike/>
        <sz val="11"/>
        <color rgb="FF000000"/>
        <rFont val="Calibri"/>
        <family val="2"/>
      </rPr>
      <t>7/25 - awt part conf #165 (Q5,Q7) - ok to use</t>
    </r>
  </si>
  <si>
    <t>133512
NEW</t>
  </si>
  <si>
    <t>10/22
15D</t>
  </si>
  <si>
    <r>
      <rPr>
        <b/>
        <sz val="11"/>
        <color rgb="FF000000"/>
        <rFont val="Calibri"/>
        <family val="2"/>
      </rPr>
      <t xml:space="preserve">*** </t>
    </r>
    <r>
      <rPr>
        <b/>
        <sz val="11"/>
        <color rgb="FFFF0000"/>
        <rFont val="Calibri"/>
        <family val="2"/>
      </rPr>
      <t xml:space="preserve">RUN CAREFULLY </t>
    </r>
    <r>
      <rPr>
        <b/>
        <sz val="11"/>
        <color rgb="FF000000"/>
        <rFont val="Calibri"/>
        <family val="2"/>
      </rPr>
      <t>- ATTRITION IS MINIMAL
Class 3
Leaded Wash
D35 &amp; D36 place as is</t>
    </r>
  </si>
  <si>
    <t>10/16 - 1:00</t>
  </si>
  <si>
    <t>10/16 - 2:00</t>
  </si>
  <si>
    <t>DOC REL 7/21</t>
  </si>
  <si>
    <t>135639-1 par
NEW</t>
  </si>
  <si>
    <t>10/22
5D</t>
  </si>
  <si>
    <r>
      <rPr>
        <b/>
        <sz val="11"/>
        <color rgb="FF000000"/>
        <rFont val="Calibri"/>
        <family val="2"/>
      </rPr>
      <t xml:space="preserve">*** </t>
    </r>
    <r>
      <rPr>
        <b/>
        <sz val="11"/>
        <color rgb="FFFF0000"/>
        <rFont val="Calibri"/>
        <family val="2"/>
      </rPr>
      <t>QUALITY ALERT</t>
    </r>
    <r>
      <rPr>
        <b/>
        <sz val="11"/>
        <color rgb="FF000000"/>
        <rFont val="Calibri"/>
        <family val="2"/>
      </rPr>
      <t xml:space="preserve"> - SOLDER BALL ON PREVIOUS BUILD - SEE ECO
BALANCE QTY 75
SPLIT SHIP: 
10/22 QTY 15, 10/29 QTY 75
"PF1, C79,C83" AFTER WASH
"L3,4,5" INSTALL GAP PADS PER ECO
DEPANEL
RTV &amp; COATING WAIVED
OVERPACK</t>
    </r>
  </si>
  <si>
    <t>10/17 - 10:00</t>
  </si>
  <si>
    <t>9/24</t>
  </si>
  <si>
    <r>
      <t xml:space="preserve">clear 10/15
</t>
    </r>
    <r>
      <rPr>
        <b/>
        <strike/>
        <sz val="11"/>
        <color rgb="FF000000"/>
        <rFont val="Calibri"/>
        <family val="2"/>
      </rPr>
      <t>short due 10/15</t>
    </r>
  </si>
  <si>
    <r>
      <t xml:space="preserve">10/15 - kit clear
10/14 - matl clear
</t>
    </r>
    <r>
      <rPr>
        <b/>
        <strike/>
        <sz val="11"/>
        <color rgb="FF000000"/>
        <rFont val="Calibri"/>
        <family val="2"/>
      </rPr>
      <t>10/13 - awt SMT 3x part conf
awt THT 2x part conf</t>
    </r>
  </si>
  <si>
    <t>136084
NEW</t>
  </si>
  <si>
    <r>
      <rPr>
        <b/>
        <sz val="11"/>
        <color rgb="FF000000"/>
        <rFont val="Calibri"/>
        <family val="2"/>
      </rPr>
      <t xml:space="preserve">DO NOT SKIP PREBAKE
"SW1" AFTER WASH
</t>
    </r>
    <r>
      <rPr>
        <b/>
        <u/>
        <sz val="11"/>
        <color rgb="FF000000"/>
        <rFont val="Calibri"/>
        <family val="2"/>
      </rPr>
      <t xml:space="preserve">"Q22" MECH REQ </t>
    </r>
    <r>
      <rPr>
        <b/>
        <sz val="11"/>
        <color rgb="FF000000"/>
        <rFont val="Calibri"/>
        <family val="2"/>
      </rPr>
      <t xml:space="preserve">PER ECO #4
</t>
    </r>
    <r>
      <rPr>
        <b/>
        <u/>
        <sz val="11"/>
        <color rgb="FF000000"/>
        <rFont val="Calibri"/>
        <family val="2"/>
      </rPr>
      <t>"F1" FUSE ASSY</t>
    </r>
    <r>
      <rPr>
        <b/>
        <sz val="11"/>
        <color rgb="FF000000"/>
        <rFont val="Calibri"/>
        <family val="2"/>
      </rPr>
      <t xml:space="preserve"> REQ PER ECO #3
DEPANEL
OVERPACK
CofC SEE ECO
</t>
    </r>
    <r>
      <rPr>
        <b/>
        <sz val="12"/>
        <color rgb="FF000000"/>
        <rFont val="Calibri"/>
        <family val="2"/>
      </rPr>
      <t xml:space="preserve">*** </t>
    </r>
    <r>
      <rPr>
        <b/>
        <sz val="12"/>
        <color rgb="FFFF0000"/>
        <rFont val="Calibri"/>
        <family val="2"/>
      </rPr>
      <t>MAKE SURE WE HAVE TRAVELER &amp; RELATED DOCS FILLED OUT FOR INSPECTION &amp; TEST RECORDS&amp; SIGNED - SEE ECO #9</t>
    </r>
  </si>
  <si>
    <t>10/17 - 9:00</t>
  </si>
  <si>
    <t>DOC REL 10/9</t>
  </si>
  <si>
    <t>Ensure folders are poroperly filled out post-assemblies</t>
  </si>
  <si>
    <r>
      <t>clear 10/14 s</t>
    </r>
    <r>
      <rPr>
        <b/>
        <strike/>
        <sz val="11"/>
        <color rgb="FF000000"/>
        <rFont val="Calibri"/>
        <family val="2"/>
      </rPr>
      <t>hort, no ETA 10/14</t>
    </r>
  </si>
  <si>
    <r>
      <t xml:space="preserve">10/14 - kit clear
10/8 - matl clear
</t>
    </r>
    <r>
      <rPr>
        <b/>
        <strike/>
        <sz val="11"/>
        <color rgb="FF000000"/>
        <rFont val="Calibri"/>
        <family val="2"/>
      </rPr>
      <t>10/7 - short SMT L1, no ETA</t>
    </r>
  </si>
  <si>
    <r>
      <rPr>
        <b/>
        <sz val="11"/>
        <color rgb="FF000000"/>
        <rFont val="Calibri"/>
        <family val="2"/>
      </rPr>
      <t xml:space="preserve">10/15 - </t>
    </r>
    <r>
      <rPr>
        <b/>
        <sz val="11"/>
        <color rgb="FFFF0000"/>
        <rFont val="Calibri"/>
        <family val="2"/>
      </rPr>
      <t>wrong stencil</t>
    </r>
  </si>
  <si>
    <t>135977
NEW</t>
  </si>
  <si>
    <t>10/21
5D</t>
  </si>
  <si>
    <t>LEAD FREE PROCESS
WASH BOARDS AFTER SOLDER WITHIN 8 HRS PER ECO
*** CofC REQUIRES ROHS PER ECO
DEPANEL</t>
  </si>
  <si>
    <t>10/15 - 8:30</t>
  </si>
  <si>
    <t>10/15 - 2:30</t>
  </si>
  <si>
    <t>10/7</t>
  </si>
  <si>
    <t>z</t>
  </si>
  <si>
    <r>
      <t xml:space="preserve">clear 10/7
</t>
    </r>
    <r>
      <rPr>
        <b/>
        <strike/>
        <sz val="11"/>
        <color rgb="FF000000"/>
        <rFont val="Calibri"/>
        <family val="2"/>
      </rPr>
      <t>short due 10/17</t>
    </r>
  </si>
  <si>
    <t>10/7 - kit clear
10/6 - matl clear</t>
  </si>
  <si>
    <t>135633
RONC 135123</t>
  </si>
  <si>
    <t>10/21
10D</t>
  </si>
  <si>
    <t>10/14 - 7:00</t>
  </si>
  <si>
    <t>10/14 - 8:30</t>
  </si>
  <si>
    <t xml:space="preserve">Innomotics LLC
</t>
  </si>
  <si>
    <t>10/6</t>
  </si>
  <si>
    <r>
      <t xml:space="preserve">clear 10/16
</t>
    </r>
    <r>
      <rPr>
        <b/>
        <strike/>
        <sz val="11"/>
        <color rgb="FF000000"/>
        <rFont val="Calibri"/>
        <family val="2"/>
      </rPr>
      <t>short, no ETA 10/17</t>
    </r>
  </si>
  <si>
    <t>10/16 - kit clear
10/9 - matl clear</t>
  </si>
  <si>
    <t>136054
NEW</t>
  </si>
  <si>
    <t>10/23
5D</t>
  </si>
  <si>
    <t>DO NOT SKIP PREBAKE
NO CLEAN SOLDER
DEPANEL
MAKE SURE BOARDS ARE FREE &amp; CLEAN OF DEBRIS &amp; CONTAMINTS</t>
  </si>
  <si>
    <t>10/20 - 12:00</t>
  </si>
  <si>
    <t>DOC REL 10/8</t>
  </si>
  <si>
    <r>
      <t xml:space="preserve">clear 10/6
</t>
    </r>
    <r>
      <rPr>
        <b/>
        <strike/>
        <sz val="11"/>
        <color rgb="FF000000"/>
        <rFont val="Calibri"/>
        <family val="2"/>
      </rPr>
      <t>short, no ETA 10/6</t>
    </r>
  </si>
  <si>
    <r>
      <t xml:space="preserve">10/6 - kit clear
</t>
    </r>
    <r>
      <rPr>
        <b/>
        <strike/>
        <sz val="11"/>
        <color rgb="FF000000"/>
        <rFont val="Calibri"/>
        <family val="2"/>
      </rPr>
      <t>9/29 - short SMT IC1 &amp; U8, no ETA</t>
    </r>
  </si>
  <si>
    <t>9/29 - SMT top side 1st</t>
  </si>
  <si>
    <t>135739
NEW</t>
  </si>
  <si>
    <t>10/20
10D</t>
  </si>
  <si>
    <t>"C179" AFTER WASH
DEPANEL
OVERPACK
SPLIT SHIPMENT - QTY 10 TO 22820 E Appleway Ave Ste B
Liberty Lake, WA 99019-5214
/ QTY 50 TO 12234 N IH 35 Bldg B, Unit 100 Austin, TX 78753-1725
COATING &amp; RTV WAIVED</t>
  </si>
  <si>
    <t>10/14 - 10:30</t>
  </si>
  <si>
    <t>10/15 - 11:00</t>
  </si>
  <si>
    <r>
      <t xml:space="preserve">clear 9/24
</t>
    </r>
    <r>
      <rPr>
        <b/>
        <strike/>
        <sz val="11"/>
        <color rgb="FF000000"/>
        <rFont val="Calibri"/>
        <family val="2"/>
      </rPr>
      <t>short qty 75 ETA 9/22</t>
    </r>
  </si>
  <si>
    <r>
      <t xml:space="preserve">10/6 - kit clear
</t>
    </r>
    <r>
      <rPr>
        <b/>
        <strike/>
        <sz val="11"/>
        <color rgb="FF000000"/>
        <rFont val="Calibri"/>
        <family val="2"/>
      </rPr>
      <t>9/18 - short SMT IC1 &amp; U8, no ETA</t>
    </r>
  </si>
  <si>
    <t>9/26 - TOP SIDE 1ST</t>
  </si>
  <si>
    <t>135567-2
bal NEW</t>
  </si>
  <si>
    <t>run all at once
SPLIT SHIPMENT - QTY 15/5 DAY - QTY 75/10 DAY
"C179" AFTER WASH
DEPANEL
OVERPACK</t>
  </si>
  <si>
    <t>10/7 - 2:00</t>
  </si>
  <si>
    <t>10/8 - 1:00</t>
  </si>
  <si>
    <t>10/13 - 1:30</t>
  </si>
  <si>
    <t>Infinitum Electric</t>
  </si>
  <si>
    <t>DOC REL 9/17</t>
  </si>
  <si>
    <t>9/18</t>
  </si>
  <si>
    <r>
      <t xml:space="preserve">clear 10/17
</t>
    </r>
    <r>
      <rPr>
        <b/>
        <strike/>
        <sz val="11"/>
        <color rgb="FF000000"/>
        <rFont val="Calibri"/>
        <family val="2"/>
      </rPr>
      <t>short DUE 10/17</t>
    </r>
  </si>
  <si>
    <t>10/17 - kit clear
10/14 - matl clear</t>
  </si>
  <si>
    <t>10/14 - SMT TOP SIDE 1ST</t>
  </si>
  <si>
    <t>136232
NEW</t>
  </si>
  <si>
    <r>
      <rPr>
        <b/>
        <sz val="14"/>
        <color rgb="FF000000"/>
        <rFont val="Calibri"/>
        <family val="2"/>
      </rPr>
      <t xml:space="preserve">10/20
</t>
    </r>
    <r>
      <rPr>
        <b/>
        <sz val="14"/>
        <color rgb="FFFF0000"/>
        <rFont val="Calibri"/>
        <family val="2"/>
      </rPr>
      <t>1D</t>
    </r>
  </si>
  <si>
    <t>LEAD NO CLEAN BUILD
DO NOT SKIP PREBAKE
DEPANEL</t>
  </si>
  <si>
    <t>10/20 -7:00</t>
  </si>
  <si>
    <r>
      <t xml:space="preserve">clear 10/13
</t>
    </r>
    <r>
      <rPr>
        <b/>
        <strike/>
        <sz val="11"/>
        <color rgb="FF000000"/>
        <rFont val="Calibri"/>
        <family val="2"/>
      </rPr>
      <t>short, no ETA</t>
    </r>
  </si>
  <si>
    <t>10/13 - kit clear
10/10 - matl clear</t>
  </si>
  <si>
    <t>136053
NEW</t>
  </si>
  <si>
    <t>10/20
5D</t>
  </si>
  <si>
    <r>
      <rPr>
        <b/>
        <sz val="11"/>
        <color rgb="FF000000"/>
        <rFont val="Calibri"/>
        <family val="2"/>
      </rPr>
      <t>NO CLEAN SOLDER ONLY
*** "BZ1" AFTER WASH -</t>
    </r>
    <r>
      <rPr>
        <b/>
        <sz val="11"/>
        <color rgb="FF104861"/>
        <rFont val="Calibri"/>
        <family val="2"/>
      </rPr>
      <t xml:space="preserve"> </t>
    </r>
    <r>
      <rPr>
        <b/>
        <sz val="11"/>
        <color rgb="FFFF0000"/>
        <rFont val="Calibri"/>
        <family val="2"/>
      </rPr>
      <t xml:space="preserve">DO NOT ALLOW ANY GAS TO GET INSIDE
</t>
    </r>
    <r>
      <rPr>
        <b/>
        <sz val="11"/>
        <color rgb="FF000000"/>
        <rFont val="Calibri"/>
        <family val="2"/>
      </rPr>
      <t>DEPANEL
ASSY TO BE FREE &amp; CLEAN OF DUST.DEBRIS</t>
    </r>
  </si>
  <si>
    <t>10/14 - 9:30</t>
  </si>
  <si>
    <t>10/10</t>
  </si>
  <si>
    <r>
      <t xml:space="preserve">clear 9/30 </t>
    </r>
    <r>
      <rPr>
        <b/>
        <strike/>
        <sz val="11"/>
        <color rgb="FF000000"/>
        <rFont val="Calibri"/>
        <family val="2"/>
      </rPr>
      <t>short, no ETA</t>
    </r>
  </si>
  <si>
    <r>
      <t xml:space="preserve">10/15 - kit clear
</t>
    </r>
    <r>
      <rPr>
        <b/>
        <strike/>
        <sz val="11"/>
        <color rgb="FF000000"/>
        <rFont val="Calibri"/>
        <family val="2"/>
      </rPr>
      <t>9/29 - short SMT U1, no ETA
short THT U3, no ETA 10/6</t>
    </r>
  </si>
  <si>
    <t>135880
RONC 133925</t>
  </si>
  <si>
    <r>
      <rPr>
        <b/>
        <sz val="14"/>
        <color rgb="FF000000"/>
        <rFont val="Calibri"/>
        <family val="2"/>
      </rPr>
      <t xml:space="preserve">10/20
</t>
    </r>
    <r>
      <rPr>
        <b/>
        <strike/>
        <sz val="14"/>
        <color rgb="FF000000"/>
        <rFont val="Calibri"/>
        <family val="2"/>
      </rPr>
      <t>10/22
10D</t>
    </r>
  </si>
  <si>
    <r>
      <rPr>
        <b/>
        <sz val="12"/>
        <color rgb="FF000000"/>
        <rFont val="Calibri"/>
        <family val="2"/>
      </rPr>
      <t xml:space="preserve">SHIP BY 10/22
*** </t>
    </r>
    <r>
      <rPr>
        <b/>
        <sz val="12"/>
        <color rgb="FFFF0000"/>
        <rFont val="Calibri"/>
        <family val="2"/>
      </rPr>
      <t xml:space="preserve">USE SILICON PLUGS FOR "U1" PRIOR TO REFLOW
</t>
    </r>
    <r>
      <rPr>
        <b/>
        <u/>
        <sz val="12"/>
        <color rgb="FFFF0000"/>
        <rFont val="Calibri"/>
        <family val="2"/>
      </rPr>
      <t xml:space="preserve">*** KEEP "U1" SENSOR SEALED IN BAG UNTIL TIME TO RUN - RESEAL WHEN DONE
</t>
    </r>
    <r>
      <rPr>
        <b/>
        <sz val="11"/>
        <color rgb="FF000000"/>
        <rFont val="Calibri"/>
        <family val="2"/>
      </rPr>
      <t>"U1" x-ray required
LEAD-FREE, NO CLEAN
"U3" PRESS FIT SHIELD
DEPANEL
boards clean of flux before shipping
do not ship excess matl</t>
    </r>
  </si>
  <si>
    <t>10/14 - 8:00</t>
  </si>
  <si>
    <t>10/14 - 1:00</t>
  </si>
  <si>
    <t>DO WE RUN FULL 350?</t>
  </si>
  <si>
    <t>b134634 photos</t>
  </si>
  <si>
    <t>DO NOT OPEN U1 until job starts</t>
  </si>
  <si>
    <r>
      <rPr>
        <b/>
        <sz val="11"/>
        <color rgb="FF000000"/>
        <rFont val="Calibri"/>
        <family val="2"/>
      </rPr>
      <t xml:space="preserve">clear 10/13
</t>
    </r>
    <r>
      <rPr>
        <b/>
        <strike/>
        <sz val="11"/>
        <color rgb="FF000000"/>
        <rFont val="Calibri"/>
        <family val="2"/>
      </rPr>
      <t>short, no ETA 10/14</t>
    </r>
  </si>
  <si>
    <r>
      <rPr>
        <b/>
        <sz val="11"/>
        <color rgb="FF000000"/>
        <rFont val="Calibri"/>
        <family val="2"/>
      </rPr>
      <t xml:space="preserve">10/13 - kit clear
10/10 - matl clear
</t>
    </r>
    <r>
      <rPr>
        <b/>
        <strike/>
        <sz val="11"/>
        <color rgb="FF000000"/>
        <rFont val="Calibri"/>
        <family val="2"/>
      </rPr>
      <t>10/8 - short THT BT1, no ETA</t>
    </r>
  </si>
  <si>
    <t>10/15 - #21 diode reversed</t>
  </si>
  <si>
    <t>136069
NEW</t>
  </si>
  <si>
    <t>"BT1" AFTER WASH
DEPANEL</t>
  </si>
  <si>
    <t>10/15 - 10:30</t>
  </si>
  <si>
    <t xml:space="preserve">Altec Industries
</t>
  </si>
  <si>
    <t>10/8</t>
  </si>
  <si>
    <r>
      <t xml:space="preserve">clear 9/12
</t>
    </r>
    <r>
      <rPr>
        <b/>
        <strike/>
        <sz val="11"/>
        <color rgb="FF000000"/>
        <rFont val="Calibri"/>
        <family val="2"/>
      </rPr>
      <t>short, no ETA</t>
    </r>
  </si>
  <si>
    <r>
      <t xml:space="preserve">10/15 - kit clear
</t>
    </r>
    <r>
      <rPr>
        <b/>
        <strike/>
        <sz val="11"/>
        <color rgb="FF000000"/>
        <rFont val="Calibri"/>
        <family val="2"/>
      </rPr>
      <t>9/8 - short #16 (SW1) &amp; #18 (Q2), no ETA</t>
    </r>
  </si>
  <si>
    <r>
      <rPr>
        <b/>
        <sz val="11"/>
        <color rgb="FF000000"/>
        <rFont val="Calibri"/>
        <family val="2"/>
      </rPr>
      <t xml:space="preserve">10/15 - </t>
    </r>
    <r>
      <rPr>
        <b/>
        <sz val="11"/>
        <color rgb="FFFF0000"/>
        <rFont val="Calibri"/>
        <family val="2"/>
      </rPr>
      <t xml:space="preserve">on HOLD SW1 guide pin issue (per Tad)
</t>
    </r>
    <r>
      <rPr>
        <b/>
        <sz val="11"/>
        <color rgb="FF000000"/>
        <rFont val="Calibri"/>
        <family val="2"/>
      </rPr>
      <t>10/14 - ship 2-days after kit clear (per Anne)</t>
    </r>
  </si>
  <si>
    <t>135178
ROWC 123452</t>
  </si>
  <si>
    <r>
      <rPr>
        <b/>
        <sz val="14"/>
        <color rgb="FF000000"/>
        <rFont val="Calibri"/>
        <family val="2"/>
      </rPr>
      <t xml:space="preserve">10/20
</t>
    </r>
    <r>
      <rPr>
        <b/>
        <strike/>
        <sz val="14"/>
        <color rgb="FF000000"/>
        <rFont val="Calibri"/>
        <family val="2"/>
      </rPr>
      <t xml:space="preserve">10/17?
</t>
    </r>
    <r>
      <rPr>
        <b/>
        <sz val="14"/>
        <color rgb="FF000000"/>
        <rFont val="Calibri"/>
        <family val="2"/>
      </rPr>
      <t>10D</t>
    </r>
  </si>
  <si>
    <t>trim SW1 &amp; nearby leads to place part as flush as possible w/o shorting.  SW1 cannot be taller than R10
THT only
C1 &amp; C2 placements see ECO
depanel
Lead-Free Wash</t>
  </si>
  <si>
    <t>review THT parts</t>
  </si>
  <si>
    <r>
      <t xml:space="preserve">clear 10/3
</t>
    </r>
    <r>
      <rPr>
        <b/>
        <strike/>
        <sz val="11"/>
        <color rgb="FF000000"/>
        <rFont val="Calibri"/>
        <family val="2"/>
      </rPr>
      <t>short, no ETA 10/3</t>
    </r>
  </si>
  <si>
    <r>
      <t xml:space="preserve">10/3 - kit clear
</t>
    </r>
    <r>
      <rPr>
        <b/>
        <strike/>
        <sz val="11"/>
        <color rgb="FF000000"/>
        <rFont val="Calibri"/>
        <family val="2"/>
      </rPr>
      <t xml:space="preserve">10/2 - SMT matl clear
9/22 - short SMT U7 &amp; LED3, no ETA
</t>
    </r>
    <r>
      <rPr>
        <b/>
        <sz val="11"/>
        <color rgb="FF000000"/>
        <rFont val="Calibri"/>
        <family val="2"/>
      </rPr>
      <t>short THT 3x line items, no ETA</t>
    </r>
  </si>
  <si>
    <t>134944
NEW</t>
  </si>
  <si>
    <t>10/17
10D</t>
  </si>
  <si>
    <r>
      <rPr>
        <b/>
        <sz val="11"/>
        <color rgb="FF000000"/>
        <rFont val="Calibri"/>
        <family val="2"/>
      </rPr>
      <t xml:space="preserve">SOLDER BUILD UP ON GROUND PAD NOT TO EXCEED 0.06" HEIGHT
"D34" SEE ECO FOR MASKING
"SW2" AFTER WASH
</t>
    </r>
    <r>
      <rPr>
        <b/>
        <sz val="12"/>
        <color rgb="FFFF0000"/>
        <rFont val="Calibri"/>
        <family val="2"/>
      </rPr>
      <t>*** "U7" CONFIRM MP</t>
    </r>
    <r>
      <rPr>
        <b/>
        <u/>
        <sz val="18"/>
        <color rgb="FFFF0000"/>
        <rFont val="Calibri"/>
        <family val="2"/>
      </rPr>
      <t>Q</t>
    </r>
    <r>
      <rPr>
        <b/>
        <sz val="12"/>
        <color rgb="FFFF0000"/>
        <rFont val="Calibri"/>
        <family val="2"/>
      </rPr>
      <t xml:space="preserve">4559DN-LF-Z IS USED INSTEAD OF MP4559DN-LF-Z - SEE ECO
</t>
    </r>
    <r>
      <rPr>
        <b/>
        <sz val="11"/>
        <color rgb="FF000000"/>
        <rFont val="Calibri"/>
        <family val="2"/>
      </rPr>
      <t xml:space="preserve">TRIM LEADS 0.140" MAX
</t>
    </r>
    <r>
      <rPr>
        <b/>
        <u/>
        <sz val="11"/>
        <color rgb="FF000000"/>
        <rFont val="Calibri"/>
        <family val="2"/>
      </rPr>
      <t>install MP4 - MP7</t>
    </r>
  </si>
  <si>
    <t>10/13 - 8:30</t>
  </si>
  <si>
    <t>9/22</t>
  </si>
  <si>
    <t>complete ECO</t>
  </si>
  <si>
    <t>clear 9/29</t>
  </si>
  <si>
    <t>10/14 - 3RD PARTY ASSEMBLY DUE 10/15</t>
  </si>
  <si>
    <t>133580-2 bal
NEW</t>
  </si>
  <si>
    <r>
      <rPr>
        <b/>
        <sz val="14"/>
        <color rgb="FF000000"/>
        <rFont val="Calibri"/>
        <family val="2"/>
      </rPr>
      <t xml:space="preserve">10/17
</t>
    </r>
    <r>
      <rPr>
        <b/>
        <strike/>
        <sz val="14"/>
        <color rgb="FF000000"/>
        <rFont val="Calibri"/>
        <family val="2"/>
      </rPr>
      <t xml:space="preserve">10/15?
</t>
    </r>
    <r>
      <rPr>
        <b/>
        <sz val="14"/>
        <color rgb="FFFF0000"/>
        <rFont val="Calibri"/>
        <family val="2"/>
      </rPr>
      <t>3D</t>
    </r>
  </si>
  <si>
    <r>
      <rPr>
        <b/>
        <sz val="11"/>
        <color rgb="FFFF0000"/>
        <rFont val="Calibri"/>
        <family val="2"/>
      </rPr>
      <t>ALERT</t>
    </r>
    <r>
      <rPr>
        <b/>
        <sz val="11"/>
        <color rgb="FF000000"/>
        <rFont val="Calibri"/>
        <family val="2"/>
      </rPr>
      <t>! confirm w/</t>
    </r>
    <r>
      <rPr>
        <b/>
        <sz val="11"/>
        <color rgb="FFFF0000"/>
        <rFont val="Calibri"/>
        <family val="2"/>
      </rPr>
      <t xml:space="preserve">Tad </t>
    </r>
    <r>
      <rPr>
        <b/>
        <sz val="11"/>
        <color rgb="FF000000"/>
        <rFont val="Calibri"/>
        <family val="2"/>
      </rPr>
      <t>bare boards okay to use before SMT start
T/H ONLY
CLASS 3
DEPANEL</t>
    </r>
  </si>
  <si>
    <t>Diversified Supply</t>
  </si>
  <si>
    <t>DOC REL 9/22</t>
  </si>
  <si>
    <t>clear 9/26</t>
  </si>
  <si>
    <r>
      <t xml:space="preserve">10/8 - kit clear
</t>
    </r>
    <r>
      <rPr>
        <b/>
        <strike/>
        <sz val="11"/>
        <color rgb="FF000000"/>
        <rFont val="Calibri"/>
        <family val="2"/>
      </rPr>
      <t>/26 - short SMT 2x shield frames, no ETA</t>
    </r>
  </si>
  <si>
    <r>
      <t xml:space="preserve">10/1 </t>
    </r>
    <r>
      <rPr>
        <b/>
        <strike/>
        <sz val="11"/>
        <color rgb="FF000000"/>
        <rFont val="Calibri"/>
        <family val="2"/>
      </rPr>
      <t>- pause.  wait for top side shield frame</t>
    </r>
  </si>
  <si>
    <t>135347
NEW</t>
  </si>
  <si>
    <t>10/15
5D</t>
  </si>
  <si>
    <t>Lead Wash
DNI H1 &amp; H2
Class 3
C2, C12 &amp; C13 place as-is
ECO #7 specific height req</t>
  </si>
  <si>
    <t>9/30 - 1:30</t>
  </si>
  <si>
    <t>10/1 - 12:00</t>
  </si>
  <si>
    <t>10/13 - 7:00</t>
  </si>
  <si>
    <t>9/26</t>
  </si>
  <si>
    <t>ON BAG
Aalta stand complete</t>
  </si>
  <si>
    <t>inform lineman of the DNI</t>
  </si>
  <si>
    <r>
      <t xml:space="preserve">clear 10/1
</t>
    </r>
    <r>
      <rPr>
        <b/>
        <strike/>
        <sz val="11"/>
        <color rgb="FF000000"/>
        <rFont val="Calibri"/>
        <family val="2"/>
      </rPr>
      <t>short 10/8</t>
    </r>
  </si>
  <si>
    <t>10/1 - kit clear
9/30 - matl clear</t>
  </si>
  <si>
    <t>135736
ROWC 135616</t>
  </si>
  <si>
    <t>10/15
10D</t>
  </si>
  <si>
    <r>
      <rPr>
        <b/>
        <sz val="12"/>
        <color rgb="FF000000"/>
        <rFont val="Calibri"/>
        <family val="2"/>
      </rPr>
      <t xml:space="preserve">*** </t>
    </r>
    <r>
      <rPr>
        <b/>
        <sz val="12"/>
        <color rgb="FFFF0000"/>
        <rFont val="Calibri"/>
        <family val="2"/>
      </rPr>
      <t>QUALITY ALERT</t>
    </r>
    <r>
      <rPr>
        <b/>
        <sz val="12"/>
        <color rgb="FF000000"/>
        <rFont val="Calibri"/>
        <family val="2"/>
      </rPr>
      <t xml:space="preserve"> - SEE ECO FOR DAMAGED CAP &amp; DELAM FROM DEPANEL
</t>
    </r>
    <r>
      <rPr>
        <b/>
        <sz val="11"/>
        <color rgb="FF000000"/>
        <rFont val="Calibri"/>
        <family val="2"/>
      </rPr>
      <t xml:space="preserve">"SW1-SW8, L2" AFTER WASH
</t>
    </r>
    <r>
      <rPr>
        <b/>
        <u/>
        <sz val="11"/>
        <color rgb="FF000000"/>
        <rFont val="Calibri"/>
        <family val="2"/>
      </rPr>
      <t xml:space="preserve">"SW9 &amp; J16" SEE ECO FOR INSTALL
</t>
    </r>
    <r>
      <rPr>
        <b/>
        <sz val="11"/>
        <color rgb="FF000000"/>
        <rFont val="Calibri"/>
        <family val="2"/>
      </rPr>
      <t>DEPANEL
OVERPACK</t>
    </r>
  </si>
  <si>
    <t>10/8 - 8:30</t>
  </si>
  <si>
    <t>10/8 - 1:30</t>
  </si>
  <si>
    <t>SWITCH CHANGE UPLOADED</t>
  </si>
  <si>
    <r>
      <t xml:space="preserve">clear 10/1
</t>
    </r>
    <r>
      <rPr>
        <b/>
        <strike/>
        <sz val="11"/>
        <color rgb="FF000000"/>
        <rFont val="Calibri"/>
        <family val="2"/>
      </rPr>
      <t>rec'd 45 9/30
SHORT, NO ETA 10/6</t>
    </r>
  </si>
  <si>
    <r>
      <t xml:space="preserve">10/1 - kit clear
9/24 - matl clear
</t>
    </r>
    <r>
      <rPr>
        <b/>
        <strike/>
        <sz val="11"/>
        <color rgb="FF000000"/>
        <rFont val="Calibri"/>
        <family val="2"/>
      </rPr>
      <t xml:space="preserve">9/19-SHORT C16 (Alt P/N 1210GC102KAT1A) SMT-ETA 9/22
</t>
    </r>
    <r>
      <rPr>
        <b/>
        <sz val="11"/>
        <color rgb="FF000000"/>
        <rFont val="Calibri"/>
        <family val="2"/>
      </rPr>
      <t>*Split shipment: QTY 15 on a 5 Day Turn/QTY 75 on a 10 Day Turn – can run all at once if cleared</t>
    </r>
  </si>
  <si>
    <t>135616-1
bal NEW</t>
  </si>
  <si>
    <r>
      <rPr>
        <b/>
        <sz val="11"/>
        <color rgb="FF000000"/>
        <rFont val="Calibri"/>
        <family val="2"/>
      </rPr>
      <t xml:space="preserve">SPLIT SHIPMENT - QTY 15/5 DAY - QTY 75 10 DAY
*** </t>
    </r>
    <r>
      <rPr>
        <b/>
        <sz val="11"/>
        <color rgb="FFFF0000"/>
        <rFont val="Calibri"/>
        <family val="2"/>
      </rPr>
      <t>QUALITY ALERT</t>
    </r>
    <r>
      <rPr>
        <b/>
        <sz val="11"/>
        <color rgb="FF000000"/>
        <rFont val="Calibri"/>
        <family val="2"/>
      </rPr>
      <t xml:space="preserve"> - SEE ECO FOR DAMAGED CAP &amp; DELAM
"SW1-SW8, L2" AFTER WASH
</t>
    </r>
    <r>
      <rPr>
        <b/>
        <u/>
        <sz val="11"/>
        <color rgb="FF000000"/>
        <rFont val="Calibri"/>
        <family val="2"/>
      </rPr>
      <t xml:space="preserve">"SW9 &amp; J16" SEE ECO FOR INSTALL
</t>
    </r>
    <r>
      <rPr>
        <b/>
        <sz val="11"/>
        <color rgb="FF000000"/>
        <rFont val="Calibri"/>
        <family val="2"/>
      </rPr>
      <t>DEPANEL
OVERPACK</t>
    </r>
  </si>
  <si>
    <t>10/2 - 6:00</t>
  </si>
  <si>
    <t>10/2 - 11:30</t>
  </si>
  <si>
    <t>10/3 - 12:00</t>
  </si>
  <si>
    <t>clear 10/6</t>
  </si>
  <si>
    <t>10/6 - kit clear</t>
  </si>
  <si>
    <t>134401-2nd
RONC 1ST</t>
  </si>
  <si>
    <r>
      <rPr>
        <b/>
        <sz val="14"/>
        <color rgb="FF000000"/>
        <rFont val="Calibri"/>
        <family val="2"/>
      </rPr>
      <t xml:space="preserve">10/14
</t>
    </r>
    <r>
      <rPr>
        <b/>
        <strike/>
        <sz val="14"/>
        <color rgb="FF000000"/>
        <rFont val="Calibri"/>
        <family val="2"/>
      </rPr>
      <t xml:space="preserve">10/13*
</t>
    </r>
    <r>
      <rPr>
        <b/>
        <sz val="14"/>
        <color rgb="FF000000"/>
        <rFont val="Calibri"/>
        <family val="2"/>
      </rPr>
      <t>5D</t>
    </r>
  </si>
  <si>
    <t>DO NOT SKIP PCB PREBAKE
LEAD PROCESS
NO DISCERNABLE RESIDUE ALLOWED FROM NO CLEAN PROCESS
DEPANEL
REMOVE ALL PICK &amp; PLACE STICKERS/TABS
OVERPAcK</t>
  </si>
  <si>
    <t>10/13 - 7:30</t>
  </si>
  <si>
    <t>10/13 - 9:00</t>
  </si>
  <si>
    <t>UPS Red</t>
  </si>
  <si>
    <t>Nordson Corporation</t>
  </si>
  <si>
    <t>DOC REL 10/6</t>
  </si>
  <si>
    <r>
      <t xml:space="preserve">clear 9/10
</t>
    </r>
    <r>
      <rPr>
        <b/>
        <strike/>
        <sz val="11"/>
        <color rgb="FF000000"/>
        <rFont val="Calibri"/>
        <family val="2"/>
      </rPr>
      <t>short, no ETA</t>
    </r>
  </si>
  <si>
    <r>
      <t xml:space="preserve">10/7 - kit clear
</t>
    </r>
    <r>
      <rPr>
        <b/>
        <strike/>
        <sz val="11"/>
        <color rgb="FF000000"/>
        <rFont val="Calibri"/>
        <family val="2"/>
      </rPr>
      <t>9/29 -WS488  SOLDER PASTE ETA 9/30 &amp; await new ADI parts
9/26 - matl clear but waiting for solder paste
9/10 - short SMT D1 &amp; R3, due 9/12
9/3 - short SMT many, no ETA</t>
    </r>
  </si>
  <si>
    <r>
      <rPr>
        <b/>
        <sz val="11"/>
        <color rgb="FF000000"/>
        <rFont val="Calibri"/>
        <family val="2"/>
      </rPr>
      <t>9/29 -</t>
    </r>
    <r>
      <rPr>
        <b/>
        <strike/>
        <sz val="11"/>
        <color rgb="FF000000"/>
        <rFont val="Calibri"/>
        <family val="2"/>
      </rPr>
      <t xml:space="preserve"> </t>
    </r>
    <r>
      <rPr>
        <b/>
        <strike/>
        <sz val="11"/>
        <color rgb="FFFF0000"/>
        <rFont val="Calibri"/>
        <family val="2"/>
      </rPr>
      <t xml:space="preserve">ON HOLD (Anne)
</t>
    </r>
    <r>
      <rPr>
        <b/>
        <strike/>
        <sz val="11"/>
        <color rgb="FF000000"/>
        <rFont val="Calibri"/>
        <family val="2"/>
      </rPr>
      <t xml:space="preserve">9/11 - </t>
    </r>
    <r>
      <rPr>
        <b/>
        <strike/>
        <sz val="11"/>
        <color rgb="FFFF0000"/>
        <rFont val="Calibri"/>
        <family val="2"/>
      </rPr>
      <t xml:space="preserve">ON HOLD (Phuong)
</t>
    </r>
    <r>
      <rPr>
        <b/>
        <sz val="11"/>
        <color rgb="FF000000"/>
        <rFont val="Calibri"/>
        <family val="2"/>
      </rPr>
      <t>9/3 -</t>
    </r>
    <r>
      <rPr>
        <b/>
        <strike/>
        <sz val="11"/>
        <color rgb="FF000000"/>
        <rFont val="Calibri"/>
        <family val="2"/>
      </rPr>
      <t xml:space="preserve"> </t>
    </r>
    <r>
      <rPr>
        <b/>
        <strike/>
        <sz val="11"/>
        <color rgb="FFFF0000"/>
        <rFont val="Calibri"/>
        <family val="2"/>
      </rPr>
      <t xml:space="preserve">ON HOLD </t>
    </r>
    <r>
      <rPr>
        <b/>
        <strike/>
        <sz val="11"/>
        <color rgb="FF000000"/>
        <rFont val="Calibri"/>
        <family val="2"/>
      </rPr>
      <t>(ANNE)</t>
    </r>
  </si>
  <si>
    <t>135094
NEW</t>
  </si>
  <si>
    <t>10/14
5D</t>
  </si>
  <si>
    <r>
      <rPr>
        <b/>
        <sz val="14"/>
        <color rgb="FFFF0000"/>
        <rFont val="Calibri"/>
        <family val="2"/>
      </rPr>
      <t xml:space="preserve">*** SAC-305 solder, AIMsolder WS488 REQUIRED
</t>
    </r>
    <r>
      <rPr>
        <b/>
        <u/>
        <sz val="14"/>
        <color rgb="FFFF0000"/>
        <rFont val="Calibri"/>
        <family val="2"/>
      </rPr>
      <t xml:space="preserve">*** SPI DATA REQUIRED WHEN PRINTING SOLDER. MUST RECORD DATA PER ECO - SEE ROBERT
</t>
    </r>
    <r>
      <rPr>
        <b/>
        <sz val="11"/>
        <color rgb="FF000000"/>
        <rFont val="Calibri"/>
        <family val="2"/>
      </rPr>
      <t xml:space="preserve">DO NOT SKIP AOI
</t>
    </r>
    <r>
      <rPr>
        <b/>
        <strike/>
        <sz val="11"/>
        <color rgb="FF000000"/>
        <rFont val="Calibri"/>
        <family val="2"/>
      </rPr>
      <t>dni U15</t>
    </r>
    <r>
      <rPr>
        <b/>
        <sz val="11"/>
        <color rgb="FF000000"/>
        <rFont val="Calibri"/>
        <family val="2"/>
      </rPr>
      <t xml:space="preserve"> -</t>
    </r>
    <r>
      <rPr>
        <b/>
        <sz val="12"/>
        <color rgb="FF000000"/>
        <rFont val="Calibri"/>
        <family val="2"/>
      </rPr>
      <t xml:space="preserve"> 10/2 "U15" UPDATED FROM MAX1730</t>
    </r>
    <r>
      <rPr>
        <b/>
        <sz val="14"/>
        <color rgb="FF000000"/>
        <rFont val="Calibri"/>
        <family val="2"/>
      </rPr>
      <t>3</t>
    </r>
    <r>
      <rPr>
        <b/>
        <sz val="12"/>
        <color rgb="FF000000"/>
        <rFont val="Calibri"/>
        <family val="2"/>
      </rPr>
      <t>G+ to MAX1730</t>
    </r>
    <r>
      <rPr>
        <b/>
        <sz val="16"/>
        <color rgb="FF000000"/>
        <rFont val="Calibri"/>
        <family val="2"/>
      </rPr>
      <t>1</t>
    </r>
    <r>
      <rPr>
        <b/>
        <sz val="12"/>
        <color rgb="FF000000"/>
        <rFont val="Calibri"/>
        <family val="2"/>
      </rPr>
      <t xml:space="preserve">G+
</t>
    </r>
    <r>
      <rPr>
        <b/>
        <sz val="11"/>
        <color rgb="FF000000"/>
        <rFont val="Calibri"/>
        <family val="2"/>
      </rPr>
      <t>"U11" PREBAKE 24hrs REQ
"SW1" "</t>
    </r>
    <r>
      <rPr>
        <b/>
        <u/>
        <sz val="11"/>
        <color rgb="FFFF0000"/>
        <rFont val="Calibri"/>
        <family val="2"/>
      </rPr>
      <t>LED5, LED6</t>
    </r>
    <r>
      <rPr>
        <b/>
        <sz val="11"/>
        <color rgb="FF000000"/>
        <rFont val="Calibri"/>
        <family val="2"/>
      </rPr>
      <t>" AFTER WASH PER ECO
XRAY &amp; SAVE IMAGES</t>
    </r>
  </si>
  <si>
    <t>10/10 - 9:00</t>
  </si>
  <si>
    <t>10/10 - 1:00</t>
  </si>
  <si>
    <t>10/11 - 9:00</t>
  </si>
  <si>
    <t xml:space="preserve">SignalQuest, LLC.
</t>
  </si>
  <si>
    <t>DOC REL 8/28</t>
  </si>
  <si>
    <t>remind lineman about SAC305 solder</t>
  </si>
  <si>
    <t>clear 10/7</t>
  </si>
  <si>
    <t>10/7 - kit clear</t>
  </si>
  <si>
    <t>135877
NEW</t>
  </si>
  <si>
    <r>
      <rPr>
        <b/>
        <sz val="11"/>
        <color rgb="FF000000"/>
        <rFont val="Calibri"/>
        <family val="2"/>
      </rPr>
      <t xml:space="preserve">*** </t>
    </r>
    <r>
      <rPr>
        <b/>
        <sz val="14"/>
        <color rgb="FF000000"/>
        <rFont val="Calibri"/>
        <family val="2"/>
      </rPr>
      <t>"</t>
    </r>
    <r>
      <rPr>
        <b/>
        <u/>
        <sz val="14"/>
        <color rgb="FFFF0000"/>
        <rFont val="Calibri"/>
        <family val="2"/>
      </rPr>
      <t>DO NOT</t>
    </r>
    <r>
      <rPr>
        <b/>
        <sz val="14"/>
        <color rgb="FF000000"/>
        <rFont val="Calibri"/>
        <family val="2"/>
      </rPr>
      <t>"</t>
    </r>
    <r>
      <rPr>
        <b/>
        <sz val="11"/>
        <color rgb="FF000000"/>
        <rFont val="Calibri"/>
        <family val="2"/>
      </rPr>
      <t xml:space="preserve"> WRITE, MAKE HOLES, OR TAPE PARTS TO THE DIGIKEY </t>
    </r>
    <r>
      <rPr>
        <b/>
        <u/>
        <sz val="12"/>
        <color rgb="FF000000"/>
        <rFont val="Calibri"/>
        <family val="2"/>
      </rPr>
      <t>LABELS OR BAGS</t>
    </r>
    <r>
      <rPr>
        <b/>
        <sz val="11"/>
        <color rgb="FF000000"/>
        <rFont val="Calibri"/>
        <family val="2"/>
      </rPr>
      <t xml:space="preserve"> - OK TO WRITE ON AA LABELS - SAVE ALL BAGS AND REELS!!! MUST NOTIFY GERRY, SUN, TRINH AND SMT CREW
return all part bags / reels in the bags issued by stockroom
100% INSPECTION REQUIRED
LEAD FREE WASH
100% photos (front/back/all)</t>
    </r>
  </si>
  <si>
    <t>10/9 - 1:30</t>
  </si>
  <si>
    <t>10/10  - 11:00</t>
  </si>
  <si>
    <t>10/11 - 10:00</t>
  </si>
  <si>
    <t xml:space="preserve">Nottingham Spirk Design Associates, Inc.
</t>
  </si>
  <si>
    <r>
      <t xml:space="preserve">clear 10/9
</t>
    </r>
    <r>
      <rPr>
        <b/>
        <strike/>
        <sz val="11"/>
        <color rgb="FF000000"/>
        <rFont val="Calibri"/>
        <family val="2"/>
      </rPr>
      <t>short due 10/7 10/3</t>
    </r>
  </si>
  <si>
    <r>
      <rPr>
        <b/>
        <sz val="11"/>
        <color rgb="FF000000"/>
        <rFont val="Calibri"/>
        <family val="2"/>
      </rPr>
      <t xml:space="preserve">10/9 - kit clear
10/8 - matl clear
</t>
    </r>
    <r>
      <rPr>
        <b/>
        <strike/>
        <sz val="11"/>
        <color rgb="FF000000"/>
        <rFont val="Calibri"/>
        <family val="2"/>
      </rPr>
      <t>9/30 - short SMT U27, no ETA &amp; X13 due 10/9 10/7</t>
    </r>
  </si>
  <si>
    <t>135817-FA NEW</t>
  </si>
  <si>
    <r>
      <rPr>
        <b/>
        <sz val="14"/>
        <color rgb="FF000000"/>
        <rFont val="Calibri"/>
        <family val="2"/>
      </rPr>
      <t xml:space="preserve">10/14
</t>
    </r>
    <r>
      <rPr>
        <b/>
        <sz val="14"/>
        <color rgb="FFFF0000"/>
        <rFont val="Calibri"/>
        <family val="2"/>
      </rPr>
      <t>3D</t>
    </r>
  </si>
  <si>
    <t>"T1, T2, U26" MOISTURE SENSITIVE
NO DISCERNABLE RESIDUE PER ECO
DEPANEL
REMOVE ALL PICK &amp; PLACE TABS &amp; STICKERS</t>
  </si>
  <si>
    <t>10/9 - 1:00</t>
  </si>
  <si>
    <t>10/9 - 3:30</t>
  </si>
  <si>
    <t>10/10 - 8:00</t>
  </si>
  <si>
    <r>
      <t xml:space="preserve">clear 10/10
</t>
    </r>
    <r>
      <rPr>
        <b/>
        <strike/>
        <sz val="11"/>
        <color rgb="FF000000"/>
        <rFont val="Calibri"/>
        <family val="2"/>
      </rPr>
      <t>short no ETA 10/9 10/3 10/1 9/25</t>
    </r>
  </si>
  <si>
    <r>
      <t xml:space="preserve">10/10 - kit clear
9/25 - matl clear
</t>
    </r>
    <r>
      <rPr>
        <b/>
        <strike/>
        <sz val="11"/>
        <color rgb="FF000000"/>
        <rFont val="Calibri"/>
        <family val="2"/>
      </rPr>
      <t>9/22 - short SMT D1100_A qty 128, no ETA
short THT 2x no ETA</t>
    </r>
  </si>
  <si>
    <t>10/10 - SMT line prep'd and rdy to go</t>
  </si>
  <si>
    <t>135517
NEW</t>
  </si>
  <si>
    <r>
      <rPr>
        <b/>
        <sz val="11"/>
        <color rgb="FF000000"/>
        <rFont val="Calibri"/>
        <family val="2"/>
      </rPr>
      <t xml:space="preserve">CLASS 3
LEAD FREE WASH
</t>
    </r>
    <r>
      <rPr>
        <b/>
        <strike/>
        <sz val="11"/>
        <color rgb="FF000000"/>
        <rFont val="Calibri"/>
        <family val="2"/>
      </rPr>
      <t>"A1" HAND SOLDER PER ECO</t>
    </r>
    <r>
      <rPr>
        <b/>
        <sz val="11"/>
        <color rgb="FF000000"/>
        <rFont val="Calibri"/>
        <family val="2"/>
      </rPr>
      <t xml:space="preserve"> (DNI)
"PA, PB, PC, J1" PRESSFIT &amp; DO NOT HAND SOLDER
</t>
    </r>
    <r>
      <rPr>
        <b/>
        <u/>
        <sz val="11"/>
        <color rgb="FF000000"/>
        <rFont val="Calibri"/>
        <family val="2"/>
      </rPr>
      <t>"LP_A LP_B "  INSTALL SCREWS &amp; torque (hand-tight 2-4 in lb) PER ECO</t>
    </r>
  </si>
  <si>
    <t>10/11 - 12:30</t>
  </si>
  <si>
    <t>super hot job. may skip pre-bake</t>
  </si>
  <si>
    <r>
      <t xml:space="preserve">clear 10/7
</t>
    </r>
    <r>
      <rPr>
        <b/>
        <strike/>
        <sz val="11"/>
        <color rgb="FF000000"/>
        <rFont val="Calibri"/>
        <family val="2"/>
      </rPr>
      <t>short, no ETA 10/7</t>
    </r>
  </si>
  <si>
    <t>10/7 - kit clear
9/24 - matl clear</t>
  </si>
  <si>
    <t>135707
ROWC 132431</t>
  </si>
  <si>
    <r>
      <rPr>
        <b/>
        <sz val="11"/>
        <color rgb="FFFF0000"/>
        <rFont val="Calibri"/>
        <family val="2"/>
      </rPr>
      <t xml:space="preserve">SAC 305 SOLDER ONLY
</t>
    </r>
    <r>
      <rPr>
        <b/>
        <sz val="11"/>
        <color rgb="FF000000"/>
        <rFont val="Calibri"/>
        <family val="2"/>
      </rPr>
      <t>"BH1" LEAVE SOLDER ON CENTER PAD
"U93, SW1, SW2, SW3" AFTER WASH
CofC SEE ECO #8 &amp; 9FOR REQUIREMENTS
DEPANEL
OVERPACK</t>
    </r>
  </si>
  <si>
    <t>10/9 - 6:30</t>
  </si>
  <si>
    <t>10/9 - 9:00</t>
  </si>
  <si>
    <r>
      <t xml:space="preserve">clear 10/6
</t>
    </r>
    <r>
      <rPr>
        <b/>
        <strike/>
        <sz val="11"/>
        <color rgb="FF000000"/>
        <rFont val="Calibri"/>
        <family val="2"/>
      </rPr>
      <t>short, no ETA</t>
    </r>
  </si>
  <si>
    <r>
      <t xml:space="preserve">10/7 - kit clear
10/6 - </t>
    </r>
    <r>
      <rPr>
        <b/>
        <strike/>
        <sz val="11"/>
        <color rgb="FF000000"/>
        <rFont val="Calibri"/>
        <family val="2"/>
      </rPr>
      <t>short SMT multiple due 10/7</t>
    </r>
  </si>
  <si>
    <r>
      <t>9/18 -</t>
    </r>
    <r>
      <rPr>
        <b/>
        <strike/>
        <sz val="11"/>
        <color rgb="FF000000"/>
        <rFont val="Calibri"/>
        <family val="2"/>
      </rPr>
      <t xml:space="preserve"> bare boards plating issue 4 of 50</t>
    </r>
  </si>
  <si>
    <t>133930-2ND
RONC 1ST</t>
  </si>
  <si>
    <t>10/14*
5D</t>
  </si>
  <si>
    <r>
      <rPr>
        <b/>
        <sz val="11"/>
        <color rgb="FF000000"/>
        <rFont val="Calibri"/>
        <family val="2"/>
      </rPr>
      <t xml:space="preserve">PO change: 2nd article 15 balance
NO CLEAN PROCESS
SAC305 SOLDER REQUIRED
"U74, T3, T4" MOISTURE SENSITIVE
HEIGHT REQ PER ECO NOTE 8
</t>
    </r>
    <r>
      <rPr>
        <b/>
        <sz val="11"/>
        <color rgb="FFFF0000"/>
        <rFont val="Calibri"/>
        <family val="2"/>
      </rPr>
      <t>Tad DEPANEL</t>
    </r>
  </si>
  <si>
    <t>10/9 - 8:30</t>
  </si>
  <si>
    <t>9/4</t>
  </si>
  <si>
    <r>
      <t xml:space="preserve">clear 10/1
</t>
    </r>
    <r>
      <rPr>
        <b/>
        <strike/>
        <sz val="11"/>
        <color rgb="FF000000"/>
        <rFont val="Calibri"/>
        <family val="2"/>
      </rPr>
      <t>rec'd 45 9/30
SHORT, NO ETA 10/3</t>
    </r>
  </si>
  <si>
    <r>
      <t xml:space="preserve">10/1 - kit clear
9/23 - matl clear
</t>
    </r>
    <r>
      <rPr>
        <b/>
        <strike/>
        <sz val="11"/>
        <color rgb="FF000000"/>
        <rFont val="Calibri"/>
        <family val="2"/>
      </rPr>
      <t>9/19-SHORT U8 (SMT) NO ETA</t>
    </r>
  </si>
  <si>
    <t>135594-2 bal NEW</t>
  </si>
  <si>
    <t>SPLIT SHIPMENT - QTY 15/5 DAY - QTY 75 10 DAY
DEPANEL
OVERPACK</t>
  </si>
  <si>
    <t>10/6 - 8:30</t>
  </si>
  <si>
    <t>10/7 - 7:00</t>
  </si>
  <si>
    <t>135567-1
par NEW</t>
  </si>
  <si>
    <t>10/13
5D</t>
  </si>
  <si>
    <r>
      <rPr>
        <b/>
        <sz val="11"/>
        <color rgb="FF104861"/>
        <rFont val="Calibri"/>
        <family val="2"/>
      </rPr>
      <t xml:space="preserve">10/9 - will clear 10/10
</t>
    </r>
    <r>
      <rPr>
        <b/>
        <strike/>
        <sz val="11"/>
        <color rgb="FF104861"/>
        <rFont val="Calibri"/>
        <family val="2"/>
      </rPr>
      <t>9/29 - awt additional #8 - #11 parts due 10/2
9/18 - CUST REQ TO RUN QTY 2 FIRST</t>
    </r>
  </si>
  <si>
    <t>133580-1 par
NEW</t>
  </si>
  <si>
    <r>
      <rPr>
        <b/>
        <sz val="14"/>
        <color rgb="FF000000"/>
        <rFont val="Calibri"/>
        <family val="2"/>
      </rPr>
      <t xml:space="preserve">10/13
</t>
    </r>
    <r>
      <rPr>
        <b/>
        <sz val="14"/>
        <color rgb="FFFF0000"/>
        <rFont val="Calibri"/>
        <family val="2"/>
      </rPr>
      <t>3D</t>
    </r>
  </si>
  <si>
    <r>
      <rPr>
        <b/>
        <sz val="11"/>
        <color rgb="FFFF0000"/>
        <rFont val="Calibri"/>
        <family val="2"/>
      </rPr>
      <t>ALERT</t>
    </r>
    <r>
      <rPr>
        <b/>
        <sz val="11"/>
        <color rgb="FF000000"/>
        <rFont val="Calibri"/>
        <family val="2"/>
      </rPr>
      <t>! confirm w/</t>
    </r>
    <r>
      <rPr>
        <b/>
        <sz val="11"/>
        <color rgb="FFFF0000"/>
        <rFont val="Calibri"/>
        <family val="2"/>
      </rPr>
      <t xml:space="preserve">Tad </t>
    </r>
    <r>
      <rPr>
        <b/>
        <sz val="11"/>
        <color rgb="FF000000"/>
        <rFont val="Calibri"/>
        <family val="2"/>
      </rPr>
      <t xml:space="preserve">bare boards okay to use before SMT start
balance remaining qty 5
T/H ONLY
CLASS 3
DEPANEL
ok to use any size strain relief part.  use smallest diameter for consistency
multiple torque specs required
</t>
    </r>
    <r>
      <rPr>
        <b/>
        <u/>
        <sz val="11"/>
        <color rgb="FF000000"/>
        <rFont val="Calibri"/>
        <family val="2"/>
      </rPr>
      <t>install mechanical</t>
    </r>
  </si>
  <si>
    <t>many extra docs. review again</t>
  </si>
  <si>
    <r>
      <t xml:space="preserve">10/1 - kit clear
</t>
    </r>
    <r>
      <rPr>
        <b/>
        <strike/>
        <sz val="11"/>
        <color rgb="FF000000"/>
        <rFont val="Calibri"/>
        <family val="2"/>
      </rPr>
      <t xml:space="preserve">9/26 - short SMT: #44 (R24..) due 10/1 9/29 </t>
    </r>
    <r>
      <rPr>
        <b/>
        <sz val="11"/>
        <color rgb="FF000000"/>
        <rFont val="Calibri"/>
        <family val="2"/>
      </rPr>
      <t>&amp;</t>
    </r>
    <r>
      <rPr>
        <b/>
        <strike/>
        <sz val="11"/>
        <color rgb="FF000000"/>
        <rFont val="Calibri"/>
        <family val="2"/>
      </rPr>
      <t xml:space="preserve"> awt part conf #27 (U8) due 9/29</t>
    </r>
  </si>
  <si>
    <t>135722
RONC 131993</t>
  </si>
  <si>
    <r>
      <rPr>
        <b/>
        <sz val="12"/>
        <color rgb="FFFF0000"/>
        <rFont val="Calibri"/>
        <family val="2"/>
      </rPr>
      <t xml:space="preserve">*** ALTA QUALITY ALERT FOR "S1A, S1B" PER ECO #A - READ BEFORE SOLDERING
</t>
    </r>
    <r>
      <rPr>
        <b/>
        <sz val="11"/>
        <color rgb="FF000000"/>
        <rFont val="Calibri"/>
        <family val="2"/>
      </rPr>
      <t>"S1A, S1B" AFTER WASH
DEPANEL
s/n on CofC</t>
    </r>
  </si>
  <si>
    <t>10/3 - 8:30</t>
  </si>
  <si>
    <t xml:space="preserve">Churchill Navigation dba Shotover Systems Inc
</t>
  </si>
  <si>
    <t>S/N ON CofC</t>
  </si>
  <si>
    <r>
      <t xml:space="preserve">clear 10/6
</t>
    </r>
    <r>
      <rPr>
        <b/>
        <strike/>
        <sz val="11"/>
        <color rgb="FF000000"/>
        <rFont val="Calibri"/>
        <family val="2"/>
      </rPr>
      <t>short, no ETA 10/8</t>
    </r>
  </si>
  <si>
    <t>10/6 - kit clear
9/24 - matl clear</t>
  </si>
  <si>
    <t>135748
RONC 128758</t>
  </si>
  <si>
    <r>
      <rPr>
        <b/>
        <sz val="11"/>
        <color rgb="FFFF0000"/>
        <rFont val="Calibri"/>
        <family val="2"/>
      </rPr>
      <t xml:space="preserve">SMT reflow 1 board before continue (per Tad)
</t>
    </r>
    <r>
      <rPr>
        <b/>
        <sz val="11"/>
        <color rgb="FF000000"/>
        <rFont val="Calibri"/>
        <family val="2"/>
      </rPr>
      <t>USE WATER SOLUABLE FLUX
DEPANEL</t>
    </r>
  </si>
  <si>
    <t>10/7 - 10:00</t>
  </si>
  <si>
    <t>10/7 - 12:00</t>
  </si>
  <si>
    <t xml:space="preserve">IonQ, Inc.
</t>
  </si>
  <si>
    <t>9/25</t>
  </si>
  <si>
    <r>
      <t xml:space="preserve">clear 9/29
</t>
    </r>
    <r>
      <rPr>
        <b/>
        <strike/>
        <sz val="11"/>
        <color rgb="FF000000"/>
        <rFont val="Calibri"/>
        <family val="2"/>
      </rPr>
      <t>short due 10/2</t>
    </r>
  </si>
  <si>
    <r>
      <t xml:space="preserve">9/30 - kit clear
</t>
    </r>
    <r>
      <rPr>
        <b/>
        <strike/>
        <sz val="11"/>
        <color rgb="FF000000"/>
        <rFont val="Calibri"/>
        <family val="2"/>
      </rPr>
      <t>9/22 - short SMT U8, no ETA
short THT J4, no ETA</t>
    </r>
  </si>
  <si>
    <t>135712
NEW</t>
  </si>
  <si>
    <t>10/14
10D</t>
  </si>
  <si>
    <t>DEPANEL
OVERPACK
SPLIT SHIP TO: QTY 10 TO 22820 E Appleway Ave. Suite B
Liberty Lake WA 99019
QTY 50 TO Plaza 35:12234 N IH 35 BUILDING B, UNIT 100
Austin, TX 78753</t>
  </si>
  <si>
    <t>10/7 - 9:00</t>
  </si>
  <si>
    <r>
      <rPr>
        <b/>
        <sz val="11"/>
        <color rgb="FF000000"/>
        <rFont val="Calibri"/>
        <family val="2"/>
      </rPr>
      <t xml:space="preserve">clear 9/26
</t>
    </r>
    <r>
      <rPr>
        <b/>
        <strike/>
        <sz val="11"/>
        <color rgb="FF000000"/>
        <rFont val="Calibri"/>
        <family val="2"/>
      </rPr>
      <t>received 9/25
short, due 9/24
awt new 8 boards 9/15
clear 8/22
short, due 9/2</t>
    </r>
  </si>
  <si>
    <r>
      <rPr>
        <b/>
        <sz val="11"/>
        <color rgb="FF000000"/>
        <rFont val="Calibri"/>
        <family val="2"/>
      </rPr>
      <t xml:space="preserve">9/26 - kit clear
9/15 - matl clear
</t>
    </r>
    <r>
      <rPr>
        <b/>
        <strike/>
        <sz val="11"/>
        <color rgb="FF000000"/>
        <rFont val="Calibri"/>
        <family val="2"/>
      </rPr>
      <t>8/22 - kit clear
8/19 - matl clear
8/12 - short SMT R2 (qty 1600) &amp; S1, no ETA
short THT S1 Cover, no ETA</t>
    </r>
  </si>
  <si>
    <r>
      <rPr>
        <b/>
        <sz val="11"/>
        <color rgb="FF000000"/>
        <rFont val="Calibri"/>
        <family val="2"/>
      </rPr>
      <t xml:space="preserve">10/7 - will Ship when Tad instructs to do so.  </t>
    </r>
    <r>
      <rPr>
        <b/>
        <sz val="11"/>
        <color rgb="FFFF0000"/>
        <rFont val="Calibri"/>
        <family val="2"/>
      </rPr>
      <t xml:space="preserve">Performing Quality check
</t>
    </r>
    <r>
      <rPr>
        <b/>
        <sz val="11"/>
        <color rgb="FF000000"/>
        <rFont val="Calibri"/>
        <family val="2"/>
      </rPr>
      <t xml:space="preserve">9/9 - </t>
    </r>
    <r>
      <rPr>
        <b/>
        <strike/>
        <sz val="11"/>
        <color rgb="FF000000"/>
        <rFont val="Calibri"/>
        <family val="2"/>
      </rPr>
      <t>8 boards with exposed copper
8/22 - day 1 9/2 (Anne)</t>
    </r>
  </si>
  <si>
    <t>134905-2 BAL
RONC 134949</t>
  </si>
  <si>
    <t>shipped qty 192 on 9/16
"R1 x 8" PULL FROM B134648
"U2, 4, 6, 8" MASK PADS PER ECO
*** KEEP GRID HOLES FREE FROM SOLDER (GRID TAPPED ONBOTH SIDES LAST BUILD)
"S1, S1COVER" INSPECT PARTS UNDERNEATH BEFORE INSTALLING COVER
DEPANEL
MAKE SURE BOARDS ARE FREE &amp; CLEAN OF DUST, DEBIS ETC
100% photos (front/back/all)</t>
  </si>
  <si>
    <t>9/30 - 6:00</t>
  </si>
  <si>
    <t>9/30 - 7:00</t>
  </si>
  <si>
    <t>PREV STRIP-TAPE ONLY</t>
  </si>
  <si>
    <t>DOC REL 8/7</t>
  </si>
  <si>
    <t>8/12</t>
  </si>
  <si>
    <r>
      <t xml:space="preserve">clear 10/2
</t>
    </r>
    <r>
      <rPr>
        <b/>
        <strike/>
        <sz val="11"/>
        <color rgb="FF000000"/>
        <rFont val="Calibri"/>
        <family val="2"/>
      </rPr>
      <t>short, no ETA 10/2 10/1</t>
    </r>
  </si>
  <si>
    <t>10/2 - kit clear
9/24 - matl clear</t>
  </si>
  <si>
    <t>135657
NEW</t>
  </si>
  <si>
    <t>10/10
5D</t>
  </si>
  <si>
    <r>
      <rPr>
        <b/>
        <sz val="11"/>
        <color rgb="FF000000"/>
        <rFont val="Calibri"/>
        <family val="2"/>
      </rPr>
      <t xml:space="preserve">"U16" </t>
    </r>
    <r>
      <rPr>
        <b/>
        <sz val="11"/>
        <color rgb="FFFF0000"/>
        <rFont val="Calibri"/>
        <family val="2"/>
      </rPr>
      <t>COVER SENSOR HOLE W/ KAPTON TAPE</t>
    </r>
    <r>
      <rPr>
        <b/>
        <sz val="11"/>
        <color rgb="FF000000"/>
        <rFont val="Calibri"/>
        <family val="2"/>
      </rPr>
      <t xml:space="preserve"> PER ECO #3
LEAD PROCESS
DEPANEL</t>
    </r>
  </si>
  <si>
    <t>10/6 - 11:00</t>
  </si>
  <si>
    <t>10/6 - 1:00</t>
  </si>
  <si>
    <t>10/7 - 6:30</t>
  </si>
  <si>
    <t>9/26 - kit clear</t>
  </si>
  <si>
    <r>
      <rPr>
        <b/>
        <sz val="11"/>
        <color rgb="FF000000"/>
        <rFont val="Calibri"/>
        <family val="2"/>
      </rPr>
      <t xml:space="preserve">9/16 </t>
    </r>
    <r>
      <rPr>
        <b/>
        <strike/>
        <sz val="11"/>
        <color rgb="FF000000"/>
        <rFont val="Calibri"/>
        <family val="2"/>
      </rPr>
      <t>- ON HOLD</t>
    </r>
  </si>
  <si>
    <t>135396
NEW</t>
  </si>
  <si>
    <t>10/10
10D</t>
  </si>
  <si>
    <t>9/30 - 10:00</t>
  </si>
  <si>
    <t>10/1 - 9:00</t>
  </si>
  <si>
    <t>DOC REL 9/16</t>
  </si>
  <si>
    <r>
      <rPr>
        <b/>
        <sz val="11"/>
        <color rgb="FF000000"/>
        <rFont val="Calibri"/>
        <family val="2"/>
      </rPr>
      <t xml:space="preserve">red arrows on 1 "rejected board"
clear 10/2
</t>
    </r>
    <r>
      <rPr>
        <b/>
        <strike/>
        <sz val="11"/>
        <color rgb="FF000000"/>
        <rFont val="Calibri"/>
        <family val="2"/>
      </rPr>
      <t xml:space="preserve">short due 10/2
</t>
    </r>
    <r>
      <rPr>
        <b/>
        <strike/>
        <sz val="12"/>
        <color rgb="FF000000"/>
        <rFont val="Calibri"/>
        <family val="2"/>
      </rPr>
      <t xml:space="preserve">*9/19 - PCB'S HAVE EXP COPPER - CUST NOTIFIED
</t>
    </r>
    <r>
      <rPr>
        <b/>
        <strike/>
        <sz val="11"/>
        <color rgb="FF000000"/>
        <rFont val="Calibri"/>
        <family val="2"/>
      </rPr>
      <t>short, no ETA 9/25</t>
    </r>
  </si>
  <si>
    <r>
      <t xml:space="preserve">10/2 - kit clear
9/23 - matl clear
</t>
    </r>
    <r>
      <rPr>
        <b/>
        <strike/>
        <sz val="11"/>
        <color rgb="FF000000"/>
        <rFont val="Calibri"/>
        <family val="2"/>
      </rPr>
      <t>9/19-KIT CLEAR
USE 9/23 AS DAY 1
9/9 - matl clear
9/4 - short SMT Y1 - no skip, no ETA
short THT J900, no ETA</t>
    </r>
  </si>
  <si>
    <r>
      <rPr>
        <b/>
        <sz val="11"/>
        <color rgb="FF000000"/>
        <rFont val="Calibri"/>
        <family val="2"/>
      </rPr>
      <t xml:space="preserve">10/3 - day 1 is 10/7 (Phuong)
10/2 - reported to customer </t>
    </r>
    <r>
      <rPr>
        <b/>
        <sz val="11"/>
        <color rgb="FFFF0000"/>
        <rFont val="Calibri"/>
        <family val="2"/>
      </rPr>
      <t xml:space="preserve">issues </t>
    </r>
    <r>
      <rPr>
        <b/>
        <sz val="11"/>
        <color rgb="FF000000"/>
        <rFont val="Calibri"/>
        <family val="2"/>
      </rPr>
      <t>w/new bare boards (</t>
    </r>
    <r>
      <rPr>
        <b/>
        <sz val="11"/>
        <color rgb="FFFF0000"/>
        <rFont val="Calibri"/>
        <family val="2"/>
      </rPr>
      <t>qty 2</t>
    </r>
    <r>
      <rPr>
        <b/>
        <sz val="11"/>
        <color rgb="FF000000"/>
        <rFont val="Calibri"/>
        <family val="2"/>
      </rPr>
      <t>)</t>
    </r>
  </si>
  <si>
    <t>134218
NEW</t>
  </si>
  <si>
    <r>
      <rPr>
        <b/>
        <sz val="14"/>
        <color rgb="FF000000"/>
        <rFont val="Calibri"/>
        <family val="2"/>
      </rPr>
      <t xml:space="preserve">10/9
</t>
    </r>
    <r>
      <rPr>
        <b/>
        <strike/>
        <sz val="14"/>
        <color rgb="FF000000"/>
        <rFont val="Calibri"/>
        <family val="2"/>
      </rPr>
      <t xml:space="preserve">10/7
9/25?
</t>
    </r>
    <r>
      <rPr>
        <b/>
        <sz val="14"/>
        <color rgb="FFFF0000"/>
        <rFont val="Calibri"/>
        <family val="2"/>
      </rPr>
      <t>3D</t>
    </r>
  </si>
  <si>
    <r>
      <rPr>
        <b/>
        <sz val="11"/>
        <color rgb="FFFF0000"/>
        <rFont val="Calibri"/>
        <family val="2"/>
      </rPr>
      <t>*9/19 -</t>
    </r>
    <r>
      <rPr>
        <b/>
        <strike/>
        <sz val="11"/>
        <color rgb="FFFF0000"/>
        <rFont val="Calibri"/>
        <family val="2"/>
      </rPr>
      <t xml:space="preserve"> PCB;S RECEIVED VUT FOUND EXP COPPER - HOLD SET UP
</t>
    </r>
    <r>
      <rPr>
        <b/>
        <strike/>
        <sz val="11"/>
        <color rgb="FF000000"/>
        <rFont val="Calibri"/>
        <family val="2"/>
      </rPr>
      <t xml:space="preserve">ALERT! confirm w/Robert bare boards okay to use before SMT start
</t>
    </r>
    <r>
      <rPr>
        <b/>
        <strike/>
        <sz val="11"/>
        <color rgb="FFFF0000"/>
        <rFont val="Calibri"/>
        <family val="2"/>
      </rPr>
      <t xml:space="preserve">confirm with Phuong total boards to run on Monday 10/6
</t>
    </r>
    <r>
      <rPr>
        <b/>
        <sz val="11"/>
        <color rgb="FF000000"/>
        <rFont val="Calibri"/>
        <family val="2"/>
      </rPr>
      <t xml:space="preserve">CLASS 3
DO NOT SKIP PREBAKE
PRESS FIT PER ECO
</t>
    </r>
    <r>
      <rPr>
        <b/>
        <u/>
        <sz val="11"/>
        <color rgb="FF000000"/>
        <rFont val="Calibri"/>
        <family val="2"/>
      </rPr>
      <t>INSTALL FUSES</t>
    </r>
    <r>
      <rPr>
        <b/>
        <sz val="11"/>
        <color rgb="FF000000"/>
        <rFont val="Calibri"/>
        <family val="2"/>
      </rPr>
      <t xml:space="preserve"> PER ECO
DEPNEL
</t>
    </r>
    <r>
      <rPr>
        <b/>
        <u/>
        <sz val="11"/>
        <color rgb="FF000000"/>
        <rFont val="Calibri"/>
        <family val="2"/>
      </rPr>
      <t>install ET1</t>
    </r>
  </si>
  <si>
    <t>10/7 - 8:00</t>
  </si>
  <si>
    <t>INFORM ROBERT BEFORE START
-
bare boards req bake</t>
  </si>
  <si>
    <t>DOC REL 9/3</t>
  </si>
  <si>
    <t>clear 8/15</t>
  </si>
  <si>
    <t>9/24 - kit clear</t>
  </si>
  <si>
    <t>9/24 - day 1 is 9/29 (Anne)</t>
  </si>
  <si>
    <t>134483-2ND
RONC 1ST</t>
  </si>
  <si>
    <t>SHIPPED 5FA ON 8/26
LEAD NO CLEAN
DEPANEL</t>
  </si>
  <si>
    <t>9/30 - 1:00</t>
  </si>
  <si>
    <t>DOC REL 9/24</t>
  </si>
  <si>
    <r>
      <rPr>
        <b/>
        <sz val="11"/>
        <color rgb="FF000000"/>
        <rFont val="Calibri"/>
        <family val="2"/>
      </rPr>
      <t xml:space="preserve">10/3 - kit clear
9/29 - matl clear
</t>
    </r>
    <r>
      <rPr>
        <b/>
        <strike/>
        <sz val="11"/>
        <color rgb="FF000000"/>
        <rFont val="Calibri"/>
        <family val="2"/>
      </rPr>
      <t>9/29 - short THT X4 &amp; X6, no ETA</t>
    </r>
  </si>
  <si>
    <t>135786-FA
NEW</t>
  </si>
  <si>
    <r>
      <rPr>
        <b/>
        <sz val="14"/>
        <color rgb="FF000000"/>
        <rFont val="Calibri"/>
        <family val="2"/>
      </rPr>
      <t xml:space="preserve">10/8
</t>
    </r>
    <r>
      <rPr>
        <b/>
        <sz val="14"/>
        <color rgb="FFFF0000"/>
        <rFont val="Calibri"/>
        <family val="2"/>
      </rPr>
      <t>3D</t>
    </r>
  </si>
  <si>
    <r>
      <rPr>
        <b/>
        <sz val="11"/>
        <color rgb="FF000000"/>
        <rFont val="Calibri"/>
        <family val="2"/>
      </rPr>
      <t xml:space="preserve">pre-bake bare boards required
Lead-Free No-Clean
Depanel
</t>
    </r>
    <r>
      <rPr>
        <b/>
        <u/>
        <sz val="11"/>
        <color rgb="FF000000"/>
        <rFont val="Calibri"/>
        <family val="2"/>
      </rPr>
      <t xml:space="preserve">Install nuts &amp; washers
</t>
    </r>
    <r>
      <rPr>
        <b/>
        <sz val="11"/>
        <color rgb="FF000000"/>
        <rFont val="Calibri"/>
        <family val="2"/>
      </rPr>
      <t>boards clean of residue before ship
remove all stickers &amp; pick-n-place tab
ESD sticker on ESD bags required</t>
    </r>
  </si>
  <si>
    <t>10/6 - 10:00</t>
  </si>
  <si>
    <t>10/6 - 12:00</t>
  </si>
  <si>
    <t>135594-1 par NEW</t>
  </si>
  <si>
    <t>10/8
5D</t>
  </si>
  <si>
    <t>10/6 - 2:30</t>
  </si>
  <si>
    <t>135616-1 par NEW</t>
  </si>
  <si>
    <r>
      <t xml:space="preserve">clear 9/23
</t>
    </r>
    <r>
      <rPr>
        <b/>
        <strike/>
        <sz val="11"/>
        <color rgb="FF000000"/>
        <rFont val="Calibri"/>
        <family val="2"/>
      </rPr>
      <t>short, no ETA 9/29</t>
    </r>
  </si>
  <si>
    <t>9/23 - clear
9/17 - matl clear</t>
  </si>
  <si>
    <r>
      <t xml:space="preserve">9/23 - </t>
    </r>
    <r>
      <rPr>
        <b/>
        <strike/>
        <sz val="11"/>
        <color rgb="FF000000"/>
        <rFont val="Calibri"/>
        <family val="2"/>
      </rPr>
      <t>awt array files</t>
    </r>
  </si>
  <si>
    <t>135100
NEW</t>
  </si>
  <si>
    <t>10/7
10D</t>
  </si>
  <si>
    <t>CLASS3
LEAD PROCESS
DO NOT SKIP PREBAKE
DEPANEL
sand (per Robert); care when sanding (per Trinh)</t>
  </si>
  <si>
    <t>9/29 - 8:30</t>
  </si>
  <si>
    <t>9/29 - 10:00</t>
  </si>
  <si>
    <t xml:space="preserve">Cotsworks, Inc.
</t>
  </si>
  <si>
    <t>on bag
complete alta stand</t>
  </si>
  <si>
    <t>Sanding review</t>
  </si>
  <si>
    <t xml:space="preserve">CLEAR 9/23
</t>
  </si>
  <si>
    <t>9/23 - kit clear</t>
  </si>
  <si>
    <t>135611-2 bal NEW</t>
  </si>
  <si>
    <t>SPLIT SHIPMENT - QTY 15/5 DAY - QTY 75 10 DAY
DEPANEL
OVERPACK
do not ship excess matl</t>
  </si>
  <si>
    <t>9/25 - 1:30</t>
  </si>
  <si>
    <t>9/26 - 7:00</t>
  </si>
  <si>
    <t>9/26 - 9:00</t>
  </si>
  <si>
    <r>
      <t xml:space="preserve">clear 9/11
</t>
    </r>
    <r>
      <rPr>
        <b/>
        <strike/>
        <sz val="11"/>
        <color rgb="FF000000"/>
        <rFont val="Calibri"/>
        <family val="2"/>
      </rPr>
      <t>short, due 9/19</t>
    </r>
  </si>
  <si>
    <r>
      <t xml:space="preserve">9/26 - kit clear
</t>
    </r>
    <r>
      <rPr>
        <b/>
        <strike/>
        <sz val="11"/>
        <color rgb="FF000000"/>
        <rFont val="Calibri"/>
        <family val="2"/>
      </rPr>
      <t>9/17 - SMT clear; THT due 9/26
9/9 - short SMT: TR102 &amp; D604 due 9/12 - 9/16
short THT: C801 due 9/10 (ok to use)</t>
    </r>
  </si>
  <si>
    <t>128446
ROWC 108372</t>
  </si>
  <si>
    <r>
      <rPr>
        <b/>
        <sz val="11"/>
        <color rgb="FF000000"/>
        <rFont val="Calibri"/>
        <family val="2"/>
      </rPr>
      <t xml:space="preserve">LEAD WASHED
BOARD P/N REQ W/ PERMANENT INK PER ECO NOTE 6
</t>
    </r>
    <r>
      <rPr>
        <b/>
        <u/>
        <sz val="11"/>
        <color rgb="FF000000"/>
        <rFont val="Calibri"/>
        <family val="2"/>
      </rPr>
      <t xml:space="preserve">SHUNTS REQ </t>
    </r>
    <r>
      <rPr>
        <b/>
        <sz val="11"/>
        <color rgb="FF000000"/>
        <rFont val="Calibri"/>
        <family val="2"/>
      </rPr>
      <t xml:space="preserve">PER ECO NOTE 4
</t>
    </r>
    <r>
      <rPr>
        <b/>
        <u/>
        <sz val="11"/>
        <color rgb="FF000000"/>
        <rFont val="Calibri"/>
        <family val="2"/>
      </rPr>
      <t>MECHANICAL</t>
    </r>
    <r>
      <rPr>
        <b/>
        <sz val="11"/>
        <color rgb="FF000000"/>
        <rFont val="Calibri"/>
        <family val="2"/>
      </rPr>
      <t xml:space="preserve"> PER ECO NOTE 5
</t>
    </r>
    <r>
      <rPr>
        <b/>
        <u/>
        <sz val="11"/>
        <color rgb="FF000000"/>
        <rFont val="Calibri"/>
        <family val="2"/>
      </rPr>
      <t xml:space="preserve">POST BAKE 30 MIN </t>
    </r>
    <r>
      <rPr>
        <b/>
        <sz val="11"/>
        <color rgb="FF000000"/>
        <rFont val="Calibri"/>
        <family val="2"/>
      </rPr>
      <t xml:space="preserve">IF BOARDS ARE 
DEPANEL
C309 -DNI
J301-DNI </t>
    </r>
  </si>
  <si>
    <t>9/26 - 11:30</t>
  </si>
  <si>
    <t xml:space="preserve">RCH Associates, Inc
</t>
  </si>
  <si>
    <t>9/9</t>
  </si>
  <si>
    <t>load to no load uploaded</t>
  </si>
  <si>
    <t>post bake req</t>
  </si>
  <si>
    <r>
      <t xml:space="preserve">clear 9/11
</t>
    </r>
    <r>
      <rPr>
        <b/>
        <strike/>
        <sz val="11"/>
        <color rgb="FF000000"/>
        <rFont val="Calibri"/>
        <family val="2"/>
      </rPr>
      <t>short, no ETA 10/2</t>
    </r>
  </si>
  <si>
    <r>
      <rPr>
        <b/>
        <sz val="11"/>
        <color rgb="FF000000"/>
        <rFont val="Calibri"/>
        <family val="2"/>
      </rPr>
      <t xml:space="preserve">9/11 - kit clear
9/9 - matl clear
</t>
    </r>
    <r>
      <rPr>
        <b/>
        <strike/>
        <sz val="11"/>
        <color rgb="FF000000"/>
        <rFont val="Calibri"/>
        <family val="2"/>
      </rPr>
      <t>9/8 - short SMT: U1 qty 822, no ETA</t>
    </r>
  </si>
  <si>
    <t>135335
ROWC 128382</t>
  </si>
  <si>
    <t>10/9
20D</t>
  </si>
  <si>
    <r>
      <rPr>
        <b/>
        <sz val="11"/>
        <color rgb="FF000000"/>
        <rFont val="Calibri"/>
        <family val="2"/>
      </rPr>
      <t xml:space="preserve">DEPANEL &amp; sand by </t>
    </r>
    <r>
      <rPr>
        <b/>
        <sz val="11"/>
        <color rgb="FFFF0000"/>
        <rFont val="Calibri"/>
        <family val="2"/>
      </rPr>
      <t xml:space="preserve">only Tad
</t>
    </r>
    <r>
      <rPr>
        <b/>
        <sz val="11"/>
        <color rgb="FF000000"/>
        <rFont val="Calibri"/>
        <family val="2"/>
      </rPr>
      <t>LEAD WASH
"J1" REMOVE MIDDLE PIN PER ECO</t>
    </r>
  </si>
  <si>
    <t>9/23 - 12:30</t>
  </si>
  <si>
    <t>9/24 - 8:00</t>
  </si>
  <si>
    <t>9/24 - 12:30</t>
  </si>
  <si>
    <t xml:space="preserve">Radiation Detection Technologies, Inc.
</t>
  </si>
  <si>
    <r>
      <t xml:space="preserve">clear 9/25
</t>
    </r>
    <r>
      <rPr>
        <b/>
        <strike/>
        <sz val="11"/>
        <color rgb="FF000000"/>
        <rFont val="Calibri"/>
        <family val="2"/>
      </rPr>
      <t>short, no ETA 9/25</t>
    </r>
  </si>
  <si>
    <r>
      <t xml:space="preserve">9/25 - kit clear
9/24 - matl clear
</t>
    </r>
    <r>
      <rPr>
        <b/>
        <strike/>
        <sz val="11"/>
        <color rgb="FF000000"/>
        <rFont val="Calibri"/>
        <family val="2"/>
      </rPr>
      <t>9/2 - short SMT C7 qty 5, no ETA</t>
    </r>
  </si>
  <si>
    <t>133834
NEW</t>
  </si>
  <si>
    <t>10/9
10D</t>
  </si>
  <si>
    <t>CLASS 3
LEAD WASH
DO NOT SKIP AOI
"U3" MAX HEIGHT 0.069 PER ECO
ADD heat shrink tube + WIRES PER ECO NOTE 7 &amp; PDF
GENERAL MAX HEIGHT REQ PER ECO NOTE 8 - 0.110 bot &amp; 0.116 Top
ECO #5: save images of solder connections (close ups?)</t>
  </si>
  <si>
    <t>9/26 - 10:30</t>
  </si>
  <si>
    <t xml:space="preserve">Summit Santa Clara-Streamline Circuits
</t>
  </si>
  <si>
    <t>complete ECO BAG</t>
  </si>
  <si>
    <t>ECO #5</t>
  </si>
  <si>
    <r>
      <t xml:space="preserve">clear 9/30
</t>
    </r>
    <r>
      <rPr>
        <b/>
        <strike/>
        <sz val="11"/>
        <color rgb="FF000000"/>
        <rFont val="Calibri"/>
        <family val="2"/>
      </rPr>
      <t>short due 9/30 9/29</t>
    </r>
  </si>
  <si>
    <t>9/30 - kit clear
9/26 - matl clear</t>
  </si>
  <si>
    <t>135090
NEW</t>
  </si>
  <si>
    <t>10/7
5D</t>
  </si>
  <si>
    <t>LEAD WASH
MOUNT T/H FLUSH TO PCB</t>
  </si>
  <si>
    <t>9/30 - 2:00</t>
  </si>
  <si>
    <t>10/1 - 10:00</t>
  </si>
  <si>
    <t xml:space="preserve">BAE Systems, Inc.
</t>
  </si>
  <si>
    <r>
      <t xml:space="preserve">clear 9/22
</t>
    </r>
    <r>
      <rPr>
        <b/>
        <strike/>
        <sz val="11"/>
        <color rgb="FF000000"/>
        <rFont val="Calibri"/>
        <family val="2"/>
      </rPr>
      <t>short ETA 9/22 (fix V-score)
clear 9/10
short, due 9/12</t>
    </r>
  </si>
  <si>
    <r>
      <t xml:space="preserve">9/22 - kit clear
9/15 - matl clear
</t>
    </r>
    <r>
      <rPr>
        <b/>
        <strike/>
        <sz val="11"/>
        <color rgb="FF000000"/>
        <rFont val="Calibri"/>
        <family val="2"/>
      </rPr>
      <t>9/10 - kit clear
9/4 - matl clear
9/2 - short SMT: U29 &amp; U37, no ETA
short THT: A1, no ETA</t>
    </r>
  </si>
  <si>
    <r>
      <rPr>
        <b/>
        <sz val="11"/>
        <color rgb="FF000000"/>
        <rFont val="Calibri"/>
        <family val="2"/>
      </rPr>
      <t xml:space="preserve">9/26 - SMT comp 18 bot
9/25 - </t>
    </r>
    <r>
      <rPr>
        <b/>
        <sz val="11"/>
        <color rgb="FF215C98"/>
        <rFont val="Calibri"/>
        <family val="2"/>
      </rPr>
      <t xml:space="preserve">SMT top side 1st
</t>
    </r>
    <r>
      <rPr>
        <b/>
        <strike/>
        <sz val="11"/>
        <color rgb="FF000000"/>
        <rFont val="Calibri"/>
        <family val="2"/>
      </rPr>
      <t>9/15 - bare boards returned to Royal</t>
    </r>
  </si>
  <si>
    <t>135176
NEW</t>
  </si>
  <si>
    <r>
      <t xml:space="preserve">10/6
</t>
    </r>
    <r>
      <rPr>
        <b/>
        <strike/>
        <sz val="14"/>
        <color rgb="FF000000"/>
        <rFont val="Calibri"/>
        <family val="2"/>
      </rPr>
      <t xml:space="preserve">9/24
</t>
    </r>
    <r>
      <rPr>
        <b/>
        <sz val="14"/>
        <color rgb="FF000000"/>
        <rFont val="Calibri"/>
        <family val="2"/>
      </rPr>
      <t>10D</t>
    </r>
  </si>
  <si>
    <r>
      <rPr>
        <b/>
        <strike/>
        <sz val="11"/>
        <color rgb="FFFF0000"/>
        <rFont val="Calibri"/>
        <family val="2"/>
      </rPr>
      <t xml:space="preserve">v-score issue: see Tad/Robert before start
</t>
    </r>
    <r>
      <rPr>
        <b/>
        <sz val="11"/>
        <color rgb="FF000000"/>
        <rFont val="Calibri"/>
        <family val="2"/>
      </rPr>
      <t xml:space="preserve">DO NOT SKIP PCB PREBAKE
"SW1, SW2, PS1, U5, L1" AFTER WASH
</t>
    </r>
    <r>
      <rPr>
        <b/>
        <u/>
        <sz val="11"/>
        <color rgb="FF000000"/>
        <rFont val="Calibri"/>
        <family val="2"/>
      </rPr>
      <t xml:space="preserve">"A1 - mechnical" SEE ECO FOR INSTALLATION
</t>
    </r>
    <r>
      <rPr>
        <b/>
        <sz val="11"/>
        <color rgb="FF000000"/>
        <rFont val="Calibri"/>
        <family val="2"/>
      </rPr>
      <t>DEPANEL
BOARDS MUST bE FREE OF FLUX</t>
    </r>
  </si>
  <si>
    <t>9/25 - 7:00</t>
  </si>
  <si>
    <t>9/29 - 8:00</t>
  </si>
  <si>
    <t>9/29 - 2:30</t>
  </si>
  <si>
    <t>DOC REL 8/27</t>
  </si>
  <si>
    <t>ECO board is complete
NEED bag</t>
  </si>
  <si>
    <r>
      <t xml:space="preserve">clear 8/8
</t>
    </r>
    <r>
      <rPr>
        <b/>
        <strike/>
        <sz val="11"/>
        <color rgb="FF000000"/>
        <rFont val="Calibri"/>
        <family val="2"/>
      </rPr>
      <t>short, due 8/11</t>
    </r>
  </si>
  <si>
    <r>
      <t xml:space="preserve">10/2 - kit clear
</t>
    </r>
    <r>
      <rPr>
        <b/>
        <strike/>
        <sz val="11"/>
        <color rgb="FF000000"/>
        <rFont val="Calibri"/>
        <family val="2"/>
      </rPr>
      <t>8/14 - skip U22 shortages (Anne) due 8/22+
8/11 - short SMT qty 75 U22
8/6 - short many, due 8/7;
short SMT U22, no ETA</t>
    </r>
  </si>
  <si>
    <t>8/14 - day 1 is 8/15 (Anne)</t>
  </si>
  <si>
    <t>134814-2
bal
NEW</t>
  </si>
  <si>
    <t>10/3
4D</t>
  </si>
  <si>
    <t>shipped partial 8/20
LEAD PROCESS
DEPANEL</t>
  </si>
  <si>
    <t>Ocean Aero Inc.</t>
  </si>
  <si>
    <t>DOC REL 8/4</t>
  </si>
  <si>
    <t>8/6</t>
  </si>
  <si>
    <r>
      <t xml:space="preserve">clear 9/12
</t>
    </r>
    <r>
      <rPr>
        <b/>
        <strike/>
        <sz val="11"/>
        <color rgb="FF000000"/>
        <rFont val="Calibri"/>
        <family val="2"/>
      </rPr>
      <t>short, no ETA 9/11 9/4</t>
    </r>
  </si>
  <si>
    <r>
      <t>9/12 - kit clear
8/19 - matl clear
8/18 -</t>
    </r>
    <r>
      <rPr>
        <b/>
        <strike/>
        <sz val="11"/>
        <color rgb="FF000000"/>
        <rFont val="Calibri"/>
        <family val="2"/>
      </rPr>
      <t xml:space="preserve"> short THT J1 qty 80, no ETA</t>
    </r>
  </si>
  <si>
    <t>134620
NEW</t>
  </si>
  <si>
    <t>10/3
15D</t>
  </si>
  <si>
    <t>Xray &amp; Save Images (Tad)
CLASS 3
LEAD WASH</t>
  </si>
  <si>
    <t>9/23 - 9:30</t>
  </si>
  <si>
    <t>9/24 - 8:30</t>
  </si>
  <si>
    <t>DOC REL 8/15</t>
  </si>
  <si>
    <t>8/18</t>
  </si>
  <si>
    <t>complete alta stand</t>
  </si>
  <si>
    <r>
      <t xml:space="preserve">CLEAR 5/8
</t>
    </r>
    <r>
      <rPr>
        <b/>
        <strike/>
        <sz val="11"/>
        <color rgb="FF000000"/>
        <rFont val="Calibri"/>
        <family val="2"/>
      </rPr>
      <t>SHORT, ETA 5/15</t>
    </r>
  </si>
  <si>
    <r>
      <t xml:space="preserve">9/11 - kit clear
</t>
    </r>
    <r>
      <rPr>
        <b/>
        <strike/>
        <sz val="11"/>
        <color rgb="FF000000"/>
        <rFont val="Calibri"/>
        <family val="2"/>
      </rPr>
      <t>4/28 - SHORT BAL OF C7 and U2 WITH NO ETA june (no update 7/30)</t>
    </r>
  </si>
  <si>
    <t>5/8 - OK TO RUN 36 OF 50 (PARTIAL)</t>
  </si>
  <si>
    <t>131995-2
BAL 
ROWC 116507</t>
  </si>
  <si>
    <t>10/2
15D</t>
  </si>
  <si>
    <t>shipped partial 36 of 50 on 5/27
DEPANEL
NEED SER #S ON CofC PER ECO</t>
  </si>
  <si>
    <t>9/23 - 11:00</t>
  </si>
  <si>
    <t>9/23 - 1:30</t>
  </si>
  <si>
    <t>DOC REL 4/25</t>
  </si>
  <si>
    <t>4/28</t>
  </si>
  <si>
    <t>complete EMAIL</t>
  </si>
  <si>
    <t>CofC label requirement</t>
  </si>
  <si>
    <t>TESTING DOC (disregard per Tad)</t>
  </si>
  <si>
    <t>prev batch label issue</t>
  </si>
  <si>
    <t>dni U6_2 &amp; now load U6_1
uploaded</t>
  </si>
  <si>
    <r>
      <t xml:space="preserve">clear 6/30
</t>
    </r>
    <r>
      <rPr>
        <b/>
        <strike/>
        <u/>
        <sz val="11"/>
        <color rgb="FF000000"/>
        <rFont val="Calibri"/>
        <family val="2"/>
      </rPr>
      <t xml:space="preserve">NOT </t>
    </r>
    <r>
      <rPr>
        <b/>
        <strike/>
        <sz val="11"/>
        <color rgb="FF000000"/>
        <rFont val="Calibri"/>
        <family val="2"/>
      </rPr>
      <t>clear 6/25</t>
    </r>
  </si>
  <si>
    <t>6/30 - kit clear
6/25 - matl clear</t>
  </si>
  <si>
    <t>6/30 - scheduled shipments</t>
  </si>
  <si>
    <t>132028-2ND
 4 BAL
RONC 1st Article</t>
  </si>
  <si>
    <r>
      <rPr>
        <b/>
        <sz val="14"/>
        <color rgb="FF000000"/>
        <rFont val="Calibri"/>
        <family val="2"/>
      </rPr>
      <t xml:space="preserve">10/1
</t>
    </r>
    <r>
      <rPr>
        <b/>
        <strike/>
        <sz val="14"/>
        <color rgb="FF000000"/>
        <rFont val="Calibri"/>
        <family val="2"/>
      </rPr>
      <t>5D</t>
    </r>
  </si>
  <si>
    <r>
      <rPr>
        <b/>
        <sz val="12"/>
        <color rgb="FFFF0000"/>
        <rFont val="Calibri"/>
        <family val="2"/>
      </rPr>
      <t xml:space="preserve">*** SEE ECO FOR SOLDER &amp; CLEANING
</t>
    </r>
    <r>
      <rPr>
        <b/>
        <strike/>
        <sz val="11"/>
        <color rgb="FF000000"/>
        <rFont val="Calibri"/>
        <family val="2"/>
      </rPr>
      <t xml:space="preserve">LEAD FREE WASH
BATCH 1 - 7/1 - QTY 60
BATCH 2 - 08/01 - QTY 120
BATCH 3 - 9/01 - QTY 110
</t>
    </r>
    <r>
      <rPr>
        <b/>
        <sz val="11"/>
        <color rgb="FF000000"/>
        <rFont val="Calibri"/>
        <family val="2"/>
      </rPr>
      <t>BATCH 4 - 10/01 - QTY 78
AS9102 FAIR REQ
DO NOT SKIP AOI
XRAY &amp; SAVE IMAGES
DEPANEL &amp; SAND
MAKE SURE BOARDS ARE FREE AND CLEAN OF DEBRIS &amp; FLUX</t>
    </r>
  </si>
  <si>
    <t>7/28 - 5:00</t>
  </si>
  <si>
    <t>7/28 - 1:00</t>
  </si>
  <si>
    <t>DOC REL 6/25</t>
  </si>
  <si>
    <t>6/25</t>
  </si>
  <si>
    <r>
      <t xml:space="preserve">clear 7/15
</t>
    </r>
    <r>
      <rPr>
        <b/>
        <strike/>
        <sz val="11"/>
        <color rgb="FF000000"/>
        <rFont val="Calibri"/>
        <family val="2"/>
      </rPr>
      <t>balance due 7/15
CLEAR FOR QTY.50 /SHORT 11PCS ETA 7/14</t>
    </r>
  </si>
  <si>
    <t>7/15 - kit clear
7/14 - new R199 p/n replacement received
7/11 - MATL CLEAR</t>
  </si>
  <si>
    <t xml:space="preserve">7/16 - SMT bot done 145
7/14 - top side 1st </t>
  </si>
  <si>
    <t>131636-2nd
3 BAL
ROWC 1st Article</t>
  </si>
  <si>
    <t>10/1
??D</t>
  </si>
  <si>
    <r>
      <rPr>
        <b/>
        <sz val="11"/>
        <color rgb="FF000000"/>
        <rFont val="Calibri"/>
        <family val="2"/>
      </rPr>
      <t xml:space="preserve">SPLIT SHIPMENTS (CAN BUILD ALL AT ONCE)
</t>
    </r>
    <r>
      <rPr>
        <b/>
        <strike/>
        <sz val="11"/>
        <color rgb="FF000000"/>
        <rFont val="Calibri"/>
        <family val="2"/>
      </rPr>
      <t xml:space="preserve">- batch 1: 7/23 qty 50
- batch 2: 8/01 qty 60
- batch 3: 9/01 qty 50
</t>
    </r>
    <r>
      <rPr>
        <b/>
        <sz val="11"/>
        <color rgb="FF000000"/>
        <rFont val="Calibri"/>
        <family val="2"/>
      </rPr>
      <t>- batch 4: 10/1 qty 28
*** SEE ECO FOR SOLDER &amp; CLEANING
AS9102 FAIR REQ
lead-free no-clean Aquanox
DO NOT SKIP AOI
XRAY &amp; SAVE IMAGES
DEPANEL</t>
    </r>
  </si>
  <si>
    <t>7/16 - 10:30</t>
  </si>
  <si>
    <t>7/17 - 7:00</t>
  </si>
  <si>
    <t>7/18 - 10:30</t>
  </si>
  <si>
    <t>DOC REL 7/11</t>
  </si>
  <si>
    <t>7/11</t>
  </si>
  <si>
    <r>
      <rPr>
        <b/>
        <u/>
        <sz val="11"/>
        <color rgb="FF000000"/>
        <rFont val="Calibri"/>
        <family val="2"/>
      </rPr>
      <t xml:space="preserve">clear
</t>
    </r>
    <r>
      <rPr>
        <b/>
        <strike/>
        <u/>
        <sz val="11"/>
        <color rgb="FF000000"/>
        <rFont val="Calibri"/>
        <family val="2"/>
      </rPr>
      <t xml:space="preserve">NOT </t>
    </r>
    <r>
      <rPr>
        <b/>
        <strike/>
        <sz val="11"/>
        <color rgb="FF000000"/>
        <rFont val="Calibri"/>
        <family val="2"/>
      </rPr>
      <t>clear 6/23</t>
    </r>
  </si>
  <si>
    <r>
      <t xml:space="preserve">8/26 - kit clear
</t>
    </r>
    <r>
      <rPr>
        <b/>
        <strike/>
        <sz val="11"/>
        <color rgb="FF000000"/>
        <rFont val="Calibri"/>
        <family val="2"/>
      </rPr>
      <t xml:space="preserve">6/23 - short 32 pieces of P1
</t>
    </r>
    <r>
      <rPr>
        <b/>
        <sz val="11"/>
        <color rgb="FF000000"/>
        <rFont val="Calibri"/>
        <family val="2"/>
      </rPr>
      <t>6/23 - a</t>
    </r>
    <r>
      <rPr>
        <b/>
        <strike/>
        <sz val="11"/>
        <color rgb="FF000000"/>
        <rFont val="Calibri"/>
        <family val="2"/>
      </rPr>
      <t>wt bare boards return from Laser Cutting</t>
    </r>
  </si>
  <si>
    <r>
      <rPr>
        <b/>
        <sz val="11"/>
        <color rgb="FF000000"/>
        <rFont val="Calibri"/>
        <family val="2"/>
      </rPr>
      <t>6/27 - SMT qty remaining is 32 (awaiting P1 shortages)
6/23 -</t>
    </r>
    <r>
      <rPr>
        <b/>
        <strike/>
        <sz val="11"/>
        <color rgb="FF000000"/>
        <rFont val="Calibri"/>
        <family val="2"/>
      </rPr>
      <t xml:space="preserve"> ok to run 156 of 188
6/23 - scheduled shipment qty 50 no later than 6/30</t>
    </r>
  </si>
  <si>
    <t>131635-2nd
4BAL
ROWC 1st Article</t>
  </si>
  <si>
    <t>10/1
5D</t>
  </si>
  <si>
    <r>
      <rPr>
        <b/>
        <sz val="11"/>
        <color rgb="FF000000"/>
        <rFont val="Calibri"/>
        <family val="2"/>
      </rPr>
      <t xml:space="preserve">SPLIT SHIPMENTS (CAN BUILD ALL AT ONCE) last shipment on 8/1
</t>
    </r>
    <r>
      <rPr>
        <b/>
        <strike/>
        <sz val="11"/>
        <color rgb="FF000000"/>
        <rFont val="Calibri"/>
        <family val="2"/>
      </rPr>
      <t xml:space="preserve">BATCH 1 - 06/24 QTY 50 – How soon can you ship these?
BATCH 2 - 8/01 QTY 60
BATCH 3 - 9/01 QTY 46
</t>
    </r>
    <r>
      <rPr>
        <b/>
        <sz val="11"/>
        <color rgb="FF000000"/>
        <rFont val="Calibri"/>
        <family val="2"/>
      </rPr>
      <t xml:space="preserve">BATCH 4 - 10/01 QTY 32
*** SEE ECO FOR SOLDER &amp; CLEANING
AS9102 FAIR REQUIRED
XRAY &amp; SAVE IMAGES
DO NOT SKIP AOI
MAKE SURE BOARDS ARE FREE AND CLEAN OF FLUX &amp; DEBRIS
</t>
    </r>
    <r>
      <rPr>
        <b/>
        <u/>
        <sz val="11"/>
        <color rgb="FF000000"/>
        <rFont val="Calibri"/>
        <family val="2"/>
      </rPr>
      <t>shipping: ensure nuts are installed</t>
    </r>
  </si>
  <si>
    <t>DOC REL 6/20</t>
  </si>
  <si>
    <t>6/23</t>
  </si>
  <si>
    <t>alta stand printed</t>
  </si>
  <si>
    <r>
      <t xml:space="preserve">clear 9/23
</t>
    </r>
    <r>
      <rPr>
        <b/>
        <strike/>
        <sz val="11"/>
        <color rgb="FF000000"/>
        <rFont val="Calibri"/>
        <family val="2"/>
      </rPr>
      <t>short, no ETA 9/23</t>
    </r>
  </si>
  <si>
    <t>9/23 - kit clear
9/17 - matl clear</t>
  </si>
  <si>
    <t>135534
NEW</t>
  </si>
  <si>
    <t>9/30
5D</t>
  </si>
  <si>
    <t xml:space="preserve">DO NOT SKIP PREBAKE
</t>
  </si>
  <si>
    <t>9/25 - 9:30</t>
  </si>
  <si>
    <t>9/25 - 11:00</t>
  </si>
  <si>
    <t>9/25 - 2:00</t>
  </si>
  <si>
    <t>9/17</t>
  </si>
  <si>
    <r>
      <rPr>
        <b/>
        <sz val="11"/>
        <color rgb="FF000000"/>
        <rFont val="Calibri"/>
        <family val="2"/>
      </rPr>
      <t xml:space="preserve">CLEAR 9/15
</t>
    </r>
    <r>
      <rPr>
        <b/>
        <strike/>
        <sz val="11"/>
        <color rgb="FF000000"/>
        <rFont val="Calibri"/>
        <family val="2"/>
      </rPr>
      <t>short qty 35</t>
    </r>
  </si>
  <si>
    <t>9/15 - kit clear for qty 190
9/12 - matl clear</t>
  </si>
  <si>
    <r>
      <rPr>
        <b/>
        <sz val="11"/>
        <color rgb="FF000000"/>
        <rFont val="Calibri"/>
        <family val="2"/>
      </rPr>
      <t>9/23 -</t>
    </r>
    <r>
      <rPr>
        <b/>
        <sz val="11"/>
        <color rgb="FFD86DCD"/>
        <rFont val="Calibri"/>
        <family val="2"/>
      </rPr>
      <t xml:space="preserve"> void issues after reflow
</t>
    </r>
    <r>
      <rPr>
        <b/>
        <sz val="11"/>
        <color rgb="FF000000"/>
        <rFont val="Calibri"/>
        <family val="2"/>
      </rPr>
      <t xml:space="preserve">9/15 - </t>
    </r>
    <r>
      <rPr>
        <b/>
        <strike/>
        <sz val="11"/>
        <color rgb="FF000000"/>
        <rFont val="Calibri"/>
        <family val="2"/>
      </rPr>
      <t>awt status update on split or close shor</t>
    </r>
    <r>
      <rPr>
        <b/>
        <sz val="11"/>
        <color rgb="FF000000"/>
        <rFont val="Calibri"/>
        <family val="2"/>
      </rPr>
      <t>t</t>
    </r>
  </si>
  <si>
    <t>135270
RONC 127792</t>
  </si>
  <si>
    <t>9/29
10D</t>
  </si>
  <si>
    <r>
      <rPr>
        <b/>
        <sz val="12"/>
        <color rgb="FF000000"/>
        <rFont val="Calibri"/>
        <family val="2"/>
      </rPr>
      <t xml:space="preserve">close short qty 190
</t>
    </r>
    <r>
      <rPr>
        <b/>
        <sz val="14"/>
        <color rgb="FFFF0000"/>
        <rFont val="Calibri"/>
        <family val="2"/>
      </rPr>
      <t xml:space="preserve">*** DO NOT DEPANEL!!!
</t>
    </r>
    <r>
      <rPr>
        <b/>
        <sz val="11"/>
        <color rgb="FF000000"/>
        <rFont val="Calibri"/>
        <family val="2"/>
      </rPr>
      <t xml:space="preserve">LEAD FREE NO CLEAN
"M100, M101, M102" AFTER WASH
"M100, M101, M102" XRAY &amp; SAVE IMAGES BY SER NUMBER - SEE ECO NOTE 6 FOR LOT SAMPLING XRAY INSPECTION
</t>
    </r>
    <r>
      <rPr>
        <b/>
        <strike/>
        <sz val="11"/>
        <color rgb="FF000000"/>
        <rFont val="Calibri"/>
        <family val="2"/>
      </rPr>
      <t xml:space="preserve">SHIPPING - READ ECO NOTE 7 FOR PACKAGING - DESSICANT ALSO REQ </t>
    </r>
    <r>
      <rPr>
        <b/>
        <sz val="11"/>
        <color rgb="FF000000"/>
        <rFont val="Calibri"/>
        <family val="2"/>
      </rPr>
      <t xml:space="preserve">(waived see Email)
</t>
    </r>
    <r>
      <rPr>
        <b/>
        <sz val="14"/>
        <color rgb="FF000000"/>
        <rFont val="Calibri"/>
        <family val="2"/>
      </rPr>
      <t xml:space="preserve">*** </t>
    </r>
    <r>
      <rPr>
        <b/>
        <sz val="14"/>
        <color rgb="FFFF0000"/>
        <rFont val="Calibri"/>
        <family val="2"/>
      </rPr>
      <t>DO NOT DEPANEL!!!</t>
    </r>
  </si>
  <si>
    <t>9/23 - 6:00</t>
  </si>
  <si>
    <t>9/23 - 8:00</t>
  </si>
  <si>
    <t>DHL INTERNATIONAL</t>
  </si>
  <si>
    <t xml:space="preserve">Person-Aiz AS - formerly Listen AS
</t>
  </si>
  <si>
    <t>9/12</t>
  </si>
  <si>
    <t>complete label board &amp; bag</t>
  </si>
  <si>
    <t>desiccant &amp; HID waived</t>
  </si>
  <si>
    <r>
      <t xml:space="preserve">clear 9/22
</t>
    </r>
    <r>
      <rPr>
        <b/>
        <strike/>
        <sz val="11"/>
        <color rgb="FF000000"/>
        <rFont val="Calibri"/>
        <family val="2"/>
      </rPr>
      <t>short due 9/23</t>
    </r>
  </si>
  <si>
    <r>
      <t xml:space="preserve">9/22 - kit clear
9/18 - matl clear
</t>
    </r>
    <r>
      <rPr>
        <b/>
        <strike/>
        <sz val="11"/>
        <color rgb="FF000000"/>
        <rFont val="Calibri"/>
        <family val="2"/>
      </rPr>
      <t>9/19 - short SMT U59 due 9/19</t>
    </r>
  </si>
  <si>
    <t>135349
NEW</t>
  </si>
  <si>
    <t>9/29
5D</t>
  </si>
  <si>
    <r>
      <rPr>
        <b/>
        <sz val="11"/>
        <color rgb="FF000000"/>
        <rFont val="Calibri"/>
        <family val="2"/>
      </rPr>
      <t xml:space="preserve">"B1, B2" AFTER WASH
DEPANEL
</t>
    </r>
    <r>
      <rPr>
        <b/>
        <u/>
        <sz val="11"/>
        <color rgb="FF000000"/>
        <rFont val="Calibri"/>
        <family val="2"/>
      </rPr>
      <t xml:space="preserve">install nuts &amp; washers
</t>
    </r>
    <r>
      <rPr>
        <b/>
        <sz val="11"/>
        <color rgb="FF000000"/>
        <rFont val="Calibri"/>
        <family val="2"/>
      </rPr>
      <t>LABELS ON BAGS
SPLIT SHIPMENT - QTY 4 TO Field Medical ATTN: Kyle Walberg
124 N Rios Ave
Solana Beach, CA 92075
 / QTY 1 TO Nextern
ATTN: Jon Lawson
10601 Fountains Dr</t>
    </r>
  </si>
  <si>
    <t>9/23 - 8:30</t>
  </si>
  <si>
    <t>9/23 - 11:30</t>
  </si>
  <si>
    <t>J1 &amp; J3 overhang (depanel before SMT)</t>
  </si>
  <si>
    <t>complete ECO bag</t>
  </si>
  <si>
    <r>
      <t xml:space="preserve">clear 9/23
</t>
    </r>
    <r>
      <rPr>
        <b/>
        <strike/>
        <sz val="11"/>
        <color rgb="FF000000"/>
        <rFont val="Calibri"/>
        <family val="2"/>
      </rPr>
      <t>short due 9/23 9/17</t>
    </r>
  </si>
  <si>
    <t>135462
NEW</t>
  </si>
  <si>
    <r>
      <t xml:space="preserve">9/29
4D
</t>
    </r>
    <r>
      <rPr>
        <b/>
        <strike/>
        <sz val="14"/>
        <color rgb="FF000000"/>
        <rFont val="Calibri"/>
        <family val="2"/>
      </rPr>
      <t>5D</t>
    </r>
  </si>
  <si>
    <t>DO NOT SKIP PREBAKE
SOLDER BUILD UP ON GROUND PADS NOT TO EXCEED 0.06"
TRIM LEADS 0.140" MAX
DEPANEL &amp; SAND
ESD warning label</t>
  </si>
  <si>
    <t>9/25 - 10:00</t>
  </si>
  <si>
    <t xml:space="preserve">Rheem Manufacturing Company
</t>
  </si>
  <si>
    <t>label on 2x board &amp; 1x box</t>
  </si>
  <si>
    <t>label font sizes</t>
  </si>
  <si>
    <r>
      <rPr>
        <b/>
        <sz val="11"/>
        <color rgb="FF000000"/>
        <rFont val="Calibri"/>
        <family val="2"/>
      </rPr>
      <t>CLEAR 9/19 (QTY.15)_</t>
    </r>
    <r>
      <rPr>
        <b/>
        <sz val="11"/>
        <color rgb="FF156082"/>
        <rFont val="Calibri"/>
        <family val="2"/>
      </rPr>
      <t xml:space="preserve">for QTY.75 ETA 9/23
</t>
    </r>
  </si>
  <si>
    <t>9/19-CLEAR FOR QTY.15
USE 9/23 AS DAY 1</t>
  </si>
  <si>
    <t>135611-1
par
NEW</t>
  </si>
  <si>
    <t>9/22 - 2:00</t>
  </si>
  <si>
    <t>9/23 - 7:30</t>
  </si>
  <si>
    <r>
      <t xml:space="preserve">clear 9/16
</t>
    </r>
    <r>
      <rPr>
        <b/>
        <strike/>
        <sz val="11"/>
        <color rgb="FF000000"/>
        <rFont val="Calibri"/>
        <family val="2"/>
      </rPr>
      <t>pcb received
short, no ETA 9/18</t>
    </r>
  </si>
  <si>
    <t>9/16 - kit clear
9/12 - matl clear</t>
  </si>
  <si>
    <t>135123
RONC 133639</t>
  </si>
  <si>
    <t>9/30
10D</t>
  </si>
  <si>
    <t>9/22 - 12:00</t>
  </si>
  <si>
    <t>9/23 - 7:00</t>
  </si>
  <si>
    <t>DOC REL 9/11</t>
  </si>
  <si>
    <t>complete ECO (board, in/out bag)</t>
  </si>
  <si>
    <t>clear 9/24</t>
  </si>
  <si>
    <t>9/25 - awt stencil</t>
  </si>
  <si>
    <t>135490
NEW</t>
  </si>
  <si>
    <r>
      <rPr>
        <b/>
        <sz val="14"/>
        <color rgb="FF000000"/>
        <rFont val="Calibri"/>
        <family val="2"/>
      </rPr>
      <t xml:space="preserve">9/26
</t>
    </r>
    <r>
      <rPr>
        <b/>
        <strike/>
        <sz val="14"/>
        <color rgb="FF000000"/>
        <rFont val="Calibri"/>
        <family val="2"/>
      </rPr>
      <t xml:space="preserve">9/29
</t>
    </r>
    <r>
      <rPr>
        <b/>
        <sz val="14"/>
        <color rgb="FFFF0000"/>
        <rFont val="Calibri"/>
        <family val="2"/>
      </rPr>
      <t>3D</t>
    </r>
  </si>
  <si>
    <t>requested</t>
  </si>
  <si>
    <t>Class 3
Pre-Bake Boards Req
BZ1 after wash
Depanel</t>
  </si>
  <si>
    <t>9/25 - 8:00</t>
  </si>
  <si>
    <t>9/25 - 3:00</t>
  </si>
  <si>
    <t>9/26 - 8:00</t>
  </si>
  <si>
    <t>UPS RED
(SAT)</t>
  </si>
  <si>
    <t>Xenocor</t>
  </si>
  <si>
    <r>
      <t xml:space="preserve">clear 9/18
</t>
    </r>
    <r>
      <rPr>
        <b/>
        <strike/>
        <sz val="11"/>
        <color rgb="FF000000"/>
        <rFont val="Calibri"/>
        <family val="2"/>
      </rPr>
      <t>short, no ETA</t>
    </r>
  </si>
  <si>
    <r>
      <t xml:space="preserve">9/18 - kit clear
9/8 - matl clear
</t>
    </r>
    <r>
      <rPr>
        <b/>
        <strike/>
        <sz val="11"/>
        <color rgb="FF000000"/>
        <rFont val="Calibri"/>
        <family val="2"/>
      </rPr>
      <t>9/4 - short SMT R1 (5 pieces), no ETA</t>
    </r>
  </si>
  <si>
    <t>133930-FA
NEW</t>
  </si>
  <si>
    <t>9/25
5D</t>
  </si>
  <si>
    <r>
      <rPr>
        <b/>
        <sz val="11"/>
        <color rgb="FF000000"/>
        <rFont val="Calibri"/>
        <family val="2"/>
      </rPr>
      <t xml:space="preserve">PO change: build 35FA first
balance remaining 15
NO CLEAN PROCESS
SAC305 SOLDER REQUIRED
"U74, T3, T4" MOISTURE SENSITIVE
HEIGHT REQ PER ECO NOTE 8
</t>
    </r>
    <r>
      <rPr>
        <b/>
        <sz val="11"/>
        <color rgb="FFFF0000"/>
        <rFont val="Calibri"/>
        <family val="2"/>
      </rPr>
      <t>Tad DEPANEL</t>
    </r>
  </si>
  <si>
    <t>9/20 - 12:00</t>
  </si>
  <si>
    <t>9/22 - 9:00</t>
  </si>
  <si>
    <t>9/22 - 2:30</t>
  </si>
  <si>
    <r>
      <t xml:space="preserve">clear 9/10
</t>
    </r>
    <r>
      <rPr>
        <b/>
        <strike/>
        <sz val="11"/>
        <color rgb="FF000000"/>
        <rFont val="Calibri"/>
        <family val="2"/>
      </rPr>
      <t>short, no ETA
clear 8/25
short, no ETA 8/25 8/20</t>
    </r>
  </si>
  <si>
    <t>8/25 - kit clear after bare board inspect &amp; bake
7/31 - matl clear</t>
  </si>
  <si>
    <r>
      <rPr>
        <b/>
        <sz val="11"/>
        <color rgb="FF000000"/>
        <rFont val="Calibri"/>
        <family val="2"/>
      </rPr>
      <t xml:space="preserve">9/3 - </t>
    </r>
    <r>
      <rPr>
        <b/>
        <strike/>
        <sz val="11"/>
        <color rgb="FF000000"/>
        <rFont val="Calibri"/>
        <family val="2"/>
      </rPr>
      <t xml:space="preserve">new boards being rebuilt
</t>
    </r>
    <r>
      <rPr>
        <b/>
        <sz val="11"/>
        <color rgb="FF000000"/>
        <rFont val="Calibri"/>
        <family val="2"/>
      </rPr>
      <t xml:space="preserve">8/21 - OFF HOLD
</t>
    </r>
    <r>
      <rPr>
        <b/>
        <strike/>
        <sz val="11"/>
        <color rgb="FF000000"/>
        <rFont val="Calibri"/>
        <family val="2"/>
      </rPr>
      <t>7/29 - SHIP HOLD (Anne)</t>
    </r>
  </si>
  <si>
    <t>132921
RONC 118109</t>
  </si>
  <si>
    <t>*previous build: Stencil Issues
CHECK W/ ROBERT BEFORE START
DEPANEL</t>
  </si>
  <si>
    <t>9/22 - 7:30</t>
  </si>
  <si>
    <t>9/22 - 12:30</t>
  </si>
  <si>
    <t>DOC REL 7/30</t>
  </si>
  <si>
    <t>7/31</t>
  </si>
  <si>
    <t>stencil issues previously</t>
  </si>
  <si>
    <t>clear 9/2</t>
  </si>
  <si>
    <r>
      <t xml:space="preserve">9/3 - kit clear
</t>
    </r>
    <r>
      <rPr>
        <b/>
        <strike/>
        <sz val="11"/>
        <color rgb="FF000000"/>
        <rFont val="Calibri"/>
        <family val="2"/>
      </rPr>
      <t>9/2 - SMT clear</t>
    </r>
  </si>
  <si>
    <t>134811
NEW</t>
  </si>
  <si>
    <t>9/24
15D</t>
  </si>
  <si>
    <t>"C28, 30, 31" BEND &amp; PLACE PER ECO
"F1, F2, mechanical" INSTALL PER ECO
DEPANEL</t>
  </si>
  <si>
    <t>9/18 - 1:00</t>
  </si>
  <si>
    <t xml:space="preserve">Command Alkon Inc.
</t>
  </si>
  <si>
    <t>MC</t>
  </si>
  <si>
    <r>
      <t xml:space="preserve">clear 7/14
</t>
    </r>
    <r>
      <rPr>
        <b/>
        <strike/>
        <sz val="11"/>
        <color rgb="FF000000"/>
        <rFont val="Calibri"/>
        <family val="2"/>
      </rPr>
      <t>SHORT, NO ETA 7/11</t>
    </r>
  </si>
  <si>
    <r>
      <t xml:space="preserve">9/9 - kit clear
</t>
    </r>
    <r>
      <rPr>
        <b/>
        <strike/>
        <sz val="11"/>
        <color rgb="FF000000"/>
        <rFont val="Calibri"/>
        <family val="2"/>
      </rPr>
      <t xml:space="preserve">9/8 - short some SMT D33 (qty 20) &amp; U21 (qty 2)
7/29 - short SMT items
7/28 - kit clear
7/28 - U11 due date 7/29
7/17 - short SMT : U11 qty 310 due NO ETA 7/21; THT 2x line items
7/9 - SHORT U11 (no ETA), J4 (no ETA), J6 (no ETA), J3 (7/15), J16 (no ETA), and T1 (7/15) with no ETA </t>
    </r>
    <r>
      <rPr>
        <b/>
        <sz val="11"/>
        <color rgb="FF000000"/>
        <rFont val="Calibri"/>
        <family val="2"/>
      </rPr>
      <t>(customer supplied).
*Split shipment: QTY 70/5D, QTY 40/10D, Can run at once if all clear</t>
    </r>
  </si>
  <si>
    <r>
      <t xml:space="preserve">7/23 - </t>
    </r>
    <r>
      <rPr>
        <b/>
        <strike/>
        <sz val="11"/>
        <color rgb="FF000000"/>
        <rFont val="Calibri"/>
        <family val="2"/>
      </rPr>
      <t xml:space="preserve">NEW SHIP DATE EXPECTATION IS 8/4 BASED ON "U11"
</t>
    </r>
    <r>
      <rPr>
        <b/>
        <sz val="11"/>
        <color rgb="FF000000"/>
        <rFont val="Calibri"/>
        <family val="2"/>
      </rPr>
      <t>7/16 - ship 70 of 110</t>
    </r>
    <r>
      <rPr>
        <b/>
        <strike/>
        <sz val="11"/>
        <color rgb="FF000000"/>
        <rFont val="Calibri"/>
        <family val="2"/>
      </rPr>
      <t xml:space="preserve"> on 7/28 </t>
    </r>
    <r>
      <rPr>
        <b/>
        <sz val="11"/>
        <color rgb="FF000000"/>
        <rFont val="Calibri"/>
        <family val="2"/>
      </rPr>
      <t>(ANNE)</t>
    </r>
  </si>
  <si>
    <t>134208-2
bal
NEW</t>
  </si>
  <si>
    <t>9/23
10D</t>
  </si>
  <si>
    <r>
      <rPr>
        <b/>
        <sz val="11"/>
        <color rgb="FFFF0000"/>
        <rFont val="Calibri"/>
        <family val="2"/>
      </rPr>
      <t xml:space="preserve">QUALITY ALERTS!
</t>
    </r>
    <r>
      <rPr>
        <b/>
        <sz val="11"/>
        <color rgb="FF000000"/>
        <rFont val="Calibri"/>
        <family val="2"/>
      </rPr>
      <t>shipped partial 70 of 110 7/31
100% inspection
AOI, Xray &amp; Save Images Required
100% photos (front/back all)
MUST PREBAKE PCB'S
"SW1-SW8" AFTER WASH
"SW9 &amp; J16" INSTALL PER ECO
DEPANEL
SPLIT SHIPMENT: QTY 70 / LT 5, qty 40 LT 10
*** PACK WITH EXTRA CARE &amp; INSURE MOISTURE PROTECTION
*** MUST INCLUDE PO 001503 ON SHIPPING LABEL PER PO EMAIL</t>
    </r>
  </si>
  <si>
    <t>9/19 - 6:00</t>
  </si>
  <si>
    <t>9/19 - 10:00</t>
  </si>
  <si>
    <t>9/19 - 2:00</t>
  </si>
  <si>
    <t>FEDEX GND</t>
  </si>
  <si>
    <t>DOC REL 7/7</t>
  </si>
  <si>
    <t>7/9</t>
  </si>
  <si>
    <r>
      <t xml:space="preserve">clear 9/9
</t>
    </r>
    <r>
      <rPr>
        <b/>
        <strike/>
        <sz val="11"/>
        <color rgb="FF000000"/>
        <rFont val="Calibri"/>
        <family val="2"/>
      </rPr>
      <t>short, no ETA 9/10</t>
    </r>
  </si>
  <si>
    <r>
      <t xml:space="preserve">9/9 - kit clear
</t>
    </r>
    <r>
      <rPr>
        <b/>
        <strike/>
        <sz val="11"/>
        <color rgb="FF000000"/>
        <rFont val="Calibri"/>
        <family val="2"/>
      </rPr>
      <t>8/27 - short SMT U904, no ETA
8/21 - short SMT 4x line items, no ETA</t>
    </r>
  </si>
  <si>
    <t>134228
ROWC 132496</t>
  </si>
  <si>
    <r>
      <rPr>
        <b/>
        <sz val="11"/>
        <color rgb="FF000000"/>
        <rFont val="Calibri"/>
        <family val="2"/>
      </rPr>
      <t xml:space="preserve">LEAD WASH
DEPANELL
</t>
    </r>
    <r>
      <rPr>
        <b/>
        <u/>
        <sz val="11"/>
        <color rgb="FF000000"/>
        <rFont val="Calibri"/>
        <family val="2"/>
      </rPr>
      <t>install Shield Covers</t>
    </r>
  </si>
  <si>
    <t>9/17 - 6:00</t>
  </si>
  <si>
    <t>9/17 - 11:30</t>
  </si>
  <si>
    <t>8/21</t>
  </si>
  <si>
    <t>new: install shields
uploaded</t>
  </si>
  <si>
    <t>133493-2
PAR
RONC 1ST</t>
  </si>
  <si>
    <r>
      <rPr>
        <b/>
        <sz val="11"/>
        <color rgb="FF000000"/>
        <rFont val="Calibri"/>
        <family val="2"/>
      </rPr>
      <t xml:space="preserve">harvest U28 from prev batch
</t>
    </r>
    <r>
      <rPr>
        <b/>
        <sz val="11"/>
        <color rgb="FFFF0000"/>
        <rFont val="Calibri"/>
        <family val="2"/>
      </rPr>
      <t>internal quality issue</t>
    </r>
    <r>
      <rPr>
        <b/>
        <sz val="11"/>
        <color rgb="FF000000"/>
        <rFont val="Calibri"/>
        <family val="2"/>
      </rPr>
      <t>: DURING SMT RUN, please make sure polarity is good for all boards within panel &amp; every panel before reflow
po: split shipment
- 300 pcs to ship 9-23
- 200 pcs to ship 11/3</t>
    </r>
  </si>
  <si>
    <t>clear 8/28</t>
  </si>
  <si>
    <r>
      <t xml:space="preserve">9/2 - KIT CLEAR
</t>
    </r>
    <r>
      <rPr>
        <b/>
        <strike/>
        <sz val="11"/>
        <color rgb="FF000000"/>
        <rFont val="Calibri"/>
        <family val="2"/>
      </rPr>
      <t>8/28 - short SMT 1 piece U10_1, due 9/2</t>
    </r>
  </si>
  <si>
    <t>132588
ROWC 114911</t>
  </si>
  <si>
    <t>9/23
15D</t>
  </si>
  <si>
    <r>
      <rPr>
        <b/>
        <sz val="11"/>
        <color rgb="FF000000"/>
        <rFont val="Calibri"/>
        <family val="2"/>
      </rPr>
      <t xml:space="preserve">LEAD WASH
SEVERAL PARTS PLACE "AS IS" - ECO
"R1 &amp; RELATED" SEE ECO - CRITICAL SPACING REQ
DEPANEL
</t>
    </r>
    <r>
      <rPr>
        <b/>
        <u/>
        <sz val="11"/>
        <color rgb="FF000000"/>
        <rFont val="Calibri"/>
        <family val="2"/>
      </rPr>
      <t>"DP1, HI1, SH1" DNI &amp; SHIP PARTS W/ ASSY'S</t>
    </r>
  </si>
  <si>
    <t>9/18 - 8:00</t>
  </si>
  <si>
    <t>9/18 - 1:30</t>
  </si>
  <si>
    <t xml:space="preserve">AKV, Inc.
</t>
  </si>
  <si>
    <t>8/28</t>
  </si>
  <si>
    <t>no notes</t>
  </si>
  <si>
    <t>clear 9/16</t>
  </si>
  <si>
    <r>
      <t xml:space="preserve">9/17 - kit clear
</t>
    </r>
    <r>
      <rPr>
        <b/>
        <strike/>
        <sz val="11"/>
        <color rgb="FF000000"/>
        <rFont val="Calibri"/>
        <family val="2"/>
      </rPr>
      <t>9/16 - short SMT #45 R19, no ETA</t>
    </r>
  </si>
  <si>
    <r>
      <rPr>
        <b/>
        <sz val="14"/>
        <color rgb="FF000000"/>
        <rFont val="Calibri"/>
        <family val="2"/>
      </rPr>
      <t xml:space="preserve">9/22
</t>
    </r>
    <r>
      <rPr>
        <b/>
        <sz val="14"/>
        <color rgb="FFFF0000"/>
        <rFont val="Calibri"/>
        <family val="2"/>
      </rPr>
      <t>3D</t>
    </r>
  </si>
  <si>
    <r>
      <rPr>
        <b/>
        <sz val="12"/>
        <color rgb="FFFF0000"/>
        <rFont val="Calibri"/>
        <family val="2"/>
      </rPr>
      <t xml:space="preserve">*** DPAS Priority Rating: DO-A7
</t>
    </r>
    <r>
      <rPr>
        <b/>
        <sz val="11"/>
        <color rgb="FF000000"/>
        <rFont val="Calibri"/>
        <family val="2"/>
      </rPr>
      <t>100% INSPECTION REQ PER ECO
"U401_1, u401_2, U601_1 x 16" PREBAKE REQ PER ECO
CLASS 3
LEAD FREE, NO CLEAN
NO VENDOR MARK ALLOWED
DEPANEL &amp; SAND
NO LABELS
* OVERPACK PER ECO</t>
    </r>
  </si>
  <si>
    <t>9/20 - 6:00</t>
  </si>
  <si>
    <t>9/20 - 9:00</t>
  </si>
  <si>
    <t>TRI RUN ONLIY (PER ROBERT)</t>
  </si>
  <si>
    <t>9/16</t>
  </si>
  <si>
    <t>complete ECO label</t>
  </si>
  <si>
    <t>clear 8/1</t>
  </si>
  <si>
    <r>
      <t xml:space="preserve">9/8 - kit clear
</t>
    </r>
    <r>
      <rPr>
        <b/>
        <strike/>
        <sz val="11"/>
        <color rgb="FF000000"/>
        <rFont val="Calibri"/>
        <family val="2"/>
      </rPr>
      <t>8/1 - SMT clear; Partial short THT #19 (U5) due 9/3 week 9/1</t>
    </r>
  </si>
  <si>
    <r>
      <t xml:space="preserve">8/22 - SMT comp bot 240
8/22 - SMT comp top/bot qty 190
8/12 - use 8/14 as day 1 (Anne)
8/6 - </t>
    </r>
    <r>
      <rPr>
        <b/>
        <strike/>
        <sz val="11"/>
        <color rgb="FF000000"/>
        <rFont val="Calibri"/>
        <family val="2"/>
      </rPr>
      <t xml:space="preserve">do not need to run due to 25 bare board issue (Anne)
</t>
    </r>
    <r>
      <rPr>
        <b/>
        <sz val="11"/>
        <color rgb="FF000000"/>
        <rFont val="Calibri"/>
        <family val="2"/>
      </rPr>
      <t>8/1 - ok to SHIP PARTIAL (qty 173)</t>
    </r>
  </si>
  <si>
    <t>NGAN</t>
  </si>
  <si>
    <t>131018-2
BAL
RONC 117353</t>
  </si>
  <si>
    <t>9/22
10D</t>
  </si>
  <si>
    <t>remove &amp; replace C28 qty 65
CLASS 3
shipped partial 173 on 8/27
LEAD WASH
TAG BTD or DNI &amp; NOTE IN PAPERWORK</t>
  </si>
  <si>
    <t>8/27 - 6:30</t>
  </si>
  <si>
    <t>8/27 - 7:30</t>
  </si>
  <si>
    <t>8/27 - 10:30</t>
  </si>
  <si>
    <t>Coastal Designs, LLC</t>
  </si>
  <si>
    <t>PROGRAM INSTALL C28 WRONG</t>
  </si>
  <si>
    <t>DOC REL 7/25</t>
  </si>
  <si>
    <t>8/1</t>
  </si>
  <si>
    <t>clear 9/10</t>
  </si>
  <si>
    <r>
      <t xml:space="preserve">9/12 - kit clear
</t>
    </r>
    <r>
      <rPr>
        <b/>
        <strike/>
        <sz val="11"/>
        <color rgb="FF000000"/>
        <rFont val="Calibri"/>
        <family val="2"/>
      </rPr>
      <t>9/10 - awt part conf SMT L300, THT J301</t>
    </r>
  </si>
  <si>
    <t>135114
NEW</t>
  </si>
  <si>
    <t>9/19
5D</t>
  </si>
  <si>
    <r>
      <rPr>
        <b/>
        <sz val="11"/>
        <color rgb="FFFF0000"/>
        <rFont val="Calibri"/>
        <family val="2"/>
      </rPr>
      <t xml:space="preserve">Do not </t>
    </r>
    <r>
      <rPr>
        <b/>
        <sz val="11"/>
        <color rgb="FF000000"/>
        <rFont val="Calibri"/>
        <family val="2"/>
      </rPr>
      <t xml:space="preserve">install J501, J506, J507. Ship parts back with boards
DEPANEL by </t>
    </r>
    <r>
      <rPr>
        <b/>
        <sz val="11"/>
        <color rgb="FFFF0000"/>
        <rFont val="Calibri"/>
        <family val="2"/>
      </rPr>
      <t xml:space="preserve">only TAD
</t>
    </r>
    <r>
      <rPr>
        <b/>
        <sz val="11"/>
        <color rgb="FF000000"/>
        <rFont val="Calibri"/>
        <family val="2"/>
      </rPr>
      <t>DO NOT SKIP PCB PERBAKE</t>
    </r>
  </si>
  <si>
    <t>9/17 - 10:00</t>
  </si>
  <si>
    <t>Xylem</t>
  </si>
  <si>
    <r>
      <t xml:space="preserve">9/16 - kit clear
</t>
    </r>
    <r>
      <rPr>
        <b/>
        <strike/>
        <sz val="11"/>
        <color rgb="FF000000"/>
        <rFont val="Calibri"/>
        <family val="2"/>
      </rPr>
      <t>AWT PART CONF: L401_1...
(awt THT part placement confirmation)</t>
    </r>
  </si>
  <si>
    <r>
      <t xml:space="preserve">9/16 - </t>
    </r>
    <r>
      <rPr>
        <b/>
        <strike/>
        <sz val="11"/>
        <color rgb="FF000000"/>
        <rFont val="Calibri"/>
        <family val="2"/>
      </rPr>
      <t>awt final conf before adding ship date</t>
    </r>
  </si>
  <si>
    <t>134596
NEW
(134705)</t>
  </si>
  <si>
    <r>
      <rPr>
        <b/>
        <sz val="14"/>
        <color rgb="FF000000"/>
        <rFont val="Calibri"/>
        <family val="2"/>
      </rPr>
      <t xml:space="preserve">9/19
</t>
    </r>
    <r>
      <rPr>
        <b/>
        <sz val="14"/>
        <color rgb="FFFF0000"/>
        <rFont val="Calibri"/>
        <family val="2"/>
      </rPr>
      <t>3D</t>
    </r>
  </si>
  <si>
    <r>
      <rPr>
        <b/>
        <sz val="12"/>
        <color rgb="FFFF0000"/>
        <rFont val="Calibri"/>
        <family val="2"/>
      </rPr>
      <t xml:space="preserve">*** DPAS Priority Rating: DO-A7
</t>
    </r>
    <r>
      <rPr>
        <b/>
        <sz val="11"/>
        <color rgb="FF000000"/>
        <rFont val="Calibri"/>
        <family val="2"/>
      </rPr>
      <t>CLASS 3
"U601_1 thru U601_6, U401_1,U401_2" PREBAKE REQ PER ECO
NO VENDOR MARKS ALLOWED
LEAD FREE NO CLEAN
DEPANEL &amp; SAND
NO LABELS
Overpack Shipping Boxes</t>
    </r>
  </si>
  <si>
    <t>9/18 - 9:30</t>
  </si>
  <si>
    <t>DOC REL 8/5</t>
  </si>
  <si>
    <r>
      <t xml:space="preserve">clear 9/2
</t>
    </r>
    <r>
      <rPr>
        <b/>
        <strike/>
        <sz val="11"/>
        <color rgb="FF000000"/>
        <rFont val="Calibri"/>
        <family val="2"/>
      </rPr>
      <t>short, no ETA 9/8</t>
    </r>
  </si>
  <si>
    <r>
      <t xml:space="preserve">9/12 - kit clear
</t>
    </r>
    <r>
      <rPr>
        <b/>
        <strike/>
        <sz val="11"/>
        <color rgb="FF000000"/>
        <rFont val="Calibri"/>
        <family val="2"/>
      </rPr>
      <t>9/2 - short SMT Q3 due 9/9 &amp; C39, no ETA
8/26 - short SMT many, no ETA
awt SMT part conf #100 (R81)</t>
    </r>
  </si>
  <si>
    <t>135162
NEW</t>
  </si>
  <si>
    <r>
      <rPr>
        <b/>
        <strike/>
        <sz val="11"/>
        <color rgb="FFFF0000"/>
        <rFont val="Calibri"/>
        <family val="2"/>
      </rPr>
      <t>ALERT</t>
    </r>
    <r>
      <rPr>
        <b/>
        <strike/>
        <sz val="11"/>
        <color rgb="FF000000"/>
        <rFont val="Calibri"/>
        <family val="2"/>
      </rPr>
      <t xml:space="preserve">! confirm w/Robert bare board okay to use before SMT start
</t>
    </r>
    <r>
      <rPr>
        <b/>
        <sz val="11"/>
        <color rgb="FF000000"/>
        <rFont val="Calibri"/>
        <family val="2"/>
      </rPr>
      <t>"BAT1" LEAVE PASTE ON CENTER PAD
BOADRS MUST BE FREE AND CLEAN OF FLUX
leaded no-clean
CLEAN WITH AQUANOX THEN DI WATER
DEPANEL</t>
    </r>
  </si>
  <si>
    <t>9/17 - 8:30</t>
  </si>
  <si>
    <t>9/17 - 12:00</t>
  </si>
  <si>
    <t>9/18 - 9:00</t>
  </si>
  <si>
    <t>Anderson Connectivity</t>
  </si>
  <si>
    <t>8/26</t>
  </si>
  <si>
    <r>
      <t xml:space="preserve">clear 9/3
</t>
    </r>
    <r>
      <rPr>
        <b/>
        <strike/>
        <sz val="11"/>
        <color rgb="FF000000"/>
        <rFont val="Calibri"/>
        <family val="2"/>
      </rPr>
      <t>short, no ETA 9/9</t>
    </r>
  </si>
  <si>
    <r>
      <t xml:space="preserve">9/3 - kit clear
9/2 - matl clear
</t>
    </r>
    <r>
      <rPr>
        <b/>
        <strike/>
        <sz val="11"/>
        <color rgb="FF000000"/>
        <rFont val="Calibri"/>
        <family val="2"/>
      </rPr>
      <t>8/27 - short SMT J2 &amp; U17, no ETA
short THT U1J1, no ETA 9/2</t>
    </r>
  </si>
  <si>
    <t>9/3 - day 1 9/8  (Anne)</t>
  </si>
  <si>
    <t>133868
ROWC 131420</t>
  </si>
  <si>
    <t>9/19
10D</t>
  </si>
  <si>
    <t>LEAD FREE WASH
DEPANEL</t>
  </si>
  <si>
    <t>9/15 - 11:30</t>
  </si>
  <si>
    <t>9/15 - 2:30</t>
  </si>
  <si>
    <t>9/16 - 10:00</t>
  </si>
  <si>
    <t xml:space="preserve">Denmar Technical Services
</t>
  </si>
  <si>
    <t>DOC REL 8/26</t>
  </si>
  <si>
    <r>
      <t xml:space="preserve">clear 9/5
</t>
    </r>
    <r>
      <rPr>
        <b/>
        <strike/>
        <sz val="11"/>
        <color rgb="FF000000"/>
        <rFont val="Calibri"/>
        <family val="2"/>
      </rPr>
      <t>rec'd 29
short 10 no ETA, no ETA 9/3</t>
    </r>
  </si>
  <si>
    <r>
      <t xml:space="preserve">9/5 - kit clear
8/25 - matl clear
</t>
    </r>
    <r>
      <rPr>
        <b/>
        <strike/>
        <sz val="11"/>
        <color rgb="FF000000"/>
        <rFont val="Calibri"/>
        <family val="2"/>
      </rPr>
      <t>8/21 - short SMT D72 &amp; THT epoxy due 8/25
8/18 - short SMT 4x qty high, no ETA
awt THT part conf: J6</t>
    </r>
  </si>
  <si>
    <t>134587
NEW</t>
  </si>
  <si>
    <r>
      <rPr>
        <b/>
        <sz val="11"/>
        <color rgb="FF000000"/>
        <rFont val="Calibri"/>
        <family val="2"/>
      </rPr>
      <t xml:space="preserve">build &amp; ship qty 29
"S1, L7" AFTER WASH
</t>
    </r>
    <r>
      <rPr>
        <b/>
        <u/>
        <sz val="11"/>
        <color rgb="FF000000"/>
        <rFont val="Calibri"/>
        <family val="2"/>
      </rPr>
      <t xml:space="preserve">"F3, R38, R39" THERMAL EPOXY REQ PER ECO
</t>
    </r>
    <r>
      <rPr>
        <b/>
        <sz val="12"/>
        <color rgb="FF000000"/>
        <rFont val="Calibri"/>
        <family val="2"/>
      </rPr>
      <t xml:space="preserve">*** T/H HEIGHT REQUIREMENT PER ECO #8
</t>
    </r>
    <r>
      <rPr>
        <b/>
        <sz val="11"/>
        <color rgb="FF000000"/>
        <rFont val="Calibri"/>
        <family val="2"/>
      </rPr>
      <t>DEPANEL
press fit required</t>
    </r>
  </si>
  <si>
    <t>9/11 - 9:00</t>
  </si>
  <si>
    <t>9/11 - 2:30</t>
  </si>
  <si>
    <t>9/15 - 2:00</t>
  </si>
  <si>
    <t>Smith + Nephew Inc.</t>
  </si>
  <si>
    <t>DOC REL 8/14</t>
  </si>
  <si>
    <t>clear 9/5</t>
  </si>
  <si>
    <t>9/5 - kit clear</t>
  </si>
  <si>
    <t>134206
NEW</t>
  </si>
  <si>
    <t>LEAD PROCESS
DO NOT SKIP AOI
XRAY &amp; SAVE IMAGES
*** MIN T/H FILL 75%
CLEAN ALL FLUX AFTER ASSY</t>
  </si>
  <si>
    <t>9/16 - 2:00</t>
  </si>
  <si>
    <t>9/17 - 7:00</t>
  </si>
  <si>
    <t xml:space="preserve">Washington University in St Louis
</t>
  </si>
  <si>
    <r>
      <t xml:space="preserve">clear 9/11
</t>
    </r>
    <r>
      <rPr>
        <b/>
        <strike/>
        <sz val="11"/>
        <color rgb="FF000000"/>
        <rFont val="Calibri"/>
        <family val="2"/>
      </rPr>
      <t>short, no ETA 9/12</t>
    </r>
  </si>
  <si>
    <t>9/11 - kit clear
9/9 - matl clear</t>
  </si>
  <si>
    <t>135281
RONC 134277</t>
  </si>
  <si>
    <t>9/18
5D</t>
  </si>
  <si>
    <r>
      <rPr>
        <b/>
        <strike/>
        <sz val="11"/>
        <color rgb="FF000000"/>
        <rFont val="Calibri"/>
        <family val="2"/>
      </rPr>
      <t xml:space="preserve">Verify Mousebites/V-Score are okay
</t>
    </r>
    <r>
      <rPr>
        <b/>
        <sz val="11"/>
        <color rgb="FF000000"/>
        <rFont val="Calibri"/>
        <family val="2"/>
      </rPr>
      <t>DEPANEL &amp; SAND</t>
    </r>
  </si>
  <si>
    <t>9/16 - 6:00</t>
  </si>
  <si>
    <t xml:space="preserve">Specialized Manufacturing, Inc.
</t>
  </si>
  <si>
    <t>9/9 - kit clear
9/8 - SMT clear
9/5 - part qty discrepancy, will clear soon</t>
  </si>
  <si>
    <t>135386
RONC 132936</t>
  </si>
  <si>
    <t>9/18
7D</t>
  </si>
  <si>
    <t>TRUE NO CLEAN BUILD
MOUNT ALL T/H FLUSH TO PCB
"J1" SOLDER BEFOR "SW11, SW12, SW15, SW16" PER ECO
"S1 x 18" SEE ECO FOR MOUNTING
"MH1" SEE ECO FOR ALIGNMENT</t>
  </si>
  <si>
    <t>9/9 - 10:30</t>
  </si>
  <si>
    <t>9/10 - 7:00</t>
  </si>
  <si>
    <t>"SW1x18" &amp; "MH1x5"  20% FAILURE RATE</t>
  </si>
  <si>
    <r>
      <t xml:space="preserve">clear 9/3
</t>
    </r>
    <r>
      <rPr>
        <b/>
        <strike/>
        <sz val="11"/>
        <color rgb="FF000000"/>
        <rFont val="Calibri"/>
        <family val="2"/>
      </rPr>
      <t>short, due 8/29</t>
    </r>
  </si>
  <si>
    <t>9/3 - kit clear
8/18 - matl clear</t>
  </si>
  <si>
    <t>134975
ROWC 125611</t>
  </si>
  <si>
    <t>9/17
10D</t>
  </si>
  <si>
    <t>9/11 - 10:00</t>
  </si>
  <si>
    <r>
      <t xml:space="preserve">clear 9/2
</t>
    </r>
    <r>
      <rPr>
        <b/>
        <strike/>
        <sz val="11"/>
        <color rgb="FF000000"/>
        <rFont val="Calibri"/>
        <family val="2"/>
      </rPr>
      <t>short, no ETA 9/2</t>
    </r>
  </si>
  <si>
    <r>
      <t xml:space="preserve">9/2 - kit clear
8/28 - matl clear
</t>
    </r>
    <r>
      <rPr>
        <b/>
        <strike/>
        <sz val="11"/>
        <color rgb="FF000000"/>
        <rFont val="Calibri"/>
        <family val="2"/>
      </rPr>
      <t>8/19 - short SMT D1 due 8/28, U1 due 8/19, L2 no ETA
8/18 - short SMT many items, no eta</t>
    </r>
  </si>
  <si>
    <t>134676
RONC 130444</t>
  </si>
  <si>
    <t>9/16
10D</t>
  </si>
  <si>
    <r>
      <rPr>
        <b/>
        <sz val="11"/>
        <color rgb="FF000000"/>
        <rFont val="Calibri"/>
        <family val="2"/>
      </rPr>
      <t xml:space="preserve">DO NOT SKIP AOI
DEPANEL
</t>
    </r>
    <r>
      <rPr>
        <b/>
        <u/>
        <sz val="11"/>
        <color rgb="FF000000"/>
        <rFont val="Calibri"/>
        <family val="2"/>
      </rPr>
      <t>install washers + nuts (J1 - J6 SMT placed)</t>
    </r>
  </si>
  <si>
    <t>9/11 - 6:00</t>
  </si>
  <si>
    <t>9/11 - 8:00</t>
  </si>
  <si>
    <t>Genuen LLC</t>
  </si>
  <si>
    <t>9/2 - kit clear</t>
  </si>
  <si>
    <t>134599
2nd
RONC 1st</t>
  </si>
  <si>
    <r>
      <rPr>
        <b/>
        <sz val="12"/>
        <color rgb="FFFF0000"/>
        <rFont val="Calibri"/>
        <family val="2"/>
      </rPr>
      <t xml:space="preserve">*** QUALITY ALERT - PART SWAP LAST BUILD - INCORRECT PARTS AT "J1 &amp; J2" SEE ECO
</t>
    </r>
    <r>
      <rPr>
        <b/>
        <sz val="11"/>
        <color rgb="FF000000"/>
        <rFont val="Calibri"/>
        <family val="2"/>
      </rPr>
      <t xml:space="preserve">LEAD PROCESS
DO NOT SKIP AOI
XRAY &amp; SAVE INAGES
</t>
    </r>
    <r>
      <rPr>
        <b/>
        <u/>
        <sz val="11"/>
        <color rgb="FF000000"/>
        <rFont val="Calibri"/>
        <family val="2"/>
      </rPr>
      <t xml:space="preserve">STAKING REQ
</t>
    </r>
    <r>
      <rPr>
        <b/>
        <sz val="11"/>
        <color rgb="FF000000"/>
        <rFont val="Calibri"/>
        <family val="2"/>
      </rPr>
      <t xml:space="preserve">DEPANEL
</t>
    </r>
    <r>
      <rPr>
        <b/>
        <u/>
        <sz val="11"/>
        <color rgb="FF000000"/>
        <rFont val="Calibri"/>
        <family val="2"/>
      </rPr>
      <t xml:space="preserve">install nuts J1/J2
</t>
    </r>
    <r>
      <rPr>
        <b/>
        <sz val="11"/>
        <color rgb="FF000000"/>
        <rFont val="Calibri"/>
        <family val="2"/>
      </rPr>
      <t xml:space="preserve">"C7, C8, C11, C14" TRIM LEADS 0.05" MAX
"L3" TRIM 0.07" MAX
</t>
    </r>
    <r>
      <rPr>
        <b/>
        <sz val="10"/>
        <color rgb="FF000000"/>
        <rFont val="Calibri"/>
        <family val="2"/>
      </rPr>
      <t>J1 = M80-5000000M2-04-PM1-00-000
J2 = M80-5000000M2-04-331-00-000</t>
    </r>
  </si>
  <si>
    <t>9/8 - 6:00</t>
  </si>
  <si>
    <t>9/8 - 2:30</t>
  </si>
  <si>
    <t>9/9 - 8:00</t>
  </si>
  <si>
    <t>134589
2nd
RONC 1st</t>
  </si>
  <si>
    <r>
      <rPr>
        <b/>
        <sz val="11"/>
        <color rgb="FF000000"/>
        <rFont val="Calibri"/>
        <family val="2"/>
      </rPr>
      <t xml:space="preserve">LEAD PROCESS
DO NOT SKIP AOI
XRAY &amp; SAVE INAGES
</t>
    </r>
    <r>
      <rPr>
        <b/>
        <u/>
        <sz val="11"/>
        <color rgb="FF000000"/>
        <rFont val="Calibri"/>
        <family val="2"/>
      </rPr>
      <t xml:space="preserve">STAKING REQ: C1,C2,C6,F1,L1,U1,L3
</t>
    </r>
    <r>
      <rPr>
        <b/>
        <sz val="11"/>
        <color rgb="FF000000"/>
        <rFont val="Calibri"/>
        <family val="2"/>
      </rPr>
      <t>DEPANEL
"C1, C2, C6, F1, L1, U1" TRIM LEADS 0.05" MAX
"L3" TRIM 0.07" MAX</t>
    </r>
  </si>
  <si>
    <r>
      <t xml:space="preserve">clear 8/22
</t>
    </r>
    <r>
      <rPr>
        <b/>
        <strike/>
        <sz val="11"/>
        <color rgb="FF000000"/>
        <rFont val="Calibri"/>
        <family val="2"/>
      </rPr>
      <t>short, due 9/2</t>
    </r>
  </si>
  <si>
    <r>
      <t xml:space="preserve">8/22 - kit clear
8/19 - matl clear
</t>
    </r>
    <r>
      <rPr>
        <b/>
        <strike/>
        <sz val="11"/>
        <color rgb="FF000000"/>
        <rFont val="Calibri"/>
        <family val="2"/>
      </rPr>
      <t>8/12 - short SMT R2 (qty 1600) &amp; S1, no ETA
short THT S1 Cover, no ETA</t>
    </r>
  </si>
  <si>
    <t>8/22 - day 1 9/2 (Anne)</t>
  </si>
  <si>
    <t>134905
RONC 134949</t>
  </si>
  <si>
    <r>
      <rPr>
        <b/>
        <strike/>
        <sz val="11"/>
        <color rgb="FF000000"/>
        <rFont val="Calibri"/>
        <family val="2"/>
      </rPr>
      <t xml:space="preserve">9/12 - CLOSE SHORT @ 191
</t>
    </r>
    <r>
      <rPr>
        <b/>
        <sz val="11"/>
        <color rgb="FF000000"/>
        <rFont val="Calibri"/>
        <family val="2"/>
      </rPr>
      <t>balance remain qty 8
"R1 x 8" PULL FROM B134648
"U2, 4, 6, 8" MASK PADS PER ECO
*** KEEP GRID HOLES FREE FROM SOLDER (GRID TAPPED ONBOTH SIDES LAST BUILD)
"S1, S1COVER" INSPECT PARTS UNDERNEATH BEFORE INSTALLING COVER
DEPANEL
MAKE SURE BOARDS ARE FREE &amp; CLEAN OF DUST, DEBIS ETC
100% photos (front/back/all)</t>
    </r>
  </si>
  <si>
    <t>9/10 - 1:00</t>
  </si>
  <si>
    <r>
      <t xml:space="preserve">clear 8/4 </t>
    </r>
    <r>
      <rPr>
        <b/>
        <strike/>
        <sz val="11"/>
        <color rgb="FF000000"/>
        <rFont val="Calibri"/>
        <family val="2"/>
      </rPr>
      <t>short, no ETA 8/18</t>
    </r>
  </si>
  <si>
    <r>
      <t xml:space="preserve">9/15 - kit clear
</t>
    </r>
    <r>
      <rPr>
        <b/>
        <strike/>
        <sz val="11"/>
        <color rgb="FF000000"/>
        <rFont val="Calibri"/>
        <family val="2"/>
      </rPr>
      <t>7/29 - short SMT #6 (C125..), no ETA (can skip)</t>
    </r>
  </si>
  <si>
    <t>8/20 - KEEP ON RADAR - SHIP BY 9/8</t>
  </si>
  <si>
    <t>133352
RONC 130253</t>
  </si>
  <si>
    <r>
      <t xml:space="preserve">9/16
</t>
    </r>
    <r>
      <rPr>
        <b/>
        <strike/>
        <sz val="14"/>
        <color rgb="FF000000"/>
        <rFont val="Calibri"/>
        <family val="2"/>
      </rPr>
      <t xml:space="preserve">9/8
</t>
    </r>
    <r>
      <rPr>
        <b/>
        <sz val="14"/>
        <color rgb="FF000000"/>
        <rFont val="Calibri"/>
        <family val="2"/>
      </rPr>
      <t>15D</t>
    </r>
  </si>
  <si>
    <r>
      <rPr>
        <b/>
        <sz val="11"/>
        <color rgb="FFFF0000"/>
        <rFont val="Calibri"/>
        <family val="2"/>
      </rPr>
      <t xml:space="preserve">*** DPAS RATING DO-C9 ***
</t>
    </r>
    <r>
      <rPr>
        <b/>
        <sz val="11"/>
        <color rgb="FF000000"/>
        <rFont val="Calibri"/>
        <family val="2"/>
      </rPr>
      <t>LEAD, NO CLEAN PROCESS
"U20" DO NOT WASH
XRAY &amp; SAVE IMAGES</t>
    </r>
  </si>
  <si>
    <t>9/5 - 7:00</t>
  </si>
  <si>
    <t>9/5 - 8:30</t>
  </si>
  <si>
    <t>9/5 - 12:00</t>
  </si>
  <si>
    <t>DOC REL 7/28</t>
  </si>
  <si>
    <t>7/29</t>
  </si>
  <si>
    <t>clear 8/27</t>
  </si>
  <si>
    <r>
      <t xml:space="preserve">9/2 - kit clear
</t>
    </r>
    <r>
      <rPr>
        <b/>
        <strike/>
        <sz val="11"/>
        <color rgb="FF000000"/>
        <rFont val="Calibri"/>
        <family val="2"/>
      </rPr>
      <t>8/27 - short SMT 1 piece of U6</t>
    </r>
  </si>
  <si>
    <t>9/15 - 1 dmg J3
8/27 - kit clear &amp; day 1 is 9/2 (Anne)</t>
  </si>
  <si>
    <t>134586
2ND
RONC 1ST</t>
  </si>
  <si>
    <t>9/15
10D</t>
  </si>
  <si>
    <r>
      <rPr>
        <b/>
        <sz val="11"/>
        <color rgb="FF000000"/>
        <rFont val="Calibri"/>
        <family val="2"/>
      </rPr>
      <t xml:space="preserve">QUALITY ISSUE: 1 UNIT HAD COLD SOLDER @Q5, R40 &amp; R88
XRAY &amp; SAVE IMAGES
</t>
    </r>
    <r>
      <rPr>
        <b/>
        <u/>
        <sz val="11"/>
        <color rgb="FF000000"/>
        <rFont val="Calibri"/>
        <family val="2"/>
      </rPr>
      <t>install LED cover/cap
RTV @C6 &amp; C18</t>
    </r>
  </si>
  <si>
    <t>9/9 - 7:30</t>
  </si>
  <si>
    <t>9/9 - 2:30</t>
  </si>
  <si>
    <t>9/10 - 10:00</t>
  </si>
  <si>
    <t>8/15 - kit clear</t>
  </si>
  <si>
    <t>133974
NEW</t>
  </si>
  <si>
    <t>LEAD WASH
DEPANEL</t>
  </si>
  <si>
    <t>9/10 - 9:30</t>
  </si>
  <si>
    <t>9/10 - 12:00</t>
  </si>
  <si>
    <t>Jefferson Labs</t>
  </si>
  <si>
    <t>DOC REL 7/24</t>
  </si>
  <si>
    <t>8/15</t>
  </si>
  <si>
    <r>
      <t xml:space="preserve">8/15 - kit clear
</t>
    </r>
    <r>
      <rPr>
        <b/>
        <strike/>
        <sz val="11"/>
        <color rgb="FF000000"/>
        <rFont val="Calibri"/>
        <family val="2"/>
      </rPr>
      <t>8/15 - SMT clear, awt THT part conf J2 &amp; TP4</t>
    </r>
  </si>
  <si>
    <t>9/8 - qty 67 smt complete</t>
  </si>
  <si>
    <t>134778
RONC 127923</t>
  </si>
  <si>
    <t>LEADED WASH
"SW1" AFTER WASH
TAG ANY BOARDS WITH BTD AND/OR DNI PARTS &amp; NOTE ON PAPERWORK</t>
  </si>
  <si>
    <t>9/8 - 8:00</t>
  </si>
  <si>
    <t>9/8 - 10:00</t>
  </si>
  <si>
    <t>UPS 3 DAY</t>
  </si>
  <si>
    <t xml:space="preserve">COASTAL DESIGNS LLC
</t>
  </si>
  <si>
    <t>DOC REL 7/31</t>
  </si>
  <si>
    <r>
      <t xml:space="preserve">ckear 9/2
</t>
    </r>
    <r>
      <rPr>
        <b/>
        <strike/>
        <sz val="11"/>
        <color rgb="FF000000"/>
        <rFont val="Calibri"/>
        <family val="2"/>
      </rPr>
      <t>short, no ETA</t>
    </r>
  </si>
  <si>
    <r>
      <t xml:space="preserve">9/2 - kit clear
8/27 - matl clear
</t>
    </r>
    <r>
      <rPr>
        <b/>
        <strike/>
        <sz val="11"/>
        <color rgb="FF000000"/>
        <rFont val="Calibri"/>
        <family val="2"/>
      </rPr>
      <t>8/21 - short SMT J100 (no skip), no ETA
short THT mechanical, no ETA</t>
    </r>
  </si>
  <si>
    <r>
      <t xml:space="preserve">9/3 </t>
    </r>
    <r>
      <rPr>
        <b/>
        <strike/>
        <sz val="11"/>
        <color rgb="FF000000"/>
        <rFont val="Calibri"/>
        <family val="2"/>
      </rPr>
      <t>- ON HOLD (CUST)</t>
    </r>
  </si>
  <si>
    <t>134217
ROWC 133575</t>
  </si>
  <si>
    <r>
      <rPr>
        <b/>
        <strike/>
        <sz val="11"/>
        <color rgb="FFFF0000"/>
        <rFont val="Calibri"/>
        <family val="2"/>
      </rPr>
      <t>ALERT</t>
    </r>
    <r>
      <rPr>
        <b/>
        <strike/>
        <sz val="11"/>
        <color rgb="FF000000"/>
        <rFont val="Calibri"/>
        <family val="2"/>
      </rPr>
      <t xml:space="preserve">! confirm w/Robert bare board okay to use before SMT start
</t>
    </r>
    <r>
      <rPr>
        <b/>
        <u/>
        <sz val="11"/>
        <color rgb="FF000000"/>
        <rFont val="Calibri"/>
        <family val="2"/>
      </rPr>
      <t xml:space="preserve">"STAND_1, STAND_2" INSTALL PER ECO
</t>
    </r>
    <r>
      <rPr>
        <b/>
        <sz val="11"/>
        <color rgb="FF000000"/>
        <rFont val="Calibri"/>
        <family val="2"/>
      </rPr>
      <t xml:space="preserve">!! "A1" SEE ECO - INSTALL UPSIDE DOWN AND FLUSH !!
"note: install modules B133581 &amp; B134118
CLASS 3
""U502"" AFTER WASH
""LPA1, LPB1"" INSTALL PER ECO
""A100, 101"" HAND SOLDER PER ECO
""PA, PB, PC"" PRESS FIT
DEPANEL"
</t>
    </r>
    <r>
      <rPr>
        <b/>
        <strike/>
        <u/>
        <sz val="11"/>
        <color rgb="FF000000"/>
        <rFont val="Calibri"/>
        <family val="2"/>
      </rPr>
      <t xml:space="preserve">install screw washer
</t>
    </r>
    <r>
      <rPr>
        <b/>
        <sz val="11"/>
        <color rgb="FF000000"/>
        <rFont val="Calibri"/>
        <family val="2"/>
      </rPr>
      <t>CHANGES (SEE EMAIl):
DNI M400_SCREW &amp; M400_WASH
THT INSTALL A2</t>
    </r>
  </si>
  <si>
    <t>9/10- 2:30</t>
  </si>
  <si>
    <t>9/10 - 6:00</t>
  </si>
  <si>
    <t>dni to install
uploaded</t>
  </si>
  <si>
    <r>
      <t xml:space="preserve">clear 8/19
</t>
    </r>
    <r>
      <rPr>
        <b/>
        <strike/>
        <sz val="11"/>
        <color rgb="FF000000"/>
        <rFont val="Calibri"/>
        <family val="2"/>
      </rPr>
      <t>short, due 8/22</t>
    </r>
  </si>
  <si>
    <r>
      <t xml:space="preserve">9/2 - kit clear
</t>
    </r>
    <r>
      <rPr>
        <b/>
        <strike/>
        <sz val="11"/>
        <color rgb="FF000000"/>
        <rFont val="Calibri"/>
        <family val="2"/>
      </rPr>
      <t>8/19 - SMT clear, short THT U10, no ETA</t>
    </r>
  </si>
  <si>
    <t>134863
RONC 134300</t>
  </si>
  <si>
    <t>"XF1 &amp; F1" INSTALL TOGETHER PER ECO
"U10" INSTALL PER ECO
DEPANEL
ship excess matl B134300 also</t>
  </si>
  <si>
    <t>8/27 - 1:30</t>
  </si>
  <si>
    <t>8/28 - 7:00</t>
  </si>
  <si>
    <t>8/19</t>
  </si>
  <si>
    <t>not shipped yet</t>
  </si>
  <si>
    <t>8/28 - kit clear</t>
  </si>
  <si>
    <r>
      <rPr>
        <b/>
        <sz val="11"/>
        <color rgb="FF000000"/>
        <rFont val="Calibri"/>
        <family val="2"/>
      </rPr>
      <t xml:space="preserve">9/8 </t>
    </r>
    <r>
      <rPr>
        <b/>
        <sz val="11"/>
        <color rgb="FFFF0000"/>
        <rFont val="Calibri"/>
        <family val="2"/>
      </rPr>
      <t>- need fixture for smt to build topside</t>
    </r>
  </si>
  <si>
    <t>134981
NEW</t>
  </si>
  <si>
    <t>ALPHA WS820 SOLDER PASTE REQ
DEPANEL &amp; SAND
BOARDS MUST BE FREE AND CLEAN OF DEBRIS</t>
  </si>
  <si>
    <t>9/8 - 9:30</t>
  </si>
  <si>
    <t>9/8 - 12:00</t>
  </si>
  <si>
    <t>SAMTEC</t>
  </si>
  <si>
    <t>clear 8/26</t>
  </si>
  <si>
    <r>
      <t xml:space="preserve">9/5 - kit clear
</t>
    </r>
    <r>
      <rPr>
        <b/>
        <strike/>
        <sz val="11"/>
        <color rgb="FF000000"/>
        <rFont val="Calibri"/>
        <family val="2"/>
      </rPr>
      <t>8/26 - short SMT U1 - no skip, no ETA</t>
    </r>
  </si>
  <si>
    <t>134469
RONC 133581</t>
  </si>
  <si>
    <r>
      <rPr>
        <b/>
        <strike/>
        <sz val="11"/>
        <color rgb="FFFF0000"/>
        <rFont val="Calibri"/>
        <family val="2"/>
      </rPr>
      <t>ALERT</t>
    </r>
    <r>
      <rPr>
        <b/>
        <strike/>
        <sz val="11"/>
        <color rgb="FF000000"/>
        <rFont val="Calibri"/>
        <family val="2"/>
      </rPr>
      <t xml:space="preserve">! confirm w/Robert bare board okay to use before SMT start
</t>
    </r>
    <r>
      <rPr>
        <b/>
        <sz val="11"/>
        <color rgb="FF000000"/>
        <rFont val="Calibri"/>
        <family val="2"/>
      </rPr>
      <t xml:space="preserve">CLASS 3
DEPANEL
!! DAUGHTER BOARD !!
install in:
</t>
    </r>
    <r>
      <rPr>
        <b/>
        <strike/>
        <sz val="11"/>
        <color rgb="FF000000"/>
        <rFont val="Calibri"/>
        <family val="2"/>
      </rPr>
      <t xml:space="preserve">B134219 </t>
    </r>
    <r>
      <rPr>
        <b/>
        <sz val="11"/>
        <color rgb="FF000000"/>
        <rFont val="Calibri"/>
        <family val="2"/>
      </rPr>
      <t>qty 1
B134220 qty 5</t>
    </r>
  </si>
  <si>
    <t>9/10 - 11:30</t>
  </si>
  <si>
    <t>9/10 - 2:30</t>
  </si>
  <si>
    <t>SHIP IN PLACE</t>
  </si>
  <si>
    <r>
      <t xml:space="preserve">clear 9/4
</t>
    </r>
    <r>
      <rPr>
        <b/>
        <strike/>
        <sz val="11"/>
        <color rgb="FF000000"/>
        <rFont val="Calibri"/>
        <family val="2"/>
      </rPr>
      <t>short, no ETA
clear qty 60, 7/30
SHORT 30 boards, NO ETA 7/30</t>
    </r>
  </si>
  <si>
    <r>
      <t xml:space="preserve">9/8 - kit clear
9/8 - </t>
    </r>
    <r>
      <rPr>
        <b/>
        <strike/>
        <sz val="11"/>
        <color rgb="FF000000"/>
        <rFont val="Calibri"/>
        <family val="2"/>
      </rPr>
      <t>short SMT D1 &amp; U2 due 9/8
7/30 - awaiting status update
7/30 - kit clear
7/28 - matl clear
7/24 - SMT item TJ5 due 7/25, remaining matl enough for 60 boards
7/8 SHORT C16, D1, U2, and TJ5 NO ETA *SPLIT SHIPMENT QTY.40 &amp; QTY.60, CAN RUN AT ONCE IF ALL CLEARED</t>
    </r>
  </si>
  <si>
    <r>
      <t xml:space="preserve">9/8 - LT change to 4-day (Anne)
8/4 - shipped partial
7/16 - </t>
    </r>
    <r>
      <rPr>
        <b/>
        <strike/>
        <sz val="11"/>
        <color rgb="FF000000"/>
        <rFont val="Calibri"/>
        <family val="2"/>
      </rPr>
      <t>ship 60 on 7/28 (Anne)</t>
    </r>
  </si>
  <si>
    <t>134205-2 BAL
NEW</t>
  </si>
  <si>
    <t>9/12
5D</t>
  </si>
  <si>
    <t>shipped 60 of 100 on 8/4
100% inspection
AOI, Xray &amp; Save Images Required
100% photos (front/back all)
*** MUST INCLUDE PO 001500 ON SHIPPING LABEL PER PO EMAIL
"F1, FH1, FH2" INSTALL PER ECO
"T1" TRIM PIN 1 PER ECO
*** PACK WITH EXTRA CARE &amp; INSURE MOISTURE PROTECTION
DEPANEL</t>
  </si>
  <si>
    <t>9/8 - 7:30</t>
  </si>
  <si>
    <t>FEDEX 2 DAY</t>
  </si>
  <si>
    <t>CHECK EMAIL</t>
  </si>
  <si>
    <t>7/8</t>
  </si>
  <si>
    <t>data matrix printed</t>
  </si>
  <si>
    <r>
      <rPr>
        <strike/>
        <sz val="9"/>
        <color rgb="FF000000"/>
        <rFont val="Calibri"/>
        <family val="2"/>
        <scheme val="minor"/>
      </rPr>
      <t xml:space="preserve">rtv required?
</t>
    </r>
    <r>
      <rPr>
        <sz val="9"/>
        <color rgb="FF000000"/>
        <rFont val="Calibri"/>
        <family val="2"/>
        <scheme val="minor"/>
      </rPr>
      <t>reviewed</t>
    </r>
  </si>
  <si>
    <t>2nd batch uploaded</t>
  </si>
  <si>
    <t>8/27 - kit clear</t>
  </si>
  <si>
    <t>134588
2ND
RONC 1st Article</t>
  </si>
  <si>
    <r>
      <rPr>
        <b/>
        <sz val="11"/>
        <color rgb="FF000000"/>
        <rFont val="Calibri"/>
        <family val="2"/>
      </rPr>
      <t xml:space="preserve">LEAD wash PROCESS
DO NOT SKIP AOI
XRAY &amp; SAVE IMAGES
</t>
    </r>
    <r>
      <rPr>
        <b/>
        <u/>
        <sz val="11"/>
        <color rgb="FF000000"/>
        <rFont val="Calibri"/>
        <family val="2"/>
      </rPr>
      <t xml:space="preserve">"C1, C2, C4, F1, J3, R1, R2, T1, L1"  RTV REQ
</t>
    </r>
    <r>
      <rPr>
        <b/>
        <sz val="11"/>
        <color rgb="FF000000"/>
        <rFont val="Calibri"/>
        <family val="2"/>
      </rPr>
      <t xml:space="preserve">"C1, C2, C4, F1, J3, R1, R2" TRIM LEADS 0.05" MAX 
DEPANEL
</t>
    </r>
    <r>
      <rPr>
        <b/>
        <u/>
        <sz val="14"/>
        <color rgb="FF000000"/>
        <rFont val="Calibri"/>
        <family val="2"/>
      </rPr>
      <t xml:space="preserve">*** QUALITY ALERT - "J1, J2" INSTALL JACK SCREWS - MISSED ON LAST BUILD
</t>
    </r>
    <r>
      <rPr>
        <b/>
        <sz val="14"/>
        <color rgb="FFFF0000"/>
        <rFont val="Calibri"/>
        <family val="2"/>
      </rPr>
      <t>*** SER # S/N 00016 through 00155 (total QTY 140 using variant -101 only)</t>
    </r>
  </si>
  <si>
    <t>9/5 - 11:30</t>
  </si>
  <si>
    <t>9/5 - 2:00</t>
  </si>
  <si>
    <r>
      <t xml:space="preserve">clear 8/22
</t>
    </r>
    <r>
      <rPr>
        <b/>
        <strike/>
        <sz val="11"/>
        <color rgb="FF000000"/>
        <rFont val="Calibri"/>
        <family val="2"/>
      </rPr>
      <t>short, no ETA 8/27</t>
    </r>
  </si>
  <si>
    <r>
      <t xml:space="preserve">8/22 - kit clear
8/20 - matl clear
</t>
    </r>
    <r>
      <rPr>
        <b/>
        <strike/>
        <sz val="11"/>
        <color rgb="FF000000"/>
        <rFont val="Calibri"/>
        <family val="2"/>
      </rPr>
      <t>8/18 - short SMT MH1 qty 400, no ETA
short THT J2 qty 1</t>
    </r>
  </si>
  <si>
    <t>9/3 - j1 place issue: requires a lot of hand adjust before reflow
j1 place as is</t>
  </si>
  <si>
    <t>134954
NEW</t>
  </si>
  <si>
    <t>9/3 - 6:00</t>
  </si>
  <si>
    <t>9/3 - 8:00</t>
  </si>
  <si>
    <t>9/3 - 10:00</t>
  </si>
  <si>
    <t xml:space="preserve">Bounce Imaging
</t>
  </si>
  <si>
    <t>complete alta BAG</t>
  </si>
  <si>
    <r>
      <t xml:space="preserve">clear 8/25
</t>
    </r>
    <r>
      <rPr>
        <b/>
        <strike/>
        <sz val="11"/>
        <color rgb="FF000000"/>
        <rFont val="Calibri"/>
        <family val="2"/>
      </rPr>
      <t>short, no ETA 8/25</t>
    </r>
  </si>
  <si>
    <t>8/26 - kit clear
8/18 - matl clear</t>
  </si>
  <si>
    <t>8/26 - day 1 is 8/27 (Anne)</t>
  </si>
  <si>
    <t>134298
NEW</t>
  </si>
  <si>
    <r>
      <rPr>
        <b/>
        <sz val="11"/>
        <color rgb="FF104861"/>
        <rFont val="Calibri"/>
        <family val="2"/>
      </rPr>
      <t xml:space="preserve">clear 8/27
</t>
    </r>
    <r>
      <rPr>
        <b/>
        <strike/>
        <sz val="11"/>
        <color rgb="FF104861"/>
        <rFont val="Calibri"/>
        <family val="2"/>
      </rPr>
      <t>short, no ETA 9/4</t>
    </r>
  </si>
  <si>
    <t>8/27 - kit clear
8/14 - matl clear</t>
  </si>
  <si>
    <r>
      <rPr>
        <b/>
        <sz val="11"/>
        <color rgb="FF104861"/>
        <rFont val="Calibri"/>
        <family val="2"/>
      </rPr>
      <t xml:space="preserve">9/8 - line short
</t>
    </r>
    <r>
      <rPr>
        <b/>
        <strike/>
        <sz val="11"/>
        <color rgb="FF104861"/>
        <rFont val="Calibri"/>
        <family val="2"/>
      </rPr>
      <t xml:space="preserve">9/3 - Q37 &amp; Q38 place as-is
9/2 - Q37 &amp; Q38 xy don't match silkscreen </t>
    </r>
    <r>
      <rPr>
        <b/>
        <sz val="11"/>
        <color rgb="FF104861"/>
        <rFont val="Calibri"/>
        <family val="2"/>
      </rPr>
      <t>8/27 - day 1 is 9/2 (Anne)</t>
    </r>
  </si>
  <si>
    <t>133958-2
bal
NEW</t>
  </si>
  <si>
    <r>
      <t xml:space="preserve">???
</t>
    </r>
    <r>
      <rPr>
        <b/>
        <strike/>
        <sz val="14"/>
        <color theme="4" tint="-0.249977111117893"/>
        <rFont val="Calibri"/>
        <family val="2"/>
      </rPr>
      <t xml:space="preserve">9/8
</t>
    </r>
    <r>
      <rPr>
        <b/>
        <sz val="14"/>
        <color theme="4" tint="-0.249977111117893"/>
        <rFont val="Calibri"/>
        <family val="2"/>
      </rPr>
      <t>5D</t>
    </r>
  </si>
  <si>
    <t>shipped qty 22 of 23 on 9/8
NO CLEAN PROCESS</t>
  </si>
  <si>
    <t>9/2 - 7:30</t>
  </si>
  <si>
    <t>9/2 - 10:30</t>
  </si>
  <si>
    <t>9/4 - 6:00</t>
  </si>
  <si>
    <t>8/14</t>
  </si>
  <si>
    <t>CLEAR 9/8</t>
  </si>
  <si>
    <t>9/8 - KIT CLEAR</t>
  </si>
  <si>
    <t>134940
ROWC 123155</t>
  </si>
  <si>
    <t>BOARDS RETURNED FROM 
TEST COACH
DEPANEL &amp; SHIP</t>
  </si>
  <si>
    <t xml:space="preserve">TEST COACH
</t>
  </si>
  <si>
    <t>8/5</t>
  </si>
  <si>
    <r>
      <t xml:space="preserve">clear 9/2
</t>
    </r>
    <r>
      <rPr>
        <b/>
        <strike/>
        <sz val="11"/>
        <color rgb="FF000000"/>
        <rFont val="Calibri"/>
        <family val="2"/>
      </rPr>
      <t>short some, due 9/8</t>
    </r>
  </si>
  <si>
    <r>
      <t xml:space="preserve">9/3 - kit clear
</t>
    </r>
    <r>
      <rPr>
        <b/>
        <strike/>
        <sz val="11"/>
        <color rgb="FF000000"/>
        <rFont val="Calibri"/>
        <family val="2"/>
      </rPr>
      <t>9/2 - short SMT C506 qty 396, no ETA soon
8/28 - short SMT many, no ETA</t>
    </r>
  </si>
  <si>
    <r>
      <rPr>
        <b/>
        <sz val="11"/>
        <color rgb="FF000000"/>
        <rFont val="Calibri"/>
        <family val="2"/>
      </rPr>
      <t xml:space="preserve">9/5 - </t>
    </r>
    <r>
      <rPr>
        <b/>
        <sz val="11"/>
        <color rgb="FFFF0000"/>
        <rFont val="Calibri"/>
        <family val="2"/>
      </rPr>
      <t>c506 &amp; c507 swells after reflow</t>
    </r>
  </si>
  <si>
    <t>135141
ROWC 133567</t>
  </si>
  <si>
    <r>
      <rPr>
        <b/>
        <sz val="14"/>
        <color rgb="FF000000"/>
        <rFont val="Calibri"/>
        <family val="2"/>
      </rPr>
      <t xml:space="preserve">9/8
</t>
    </r>
    <r>
      <rPr>
        <b/>
        <sz val="14"/>
        <color rgb="FFFF0000"/>
        <rFont val="Calibri"/>
        <family val="2"/>
      </rPr>
      <t>3D</t>
    </r>
  </si>
  <si>
    <r>
      <rPr>
        <b/>
        <sz val="11"/>
        <color rgb="FFFF0000"/>
        <rFont val="Calibri"/>
        <family val="2"/>
      </rPr>
      <t xml:space="preserve">notify Trinh/Robert </t>
    </r>
    <r>
      <rPr>
        <b/>
        <sz val="11"/>
        <color rgb="FF000000"/>
        <rFont val="Calibri"/>
        <family val="2"/>
      </rPr>
      <t>before start to ensure stencil/reflow issues ok
LEAD FREE WASH
*** "U401" ADD EXTRA SOLDER PER ECO
"U401" XRAY &amp; SAVE IMAGES
DEPANEL</t>
    </r>
  </si>
  <si>
    <t>9/4 - 8:00</t>
  </si>
  <si>
    <t>9/4 - 1:30</t>
  </si>
  <si>
    <t>9/5 - 6:00 pm</t>
  </si>
  <si>
    <r>
      <t xml:space="preserve">clear 8/14
</t>
    </r>
    <r>
      <rPr>
        <b/>
        <strike/>
        <sz val="11"/>
        <color rgb="FF000000"/>
        <rFont val="Calibri"/>
        <family val="2"/>
      </rPr>
      <t>short, due 8/22</t>
    </r>
  </si>
  <si>
    <r>
      <t xml:space="preserve">8/14 - kit clear
8/7 - matl clear
</t>
    </r>
    <r>
      <rPr>
        <b/>
        <strike/>
        <sz val="11"/>
        <color rgb="FF000000"/>
        <rFont val="Calibri"/>
        <family val="2"/>
      </rPr>
      <t>8/4 - short SMT: C37 - no ETA
short THT: R58, due 8/5 &amp; J1 - no eta</t>
    </r>
  </si>
  <si>
    <t>8/14 - day 1 is 8/19 (Anne)</t>
  </si>
  <si>
    <t>134543
ROWC 130193</t>
  </si>
  <si>
    <t>9/5 - 10:00</t>
  </si>
  <si>
    <t>9/5 - 2:30</t>
  </si>
  <si>
    <t>DOC REL 8/1</t>
  </si>
  <si>
    <t>8/4</t>
  </si>
  <si>
    <r>
      <t xml:space="preserve">clear 8/15
</t>
    </r>
    <r>
      <rPr>
        <b/>
        <strike/>
        <sz val="11"/>
        <color rgb="FF000000"/>
        <rFont val="Calibri"/>
        <family val="2"/>
      </rPr>
      <t>awt board conf 8/13</t>
    </r>
  </si>
  <si>
    <t>8/15 - kit clear
8/13 - matl clear</t>
  </si>
  <si>
    <t>134845
RONC 130351</t>
  </si>
  <si>
    <t>T/H ONLY
lead-free wash</t>
  </si>
  <si>
    <t xml:space="preserve">NOVA TECH
</t>
  </si>
  <si>
    <t>8/13</t>
  </si>
  <si>
    <r>
      <t xml:space="preserve">clear 8/27
</t>
    </r>
    <r>
      <rPr>
        <b/>
        <strike/>
        <sz val="11"/>
        <color rgb="FF000000"/>
        <rFont val="Calibri"/>
        <family val="2"/>
      </rPr>
      <t>short, no ETA 9/4</t>
    </r>
  </si>
  <si>
    <t>9/3 - Q37 &amp; Q38 place as-is
9/2 - Q37 &amp; Q38 xy don't match silkscreen 8/27 - day 1 is 9/2 (Anne)</t>
  </si>
  <si>
    <t>133958-1
par
NEW</t>
  </si>
  <si>
    <t>9/8
5D</t>
  </si>
  <si>
    <t>balance remaining qty 1
NO CLEAN PROCESS</t>
  </si>
  <si>
    <r>
      <t xml:space="preserve">clear 8/8
</t>
    </r>
    <r>
      <rPr>
        <b/>
        <strike/>
        <sz val="11"/>
        <color rgb="FF000000"/>
        <rFont val="Calibri"/>
        <family val="2"/>
      </rPr>
      <t>short, no ETA 8/12</t>
    </r>
  </si>
  <si>
    <t>8/8 - kit clear
7/29 - matl clear</t>
  </si>
  <si>
    <t>133975
NEW</t>
  </si>
  <si>
    <t>8/28 - 10:30</t>
  </si>
  <si>
    <t>9/2 - 7:00</t>
  </si>
  <si>
    <t>9/2 - 12:00</t>
  </si>
  <si>
    <r>
      <t xml:space="preserve">clear 8/22
</t>
    </r>
    <r>
      <rPr>
        <b/>
        <strike/>
        <sz val="11"/>
        <color rgb="FF000000"/>
        <rFont val="Calibri"/>
        <family val="2"/>
      </rPr>
      <t>short, no ETA 9/2</t>
    </r>
  </si>
  <si>
    <r>
      <t xml:space="preserve">8/22 - kit clear
8/19 - matl clear
</t>
    </r>
    <r>
      <rPr>
        <b/>
        <strike/>
        <sz val="11"/>
        <color rgb="FF000000"/>
        <rFont val="Calibri"/>
        <family val="2"/>
      </rPr>
      <t>8/18 - short SMT Y1 &amp; U1, no ETA
short THT J7 &amp; J17, no ETA</t>
    </r>
  </si>
  <si>
    <t>135067
NEW</t>
  </si>
  <si>
    <t>8/22 - 11:00</t>
  </si>
  <si>
    <t>8/28 - 8:30</t>
  </si>
  <si>
    <t xml:space="preserve">LOGIC OS
</t>
  </si>
  <si>
    <r>
      <t xml:space="preserve">8/28 - kit clear
</t>
    </r>
    <r>
      <rPr>
        <b/>
        <strike/>
        <sz val="11"/>
        <color theme="4" tint="-0.249977111117893"/>
        <rFont val="Calibri"/>
        <family val="2"/>
      </rPr>
      <t>8/26 - short SMT U400 &amp; XA600 - no skip, no ETA</t>
    </r>
  </si>
  <si>
    <r>
      <rPr>
        <b/>
        <sz val="11"/>
        <color rgb="FF000000"/>
        <rFont val="Calibri"/>
        <family val="2"/>
      </rPr>
      <t>9/3 -</t>
    </r>
    <r>
      <rPr>
        <b/>
        <strike/>
        <sz val="11"/>
        <color rgb="FFFF0000"/>
        <rFont val="Calibri"/>
        <family val="2"/>
      </rPr>
      <t xml:space="preserve"> ON HOLD (CUST)</t>
    </r>
  </si>
  <si>
    <t>134216
RONC 133577</t>
  </si>
  <si>
    <r>
      <rPr>
        <b/>
        <strike/>
        <sz val="11"/>
        <color rgb="FFFF0000"/>
        <rFont val="Calibri"/>
        <family val="2"/>
      </rPr>
      <t xml:space="preserve">ASSMEBLY HOLD 9/3
</t>
    </r>
    <r>
      <rPr>
        <b/>
        <sz val="11"/>
        <color rgb="FF000000"/>
        <rFont val="Calibri"/>
        <family val="2"/>
      </rPr>
      <t xml:space="preserve">CLASS 3
DO NOT SKIP PCB PREBAKE
"U502" AFTER WASH
PRESS FIT &amp; </t>
    </r>
    <r>
      <rPr>
        <b/>
        <u/>
        <sz val="11"/>
        <color rgb="FF000000"/>
        <rFont val="Calibri"/>
        <family val="2"/>
      </rPr>
      <t xml:space="preserve">MECH REQ
</t>
    </r>
    <r>
      <rPr>
        <b/>
        <sz val="11"/>
        <color rgb="FF000000"/>
        <rFont val="Calibri"/>
        <family val="2"/>
      </rPr>
      <t>DNI A101
Install A600</t>
    </r>
  </si>
  <si>
    <t>9/3 - 1:00</t>
  </si>
  <si>
    <t>9/3 - 2:00</t>
  </si>
  <si>
    <r>
      <t xml:space="preserve">clear 9/3
</t>
    </r>
    <r>
      <rPr>
        <b/>
        <strike/>
        <sz val="11"/>
        <color rgb="FF000000"/>
        <rFont val="Calibri"/>
        <family val="2"/>
      </rPr>
      <t>short, no ETA 9/3</t>
    </r>
  </si>
  <si>
    <t>9/3 - kit clear
8/27 - matl clear</t>
  </si>
  <si>
    <t>134222
NEW</t>
  </si>
  <si>
    <r>
      <rPr>
        <b/>
        <sz val="11"/>
        <color rgb="FF000000"/>
        <rFont val="Calibri"/>
        <family val="2"/>
      </rPr>
      <t xml:space="preserve">T/H ONLY
DO NOT SKIP PCB PREBAKE
CLASS 3
HARDWARE SHARED W/ B134221
</t>
    </r>
    <r>
      <rPr>
        <b/>
        <u/>
        <sz val="11"/>
        <color rgb="FF000000"/>
        <rFont val="Calibri"/>
        <family val="2"/>
      </rPr>
      <t>install mechanical</t>
    </r>
  </si>
  <si>
    <t>label immediately</t>
  </si>
  <si>
    <r>
      <rPr>
        <b/>
        <sz val="14"/>
        <color rgb="FF000000"/>
        <rFont val="Calibri"/>
        <family val="2"/>
      </rPr>
      <t xml:space="preserve">9/5
</t>
    </r>
    <r>
      <rPr>
        <b/>
        <sz val="14"/>
        <color rgb="FFFF0000"/>
        <rFont val="Calibri"/>
        <family val="2"/>
      </rPr>
      <t>3D</t>
    </r>
  </si>
  <si>
    <r>
      <rPr>
        <b/>
        <sz val="12"/>
        <color rgb="FFFF0000"/>
        <rFont val="Calibri"/>
        <family val="2"/>
      </rPr>
      <t xml:space="preserve">*** DPAS Priority Rating: DO-A7
</t>
    </r>
    <r>
      <rPr>
        <b/>
        <sz val="11"/>
        <color rgb="FF000000"/>
        <rFont val="Calibri"/>
        <family val="2"/>
      </rPr>
      <t>100% INSPECTION REQ PER ECO
"U401_1, u401_2, U601_1 x 16" PREBAKE REQ PER ECO
CLASS 3
LEAD FREE, NO CLEAN
NO VENDOR MARK ALLOWED
DEPANEL &amp; SAND
* OVERPACK PER ECO
ESD stickers on boxes</t>
    </r>
  </si>
  <si>
    <t>9/4 - 8:30</t>
  </si>
  <si>
    <t>hasn't run yet</t>
  </si>
  <si>
    <r>
      <t xml:space="preserve">clear 9/2
</t>
    </r>
    <r>
      <rPr>
        <b/>
        <strike/>
        <sz val="11"/>
        <color rgb="FF000000"/>
        <rFont val="Calibri"/>
        <family val="2"/>
      </rPr>
      <t>short 1 pcb (9/2)</t>
    </r>
  </si>
  <si>
    <t>9/2 - kit clear
9/2 - matl clear</t>
  </si>
  <si>
    <t>9/2 - build &amp; ship qty 7 oly</t>
  </si>
  <si>
    <t>134705
RONC 134596</t>
  </si>
  <si>
    <r>
      <rPr>
        <b/>
        <sz val="12"/>
        <color rgb="FFFF0000"/>
        <rFont val="Calibri"/>
        <family val="2"/>
      </rPr>
      <t xml:space="preserve">*** DPAS Priority Rating: DO-A7
</t>
    </r>
    <r>
      <rPr>
        <b/>
        <sz val="11"/>
        <color rgb="FF000000"/>
        <rFont val="Calibri"/>
        <family val="2"/>
      </rPr>
      <t>CLASS 3
"U601_1 thru U601_6, U401_1,U401_2" PREBAKE REQ PER ECO
NO VENDOR MARKS ALLOWED
LEAD FREE NO CLEAN
DEPANEL &amp; SAND
ESD stickers on boxes
overpack boxes</t>
    </r>
  </si>
  <si>
    <t>9/4 - 3:30</t>
  </si>
  <si>
    <r>
      <t xml:space="preserve">8/28 - kit clear
</t>
    </r>
    <r>
      <rPr>
        <b/>
        <strike/>
        <sz val="11"/>
        <color rgb="FF000000"/>
        <rFont val="Calibri"/>
        <family val="2"/>
      </rPr>
      <t>8/26 - short SMT Y3 due 8/28 &amp; U400, no ETA</t>
    </r>
  </si>
  <si>
    <t>134219
ROWC 133576</t>
  </si>
  <si>
    <r>
      <rPr>
        <b/>
        <sz val="11"/>
        <color rgb="FF000000"/>
        <rFont val="Calibri"/>
        <family val="2"/>
      </rPr>
      <t xml:space="preserve">CLASS 3
"A2" = B134469 </t>
    </r>
    <r>
      <rPr>
        <b/>
        <sz val="11"/>
        <color rgb="FFFF0000"/>
        <rFont val="Calibri"/>
        <family val="2"/>
      </rPr>
      <t>(</t>
    </r>
    <r>
      <rPr>
        <b/>
        <sz val="11"/>
        <color rgb="FF000000"/>
        <rFont val="Calibri"/>
        <family val="2"/>
      </rPr>
      <t>new</t>
    </r>
    <r>
      <rPr>
        <b/>
        <sz val="11"/>
        <color rgb="FFFF0000"/>
        <rFont val="Calibri"/>
        <family val="2"/>
      </rPr>
      <t xml:space="preserve">) </t>
    </r>
    <r>
      <rPr>
        <b/>
        <sz val="11"/>
        <color rgb="FF000000"/>
        <rFont val="Calibri"/>
        <family val="2"/>
      </rPr>
      <t xml:space="preserve">DAUGHTER BOARD - use </t>
    </r>
    <r>
      <rPr>
        <b/>
        <sz val="11"/>
        <color rgb="FFFF0000"/>
        <rFont val="Calibri"/>
        <family val="2"/>
      </rPr>
      <t xml:space="preserve">B133581
</t>
    </r>
    <r>
      <rPr>
        <b/>
        <sz val="11"/>
        <color rgb="FF000000"/>
        <rFont val="Calibri"/>
        <family val="2"/>
      </rPr>
      <t xml:space="preserve">"PA, PB, PC" PRESS FIT
</t>
    </r>
    <r>
      <rPr>
        <b/>
        <u/>
        <sz val="11"/>
        <color rgb="FF000000"/>
        <rFont val="Calibri"/>
        <family val="2"/>
      </rPr>
      <t xml:space="preserve">"LP_A, LP_B" INSTALL PER ECO torque 10-15 lbs
</t>
    </r>
    <r>
      <rPr>
        <b/>
        <sz val="11"/>
        <color rgb="FF000000"/>
        <rFont val="Calibri"/>
        <family val="2"/>
      </rPr>
      <t xml:space="preserve">"SFP1, SFP2, U6, U7" INSTALL PER ECO - PRESS FIT
</t>
    </r>
    <r>
      <rPr>
        <b/>
        <u/>
        <sz val="11"/>
        <color rgb="FF000000"/>
        <rFont val="Calibri"/>
        <family val="2"/>
      </rPr>
      <t xml:space="preserve">"XA1" NYLON standoff REQ PER ECO
install MitySOM module A1
</t>
    </r>
    <r>
      <rPr>
        <b/>
        <sz val="11"/>
        <color rgb="FF000000"/>
        <rFont val="Calibri"/>
        <family val="2"/>
      </rPr>
      <t>DEPANEL</t>
    </r>
  </si>
  <si>
    <t>9/4 - 5:00</t>
  </si>
  <si>
    <t>review drawing again</t>
  </si>
  <si>
    <r>
      <t xml:space="preserve">clear 8/26
</t>
    </r>
    <r>
      <rPr>
        <b/>
        <strike/>
        <sz val="11"/>
        <color rgb="FF000000"/>
        <rFont val="Calibri"/>
        <family val="2"/>
      </rPr>
      <t>short, no ETA</t>
    </r>
  </si>
  <si>
    <r>
      <rPr>
        <b/>
        <sz val="11"/>
        <color rgb="FF000000"/>
        <rFont val="Calibri"/>
        <family val="2"/>
      </rPr>
      <t xml:space="preserve">8/28 - kit clear
</t>
    </r>
    <r>
      <rPr>
        <b/>
        <strike/>
        <sz val="11"/>
        <color rgb="FF000000"/>
        <rFont val="Calibri"/>
        <family val="2"/>
      </rPr>
      <t xml:space="preserve">8/27 - SMT clear
</t>
    </r>
    <r>
      <rPr>
        <b/>
        <sz val="11"/>
        <color rgb="FF000000"/>
        <rFont val="Calibri"/>
        <family val="2"/>
      </rPr>
      <t xml:space="preserve">8/26 - </t>
    </r>
    <r>
      <rPr>
        <b/>
        <strike/>
        <sz val="11"/>
        <color rgb="FF000000"/>
        <rFont val="Calibri"/>
        <family val="2"/>
      </rPr>
      <t xml:space="preserve">short SMT A14_J1 - no skip, no ETA
</t>
    </r>
    <r>
      <rPr>
        <b/>
        <sz val="11"/>
        <color rgb="FF000000"/>
        <rFont val="Calibri"/>
        <family val="2"/>
      </rPr>
      <t>short THT many, no ETA</t>
    </r>
  </si>
  <si>
    <t>134224
ROWC 133583</t>
  </si>
  <si>
    <r>
      <rPr>
        <b/>
        <sz val="12"/>
        <color rgb="FFFF0000"/>
        <rFont val="Calibri"/>
        <family val="2"/>
      </rPr>
      <t xml:space="preserve">*** QUALITY ALERT - CUST REPORTED POSSIBLE TRACE CRAKING FROM PRESS FIT OR MAYBE A DESIGN ISSUE - USE CAUTION FOR PRESS FIT AND TORQUING HARDWARE ***
</t>
    </r>
    <r>
      <rPr>
        <b/>
        <sz val="11"/>
        <color rgb="FF000000"/>
        <rFont val="Calibri"/>
        <family val="2"/>
      </rPr>
      <t xml:space="preserve">CLASS 3
"A7_JAx25" PRESS FIT
"A7_LPAx16" PRESS FIT
</t>
    </r>
    <r>
      <rPr>
        <b/>
        <u/>
        <sz val="11"/>
        <color rgb="FF000000"/>
        <rFont val="Calibri"/>
        <family val="2"/>
      </rPr>
      <t xml:space="preserve">HARDWARE &amp; TORQUING REQ (see Robert before Torque)
</t>
    </r>
    <r>
      <rPr>
        <b/>
        <sz val="11"/>
        <color rgb="FF000000"/>
        <rFont val="Calibri"/>
        <family val="2"/>
      </rPr>
      <t>DEPANEL
prev build: trim leads A1 thru A6
prev build: press fit issue</t>
    </r>
  </si>
  <si>
    <t>8/28 - 12:30</t>
  </si>
  <si>
    <t>8/28 - 1:30</t>
  </si>
  <si>
    <t>8/28 - 2:30</t>
  </si>
  <si>
    <r>
      <t xml:space="preserve">clear 9/2
</t>
    </r>
    <r>
      <rPr>
        <b/>
        <strike/>
        <sz val="11"/>
        <color rgb="FF000000"/>
        <rFont val="Calibri"/>
        <family val="2"/>
      </rPr>
      <t>short, due 8/28</t>
    </r>
  </si>
  <si>
    <r>
      <t xml:space="preserve">9/2 - kit clear
</t>
    </r>
    <r>
      <rPr>
        <b/>
        <strike/>
        <sz val="11"/>
        <color rgb="FF000000"/>
        <rFont val="Calibri"/>
        <family val="2"/>
      </rPr>
      <t>8/27 - short J_AC_IN &amp; mechanical, no ETA</t>
    </r>
  </si>
  <si>
    <t>134221
NEW</t>
  </si>
  <si>
    <r>
      <rPr>
        <b/>
        <sz val="11"/>
        <color rgb="FF000000"/>
        <rFont val="Calibri"/>
        <family val="2"/>
      </rPr>
      <t xml:space="preserve">T/H ONLY
CLASS 3
BTD #10 (M500_WAS2...)
HARDWARE SHARED W/ B134222
</t>
    </r>
    <r>
      <rPr>
        <b/>
        <u/>
        <sz val="11"/>
        <color rgb="FF000000"/>
        <rFont val="Calibri"/>
        <family val="2"/>
      </rPr>
      <t>install mechanical</t>
    </r>
  </si>
  <si>
    <r>
      <t xml:space="preserve">clear 9/2
</t>
    </r>
    <r>
      <rPr>
        <b/>
        <strike/>
        <sz val="11"/>
        <color rgb="FF000000"/>
        <rFont val="Calibri"/>
        <family val="2"/>
      </rPr>
      <t>short, no ETA 9/1</t>
    </r>
  </si>
  <si>
    <r>
      <t xml:space="preserve">9/2 - kit clear
8/12 - matl clear
</t>
    </r>
    <r>
      <rPr>
        <b/>
        <strike/>
        <sz val="11"/>
        <color rgb="FF000000"/>
        <rFont val="Calibri"/>
        <family val="2"/>
      </rPr>
      <t>8/4 - short SMT U3, due 8/13</t>
    </r>
  </si>
  <si>
    <t>133579
NEW</t>
  </si>
  <si>
    <r>
      <rPr>
        <b/>
        <sz val="11"/>
        <color rgb="FF000000"/>
        <rFont val="Calibri"/>
        <family val="2"/>
      </rPr>
      <t xml:space="preserve">CLASS 3
"M6, M7, XA6, XA7, A6, A7" SEE ECO
"A2" MUST BE HAND SOLDERED FOR INSTALLATION
MOUNT ALL T/H FLUSH TO PCB
</t>
    </r>
    <r>
      <rPr>
        <b/>
        <u/>
        <sz val="11"/>
        <color rgb="FF000000"/>
        <rFont val="Calibri"/>
        <family val="2"/>
      </rPr>
      <t>MECH REQ</t>
    </r>
  </si>
  <si>
    <t>9/3 - 11:00</t>
  </si>
  <si>
    <t>clear 8/21</t>
  </si>
  <si>
    <t>8/21 - kit clear</t>
  </si>
  <si>
    <t>135140
RONC 131758</t>
  </si>
  <si>
    <t>8/28 - 11:30</t>
  </si>
  <si>
    <t>EXCEL - SETUPSHEET WRONG</t>
  </si>
  <si>
    <t>RONC NO PHOTOS</t>
  </si>
  <si>
    <r>
      <rPr>
        <b/>
        <sz val="11"/>
        <color rgb="FF000000"/>
        <rFont val="Calibri"/>
        <family val="2"/>
      </rPr>
      <t xml:space="preserve">clear 9/2
</t>
    </r>
    <r>
      <rPr>
        <b/>
        <strike/>
        <sz val="11"/>
        <color rgb="FF000000"/>
        <rFont val="Calibri"/>
        <family val="2"/>
      </rPr>
      <t>short, no ETA 9/2</t>
    </r>
  </si>
  <si>
    <t>9/2 - kit clear
8/18 - matl clear</t>
  </si>
  <si>
    <t>135022
NEW</t>
  </si>
  <si>
    <t>9/2 - 11:30</t>
  </si>
  <si>
    <t>9/2 - 2:30</t>
  </si>
  <si>
    <r>
      <t xml:space="preserve">clear 8/21
</t>
    </r>
    <r>
      <rPr>
        <b/>
        <strike/>
        <sz val="11"/>
        <color rgb="FF000000"/>
        <rFont val="Calibri"/>
        <family val="2"/>
      </rPr>
      <t>recv'd
short, 8/22 8/12</t>
    </r>
  </si>
  <si>
    <r>
      <t xml:space="preserve">8/21 - kit clear
8/6 - matl clear
</t>
    </r>
    <r>
      <rPr>
        <b/>
        <strike/>
        <sz val="11"/>
        <color rgb="FF000000"/>
        <rFont val="Calibri"/>
        <family val="2"/>
      </rPr>
      <t>8/4 - U1 due (bake before start)
8/1 - short SMT: Y1, U1 &amp; U8, no ETA</t>
    </r>
  </si>
  <si>
    <r>
      <t xml:space="preserve">8/20 - </t>
    </r>
    <r>
      <rPr>
        <b/>
        <strike/>
        <sz val="11"/>
        <color rgb="FF000000"/>
        <rFont val="Calibri"/>
        <family val="2"/>
      </rPr>
      <t>awt for bare board inspec than clear</t>
    </r>
  </si>
  <si>
    <t>133995
NEW</t>
  </si>
  <si>
    <t>"U1" PREBAKE REQ (baked 8/6)
LEAD WASH
DEPANEL
* NO LABELS REQ</t>
  </si>
  <si>
    <t>8/27 - 8:00</t>
  </si>
  <si>
    <t>WOODWARD</t>
  </si>
  <si>
    <t>no labels required</t>
  </si>
  <si>
    <r>
      <t xml:space="preserve">8/26 - kit clear
</t>
    </r>
    <r>
      <rPr>
        <b/>
        <strike/>
        <sz val="11"/>
        <color rgb="FF000000"/>
        <rFont val="Calibri"/>
        <family val="2"/>
      </rPr>
      <t>8/15 - short CN1 (qty 10), no ETA</t>
    </r>
  </si>
  <si>
    <t>8/26 - day 1 is 8/28 (Anne)</t>
  </si>
  <si>
    <t>128817
RONC 121246</t>
  </si>
  <si>
    <t>T/H ONLY
AS9102 FAIR REQ
DEPANEL
clean of oil, debris &amp; blemishes
xtra packing required</t>
  </si>
  <si>
    <t>complete alta stand
BAG</t>
  </si>
  <si>
    <r>
      <t xml:space="preserve">clear 8/19
</t>
    </r>
    <r>
      <rPr>
        <b/>
        <strike/>
        <sz val="11"/>
        <color rgb="FF000000"/>
        <rFont val="Calibri"/>
        <family val="2"/>
      </rPr>
      <t>short, no ETA 8/25</t>
    </r>
  </si>
  <si>
    <r>
      <t xml:space="preserve">8/19 - kit clear
8/18 -  matl clear
</t>
    </r>
    <r>
      <rPr>
        <b/>
        <strike/>
        <sz val="11"/>
        <color rgb="FF000000"/>
        <rFont val="Calibri"/>
        <family val="2"/>
      </rPr>
      <t>8/11 - SMT clear; awt part conf THT #17 (L2, L5)</t>
    </r>
  </si>
  <si>
    <t>8/18 - day 1 is 8/21 (Anne)</t>
  </si>
  <si>
    <t>134991
NEW</t>
  </si>
  <si>
    <t>9/4h
10D*</t>
  </si>
  <si>
    <r>
      <rPr>
        <b/>
        <sz val="11"/>
        <color rgb="FFFF0000"/>
        <rFont val="Calibri"/>
        <family val="2"/>
      </rPr>
      <t xml:space="preserve">DO NOT SHIP IN AUGUST
</t>
    </r>
    <r>
      <rPr>
        <b/>
        <sz val="11"/>
        <color rgb="FF000000"/>
        <rFont val="Calibri"/>
        <family val="2"/>
      </rPr>
      <t xml:space="preserve">"M1, M1, J5, J6" INSTALL PER ECO
DEPANEL
</t>
    </r>
    <r>
      <rPr>
        <b/>
        <u/>
        <sz val="11"/>
        <color rgb="FF000000"/>
        <rFont val="Calibri"/>
        <family val="2"/>
      </rPr>
      <t>verify nuts &amp; washers: j5 &amp; j6</t>
    </r>
  </si>
  <si>
    <t>8/22 - 10:00</t>
  </si>
  <si>
    <t>8/22 - 1:30</t>
  </si>
  <si>
    <t xml:space="preserve">VPI ENGINEERING
</t>
  </si>
  <si>
    <t>DOC REL 8/8</t>
  </si>
  <si>
    <t>8/11</t>
  </si>
  <si>
    <r>
      <t xml:space="preserve">clear 7/30
</t>
    </r>
    <r>
      <rPr>
        <b/>
        <strike/>
        <sz val="11"/>
        <color rgb="FF000000"/>
        <rFont val="Calibri"/>
        <family val="2"/>
      </rPr>
      <t>short, no ETA</t>
    </r>
  </si>
  <si>
    <r>
      <t xml:space="preserve">8/19 - kit clear
</t>
    </r>
    <r>
      <rPr>
        <b/>
        <strike/>
        <sz val="11"/>
        <color rgb="FF000000"/>
        <rFont val="Calibri"/>
        <family val="2"/>
      </rPr>
      <t>7/30 - SMT clear; THT due 8/16 to 8/21
7/28 - short SMT: U16, no ETA 8/16 to 8/21</t>
    </r>
  </si>
  <si>
    <t>134279
NEW</t>
  </si>
  <si>
    <r>
      <rPr>
        <b/>
        <sz val="11"/>
        <color rgb="FF000000"/>
        <rFont val="Calibri"/>
        <family val="2"/>
      </rPr>
      <t xml:space="preserve">DO NOT SHIP EARLY
NO STAMPS ALLOWED
Class 3
</t>
    </r>
    <r>
      <rPr>
        <b/>
        <u/>
        <sz val="11"/>
        <color rgb="FF000000"/>
        <rFont val="Calibri"/>
        <family val="2"/>
      </rPr>
      <t xml:space="preserve">RTV under BATT1
</t>
    </r>
    <r>
      <rPr>
        <b/>
        <sz val="11"/>
        <color rgb="FF000000"/>
        <rFont val="Calibri"/>
        <family val="2"/>
      </rPr>
      <t>U13 &amp; U15 (LCD screen) after wash
JP2 &amp; JP3 cut and flush to board
install U16 (follow ECO)
boards are clean of flux &amp; debris</t>
    </r>
  </si>
  <si>
    <t>8/18 - 1:30</t>
  </si>
  <si>
    <t>8/19 - 7:30</t>
  </si>
  <si>
    <t xml:space="preserve">Trendsetter Vulcan Offshore, Inc.
</t>
  </si>
  <si>
    <t>7/28</t>
  </si>
  <si>
    <r>
      <t xml:space="preserve">clear 8/22
</t>
    </r>
    <r>
      <rPr>
        <b/>
        <strike/>
        <sz val="11"/>
        <color rgb="FF000000"/>
        <rFont val="Calibri"/>
        <family val="2"/>
      </rPr>
      <t>short, due 8/28</t>
    </r>
  </si>
  <si>
    <r>
      <t xml:space="preserve">8/26 - kit clear
</t>
    </r>
    <r>
      <rPr>
        <b/>
        <strike/>
        <sz val="11"/>
        <color rgb="FF000000"/>
        <rFont val="Calibri"/>
        <family val="2"/>
      </rPr>
      <t>8/22 - short SMT R31, due 8/26
8/19 - short SMT U9 &amp; R31 due 8/20, R127 &amp; R36 due 8/20 - 8/22</t>
    </r>
  </si>
  <si>
    <r>
      <t>8/19 -</t>
    </r>
    <r>
      <rPr>
        <b/>
        <strike/>
        <sz val="11"/>
        <color rgb="FF000000"/>
        <rFont val="Calibri"/>
        <family val="2"/>
      </rPr>
      <t xml:space="preserve"> OFF HOLD
8/14 - SHIP HOLD - OK TO RUN BUT NOT SHIP</t>
    </r>
  </si>
  <si>
    <t>134516
ROWC 128574</t>
  </si>
  <si>
    <r>
      <rPr>
        <b/>
        <sz val="11"/>
        <color rgb="FFFF0000"/>
        <rFont val="Calibri"/>
        <family val="2"/>
      </rPr>
      <t xml:space="preserve">some panels mousebites are misaligned.. use machine only
</t>
    </r>
    <r>
      <rPr>
        <b/>
        <strike/>
        <sz val="11"/>
        <color rgb="FF000000"/>
        <rFont val="Calibri"/>
        <family val="2"/>
      </rPr>
      <t xml:space="preserve">8/14 - SHIP HOLD (OK TO RUN BUT NOT SHIP)
</t>
    </r>
    <r>
      <rPr>
        <b/>
        <sz val="11"/>
        <color rgb="FF000000"/>
        <rFont val="Calibri"/>
        <family val="2"/>
      </rPr>
      <t>"LS1, LS2, U13" AFTER WASH
DEPANEL &amp; SAND - REMOVE BURRS TO 0.015" MAX</t>
    </r>
  </si>
  <si>
    <t>8/27 - 9:30</t>
  </si>
  <si>
    <t>8/27 - 2:00</t>
  </si>
  <si>
    <r>
      <t xml:space="preserve">clear 8/19
</t>
    </r>
    <r>
      <rPr>
        <b/>
        <strike/>
        <sz val="11"/>
        <color rgb="FF000000"/>
        <rFont val="Calibri"/>
        <family val="2"/>
      </rPr>
      <t>short, due 8/20</t>
    </r>
  </si>
  <si>
    <r>
      <t xml:space="preserve">8/26 - kit clear
</t>
    </r>
    <r>
      <rPr>
        <b/>
        <strike/>
        <sz val="11"/>
        <color rgb="FF000000"/>
        <rFont val="Calibri"/>
        <family val="2"/>
      </rPr>
      <t>8/19 - SMT clear
8/14 - short THT (L1 &amp; T1), no ETA</t>
    </r>
  </si>
  <si>
    <t>134855
NEW</t>
  </si>
  <si>
    <t>T/H CLEARANCE 3MM PER ECO
TRIM LEADS 0.140" MAX
DEPANEL</t>
  </si>
  <si>
    <t>8/21 - 11:00</t>
  </si>
  <si>
    <t>8/21 - 1:30</t>
  </si>
  <si>
    <t>DOC REL 8/13</t>
  </si>
  <si>
    <r>
      <rPr>
        <b/>
        <sz val="14"/>
        <color rgb="FF000000"/>
        <rFont val="Calibri"/>
        <family val="2"/>
      </rPr>
      <t xml:space="preserve">9/2
</t>
    </r>
    <r>
      <rPr>
        <b/>
        <strike/>
        <sz val="14"/>
        <color rgb="FF000000"/>
        <rFont val="Calibri"/>
        <family val="2"/>
      </rPr>
      <t xml:space="preserve">8/28
8/29
9/1
</t>
    </r>
    <r>
      <rPr>
        <b/>
        <sz val="14"/>
        <color rgb="FF000000"/>
        <rFont val="Calibri"/>
        <family val="2"/>
      </rPr>
      <t>??D</t>
    </r>
  </si>
  <si>
    <r>
      <rPr>
        <b/>
        <sz val="11"/>
        <color rgb="FF000000"/>
        <rFont val="Calibri"/>
        <family val="2"/>
      </rPr>
      <t xml:space="preserve">SPLIT SHIPMENTS (CAN BUILD ALL AT ONCE)
</t>
    </r>
    <r>
      <rPr>
        <b/>
        <strike/>
        <sz val="11"/>
        <color rgb="FF000000"/>
        <rFont val="Calibri"/>
        <family val="2"/>
      </rPr>
      <t xml:space="preserve">- batch 1: 7/23 qty 50
- batch 2: 8/01 qty 60
</t>
    </r>
    <r>
      <rPr>
        <b/>
        <sz val="11"/>
        <color rgb="FF000000"/>
        <rFont val="Calibri"/>
        <family val="2"/>
      </rPr>
      <t>- batch 3: 9/01 qty 50
- batch 4: 10/1 balance
*** SEE ECO FOR SOLDER &amp; CLEANING
AS9102 FAIR REQ
lead-free no-clean Aquanox
DO NOT SKIP AOI
XRAY &amp; SAVE IMAGES
DEPANEL</t>
    </r>
  </si>
  <si>
    <r>
      <t xml:space="preserve">short 1 due 8/22
</t>
    </r>
    <r>
      <rPr>
        <b/>
        <strike/>
        <sz val="11"/>
        <color rgb="FF000000"/>
        <rFont val="Calibri"/>
        <family val="2"/>
      </rPr>
      <t>short 6 pcbs
clear 8/6
short, due 8/11</t>
    </r>
  </si>
  <si>
    <r>
      <t xml:space="preserve">8/6 - matl clear
</t>
    </r>
    <r>
      <rPr>
        <b/>
        <strike/>
        <sz val="11"/>
        <color rgb="FF000000"/>
        <rFont val="Calibri"/>
        <family val="2"/>
      </rPr>
      <t>8/6 - kit clear
7/25 - short 6 line items (SMT &amp; THT), no ETA</t>
    </r>
  </si>
  <si>
    <t>8/13 - shiped partial qty 49
8/7 - 6 of 55 exposed copper boards</t>
  </si>
  <si>
    <t>133576-2
BAL
NEW</t>
  </si>
  <si>
    <r>
      <rPr>
        <b/>
        <sz val="14"/>
        <color rgb="FF000000"/>
        <rFont val="Calibri"/>
        <family val="2"/>
      </rPr>
      <t xml:space="preserve">9/2
</t>
    </r>
    <r>
      <rPr>
        <b/>
        <sz val="14"/>
        <color rgb="FFFF0000"/>
        <rFont val="Calibri"/>
        <family val="2"/>
      </rPr>
      <t>3D</t>
    </r>
  </si>
  <si>
    <r>
      <rPr>
        <b/>
        <sz val="11"/>
        <color rgb="FF000000"/>
        <rFont val="Calibri"/>
        <family val="2"/>
      </rPr>
      <t xml:space="preserve">ship in August, if possible
CLASS 3
shipped qty 49 of 55 on 8/19
"SW1" AFTER WASH
"PA, PB, PC" PRESS FIT
</t>
    </r>
    <r>
      <rPr>
        <b/>
        <u/>
        <sz val="11"/>
        <color rgb="FF000000"/>
        <rFont val="Calibri"/>
        <family val="2"/>
      </rPr>
      <t xml:space="preserve">"LP_A, LP_B" INSTALL PER ECO
</t>
    </r>
    <r>
      <rPr>
        <b/>
        <sz val="11"/>
        <color rgb="FF000000"/>
        <rFont val="Calibri"/>
        <family val="2"/>
      </rPr>
      <t>"SFP1, SFP2, U6, U7" INSTALL PER ECO - press fit corners PER ECO
"XA1" NYLON standoff REQ PER ECO
"A2" = B133581 DAUGHTER BOARD</t>
    </r>
  </si>
  <si>
    <t>8/26 - 6:00</t>
  </si>
  <si>
    <t>8/26 - 7:30</t>
  </si>
  <si>
    <t>8/26 - 9:30</t>
  </si>
  <si>
    <r>
      <t xml:space="preserve">FEDEX </t>
    </r>
    <r>
      <rPr>
        <b/>
        <strike/>
        <sz val="11"/>
        <color rgb="FF000000"/>
        <rFont val="Calibri"/>
        <family val="2"/>
      </rPr>
      <t xml:space="preserve">GRD
</t>
    </r>
    <r>
      <rPr>
        <b/>
        <sz val="11"/>
        <color rgb="FF000000"/>
        <rFont val="Calibri"/>
        <family val="2"/>
      </rPr>
      <t>P1</t>
    </r>
  </si>
  <si>
    <r>
      <t xml:space="preserve">clear 8/13
</t>
    </r>
    <r>
      <rPr>
        <b/>
        <strike/>
        <sz val="11"/>
        <color rgb="FF000000"/>
        <rFont val="Calibri"/>
        <family val="2"/>
      </rPr>
      <t>short, no ETA 8/20</t>
    </r>
  </si>
  <si>
    <t>8/13 - kit clear
8/7 - matl clear</t>
  </si>
  <si>
    <t>8/21 - job pause due to Wondermask issue
8/13 - day 1 is 8/18 (Anne)</t>
  </si>
  <si>
    <t>134953
RONC 131178</t>
  </si>
  <si>
    <r>
      <rPr>
        <b/>
        <sz val="14"/>
        <color rgb="FF000000"/>
        <rFont val="Calibri"/>
        <family val="2"/>
      </rPr>
      <t xml:space="preserve">9/2
</t>
    </r>
    <r>
      <rPr>
        <b/>
        <strike/>
        <sz val="14"/>
        <color rgb="FF000000"/>
        <rFont val="Calibri"/>
        <family val="2"/>
      </rPr>
      <t xml:space="preserve">8/28
8/29
</t>
    </r>
    <r>
      <rPr>
        <b/>
        <sz val="14"/>
        <color rgb="FF000000"/>
        <rFont val="Calibri"/>
        <family val="2"/>
      </rPr>
      <t>10D*</t>
    </r>
  </si>
  <si>
    <t>"C23, C42, U3, U5, U6" AFTER WASH
DEPANEL</t>
  </si>
  <si>
    <t>8/21 - 7:30</t>
  </si>
  <si>
    <t>8/21 - 10:00</t>
  </si>
  <si>
    <t>8/22 - 1:00</t>
  </si>
  <si>
    <r>
      <rPr>
        <u/>
        <sz val="8"/>
        <color rgb="FFFFC000"/>
        <rFont val="Calibri"/>
        <family val="2"/>
        <scheme val="minor"/>
      </rPr>
      <t xml:space="preserve">future builds: </t>
    </r>
    <r>
      <rPr>
        <sz val="8"/>
        <color rgb="FFFFC000"/>
        <rFont val="Calibri"/>
        <family val="2"/>
        <scheme val="minor"/>
      </rPr>
      <t>run top side 1st</t>
    </r>
  </si>
  <si>
    <t>8/7</t>
  </si>
  <si>
    <r>
      <t xml:space="preserve">clear 8/21
</t>
    </r>
    <r>
      <rPr>
        <b/>
        <strike/>
        <sz val="11"/>
        <color rgb="FF000000"/>
        <rFont val="Calibri"/>
        <family val="2"/>
      </rPr>
      <t>short, 8/28</t>
    </r>
  </si>
  <si>
    <r>
      <t xml:space="preserve">8/21 - kit clear
</t>
    </r>
    <r>
      <rPr>
        <b/>
        <strike/>
        <sz val="11"/>
        <color rgb="FF000000"/>
        <rFont val="Calibri"/>
        <family val="2"/>
      </rPr>
      <t>8/15 - short SMT C137 due 8/18 &amp; J1 no ETA</t>
    </r>
  </si>
  <si>
    <r>
      <rPr>
        <b/>
        <sz val="11"/>
        <color rgb="FF000000"/>
        <rFont val="Calibri"/>
        <family val="2"/>
      </rPr>
      <t xml:space="preserve">8/15 - SMT top side 1st
8/19 - OFF HOLD
</t>
    </r>
    <r>
      <rPr>
        <b/>
        <strike/>
        <sz val="11"/>
        <color rgb="FF000000"/>
        <rFont val="Calibri"/>
        <family val="2"/>
      </rPr>
      <t>8/14 - SHIP HOLD - OK TO RUN BUT NOT SHIP</t>
    </r>
  </si>
  <si>
    <t>134515
RONC 128573</t>
  </si>
  <si>
    <r>
      <rPr>
        <b/>
        <sz val="14"/>
        <color rgb="FF000000"/>
        <rFont val="Calibri"/>
        <family val="2"/>
      </rPr>
      <t xml:space="preserve">9/2
</t>
    </r>
    <r>
      <rPr>
        <b/>
        <strike/>
        <sz val="14"/>
        <color rgb="FF000000"/>
        <rFont val="Calibri"/>
        <family val="2"/>
      </rPr>
      <t xml:space="preserve">8/28
</t>
    </r>
    <r>
      <rPr>
        <b/>
        <sz val="14"/>
        <color rgb="FF000000"/>
        <rFont val="Calibri"/>
        <family val="2"/>
      </rPr>
      <t>5D</t>
    </r>
  </si>
  <si>
    <r>
      <rPr>
        <b/>
        <strike/>
        <sz val="11"/>
        <color rgb="FF000000"/>
        <rFont val="Calibri"/>
        <family val="2"/>
      </rPr>
      <t xml:space="preserve">8/14 - SHIP HOLD (OK TO RUN BUT NOT SHIP)
</t>
    </r>
    <r>
      <rPr>
        <b/>
        <sz val="11"/>
        <color rgb="FF000000"/>
        <rFont val="Calibri"/>
        <family val="2"/>
      </rPr>
      <t>"R47 &amp; RELATED x11" TRIM LEADS 0.045" MAX
DEPANEL &amp; SAND - REMOVE BURRS TO 0.015" MAX
clean of debris (cust drawing)</t>
    </r>
  </si>
  <si>
    <t>8/25 - 7:30</t>
  </si>
  <si>
    <t>8/25 - 11:30</t>
  </si>
  <si>
    <t>8/26 - 8:00</t>
  </si>
  <si>
    <r>
      <t xml:space="preserve">clear 8/12
</t>
    </r>
    <r>
      <rPr>
        <b/>
        <strike/>
        <sz val="11"/>
        <color rgb="FF000000"/>
        <rFont val="Calibri"/>
        <family val="2"/>
      </rPr>
      <t>short, no ETA 8/19</t>
    </r>
  </si>
  <si>
    <r>
      <t xml:space="preserve">8/12 - kit clear
8/6 - matl clear
</t>
    </r>
    <r>
      <rPr>
        <b/>
        <strike/>
        <sz val="11"/>
        <color rgb="FF000000"/>
        <rFont val="Calibri"/>
        <family val="2"/>
      </rPr>
      <t>8/5 - short SMT C1 &amp; U3, no ETA
short THT J3, no ETA</t>
    </r>
  </si>
  <si>
    <t>8/12 - day 1 is 8/15 (Anne)</t>
  </si>
  <si>
    <r>
      <rPr>
        <b/>
        <sz val="14"/>
        <color rgb="FF000000"/>
        <rFont val="Calibri"/>
        <family val="2"/>
      </rPr>
      <t xml:space="preserve">9/2
</t>
    </r>
    <r>
      <rPr>
        <b/>
        <strike/>
        <sz val="14"/>
        <color rgb="FF000000"/>
        <rFont val="Calibri"/>
        <family val="2"/>
      </rPr>
      <t xml:space="preserve">8/28
</t>
    </r>
    <r>
      <rPr>
        <b/>
        <sz val="14"/>
        <color rgb="FF000000"/>
        <rFont val="Calibri"/>
        <family val="2"/>
      </rPr>
      <t>10D*</t>
    </r>
  </si>
  <si>
    <r>
      <rPr>
        <b/>
        <sz val="11"/>
        <color rgb="FF000000"/>
        <rFont val="Calibri"/>
        <family val="2"/>
      </rPr>
      <t xml:space="preserve">*** </t>
    </r>
    <r>
      <rPr>
        <b/>
        <sz val="11"/>
        <color rgb="FFFF0000"/>
        <rFont val="Calibri"/>
        <family val="2"/>
      </rPr>
      <t>DO NOT DEPANEL</t>
    </r>
    <r>
      <rPr>
        <b/>
        <sz val="11"/>
        <color rgb="FF000000"/>
        <rFont val="Calibri"/>
        <family val="2"/>
      </rPr>
      <t xml:space="preserve"> - SEND OUT FOR FLYING PROBE (TEST COACH)
pre-bake boards</t>
    </r>
  </si>
  <si>
    <t>8/19 - 9:30</t>
  </si>
  <si>
    <t>clear 7/24</t>
  </si>
  <si>
    <r>
      <t xml:space="preserve">7/31 - kit clear
</t>
    </r>
    <r>
      <rPr>
        <b/>
        <strike/>
        <sz val="11"/>
        <color rgb="FF000000"/>
        <rFont val="Calibri"/>
        <family val="2"/>
      </rPr>
      <t xml:space="preserve">7/24 - short many attrition </t>
    </r>
  </si>
  <si>
    <r>
      <rPr>
        <b/>
        <sz val="11"/>
        <color rgb="FF000000"/>
        <rFont val="Calibri"/>
        <family val="2"/>
      </rPr>
      <t>7/24 -</t>
    </r>
    <r>
      <rPr>
        <b/>
        <sz val="11"/>
        <color rgb="FF0B3040"/>
        <rFont val="Calibri"/>
        <family val="2"/>
      </rPr>
      <t xml:space="preserve"> </t>
    </r>
    <r>
      <rPr>
        <b/>
        <sz val="11"/>
        <color rgb="FFFF0000"/>
        <rFont val="Calibri"/>
        <family val="2"/>
      </rPr>
      <t xml:space="preserve">DO NOT ship early </t>
    </r>
    <r>
      <rPr>
        <b/>
        <sz val="11"/>
        <color rgb="FF0B3040"/>
        <rFont val="Calibri"/>
        <family val="2"/>
      </rPr>
      <t>(Tad)</t>
    </r>
  </si>
  <si>
    <t>134123
NEW</t>
  </si>
  <si>
    <r>
      <rPr>
        <b/>
        <sz val="14"/>
        <color rgb="FF000000"/>
        <rFont val="Calibri"/>
        <family val="2"/>
      </rPr>
      <t xml:space="preserve">9/2
</t>
    </r>
    <r>
      <rPr>
        <b/>
        <strike/>
        <sz val="14"/>
        <color rgb="FF000000"/>
        <rFont val="Calibri"/>
        <family val="2"/>
      </rPr>
      <t xml:space="preserve">8/28
</t>
    </r>
    <r>
      <rPr>
        <b/>
        <sz val="14"/>
        <color rgb="FF000000"/>
        <rFont val="Calibri"/>
        <family val="2"/>
      </rPr>
      <t>20D</t>
    </r>
  </si>
  <si>
    <r>
      <rPr>
        <b/>
        <sz val="11"/>
        <color rgb="FFFF0000"/>
        <rFont val="Calibri"/>
        <family val="2"/>
      </rPr>
      <t xml:space="preserve">DO NOT ship early 
</t>
    </r>
    <r>
      <rPr>
        <b/>
        <sz val="11"/>
        <color rgb="FF000000"/>
        <rFont val="Calibri"/>
        <family val="2"/>
      </rPr>
      <t>DEPANEL
part bags measured by Tad, ok to use</t>
    </r>
  </si>
  <si>
    <t>8/19 - 11:00</t>
  </si>
  <si>
    <t>7/24</t>
  </si>
  <si>
    <t>COMPLETE ALTA BAG</t>
  </si>
  <si>
    <r>
      <t xml:space="preserve">clear 8/4
</t>
    </r>
    <r>
      <rPr>
        <b/>
        <strike/>
        <sz val="11"/>
        <color rgb="FF000000"/>
        <rFont val="Calibri"/>
        <family val="2"/>
      </rPr>
      <t>short, no ETA 8/4 8/1  due 7/28</t>
    </r>
  </si>
  <si>
    <r>
      <t xml:space="preserve">8/4 - kit clear
7/24 - matl clear
</t>
    </r>
    <r>
      <rPr>
        <b/>
        <strike/>
        <sz val="11"/>
        <color rgb="FF000000"/>
        <rFont val="Calibri"/>
        <family val="2"/>
      </rPr>
      <t>7/22 - Short SMT: U22, no ETA
Short THT: XF1, no ETA</t>
    </r>
  </si>
  <si>
    <r>
      <rPr>
        <b/>
        <sz val="11"/>
        <color rgb="FF000000"/>
        <rFont val="Calibri"/>
        <family val="2"/>
      </rPr>
      <t>8/12 -</t>
    </r>
    <r>
      <rPr>
        <b/>
        <sz val="11"/>
        <color rgb="FFFF0000"/>
        <rFont val="Calibri"/>
        <family val="2"/>
      </rPr>
      <t xml:space="preserve"> awt new part #31 TEENSY4.1</t>
    </r>
  </si>
  <si>
    <t>134300
RONC 131983</t>
  </si>
  <si>
    <r>
      <rPr>
        <b/>
        <sz val="14"/>
        <color rgb="FF000000"/>
        <rFont val="Calibri"/>
        <family val="2"/>
      </rPr>
      <t xml:space="preserve">???
</t>
    </r>
    <r>
      <rPr>
        <b/>
        <strike/>
        <sz val="14"/>
        <color rgb="FF000000"/>
        <rFont val="Calibri"/>
        <family val="2"/>
      </rPr>
      <t xml:space="preserve">8/18
</t>
    </r>
    <r>
      <rPr>
        <b/>
        <sz val="14"/>
        <color rgb="FF000000"/>
        <rFont val="Calibri"/>
        <family val="2"/>
      </rPr>
      <t>10D</t>
    </r>
  </si>
  <si>
    <t>Lead Free Wash
install together XF1 &amp; F1
install together U10, J7, J8, J12 &amp; J13 (SEE ECO)
DEPANEL</t>
  </si>
  <si>
    <t>8/11 - 11:30</t>
  </si>
  <si>
    <t>8/12 - 9:00</t>
  </si>
  <si>
    <t>Droplet Measurement Technologies</t>
  </si>
  <si>
    <t>7/22</t>
  </si>
  <si>
    <t>prev build had different colored PCBs</t>
  </si>
  <si>
    <t>clear 8/14</t>
  </si>
  <si>
    <r>
      <t xml:space="preserve">8/18 - kit clear
</t>
    </r>
    <r>
      <rPr>
        <b/>
        <strike/>
        <sz val="11"/>
        <color rgb="FF000000"/>
        <rFont val="Calibri"/>
        <family val="2"/>
      </rPr>
      <t>8/14 - SMT clear
Short THT mechnical due 8/18</t>
    </r>
  </si>
  <si>
    <r>
      <rPr>
        <b/>
        <sz val="11"/>
        <color rgb="FF000000"/>
        <rFont val="Calibri"/>
        <family val="2"/>
      </rPr>
      <t xml:space="preserve">8/21 - ship 8/22 (Anne/Tad)
8/15 - ok to run
</t>
    </r>
    <r>
      <rPr>
        <b/>
        <strike/>
        <sz val="11"/>
        <color rgb="FF000000"/>
        <rFont val="Calibri"/>
        <family val="2"/>
      </rPr>
      <t>8/14 - ON HOLD (Tad)</t>
    </r>
  </si>
  <si>
    <t>133582
ROWC 129739</t>
  </si>
  <si>
    <r>
      <rPr>
        <b/>
        <sz val="14"/>
        <color rgb="FF000000"/>
        <rFont val="Calibri"/>
        <family val="2"/>
      </rPr>
      <t xml:space="preserve">???
</t>
    </r>
    <r>
      <rPr>
        <b/>
        <strike/>
        <sz val="14"/>
        <color rgb="FF000000"/>
        <rFont val="Calibri"/>
        <family val="2"/>
      </rPr>
      <t xml:space="preserve">8/21*
</t>
    </r>
    <r>
      <rPr>
        <b/>
        <sz val="14"/>
        <color rgb="FFFF0000"/>
        <rFont val="Calibri"/>
        <family val="2"/>
      </rPr>
      <t>3D</t>
    </r>
  </si>
  <si>
    <r>
      <rPr>
        <b/>
        <sz val="12"/>
        <color rgb="FFFF0000"/>
        <rFont val="Calibri"/>
        <family val="2"/>
      </rPr>
      <t xml:space="preserve">*** DO NOT SHIP W/O APPROVAL
</t>
    </r>
    <r>
      <rPr>
        <b/>
        <sz val="11"/>
        <color rgb="FF000000"/>
        <rFont val="Calibri"/>
        <family val="2"/>
      </rPr>
      <t xml:space="preserve">CLASS 3
</t>
    </r>
    <r>
      <rPr>
        <b/>
        <u/>
        <sz val="11"/>
        <color rgb="FF000000"/>
        <rFont val="Calibri"/>
        <family val="2"/>
      </rPr>
      <t xml:space="preserve">"EJECT1: INSTALL PER ECO
</t>
    </r>
    <r>
      <rPr>
        <b/>
        <sz val="11"/>
        <color rgb="FF000000"/>
        <rFont val="Calibri"/>
        <family val="2"/>
      </rPr>
      <t>"C20, R14, D47, C3, R19, " REWORK PER ECO -</t>
    </r>
    <r>
      <rPr>
        <b/>
        <u/>
        <sz val="11"/>
        <color rgb="FF000000"/>
        <rFont val="Calibri"/>
        <family val="2"/>
      </rPr>
      <t xml:space="preserve"> WIRES &amp; RTV REQ
NO MECH ON JID1
</t>
    </r>
    <r>
      <rPr>
        <b/>
        <strike/>
        <sz val="11"/>
        <color rgb="FF000000"/>
        <rFont val="Calibri"/>
        <family val="2"/>
      </rPr>
      <t>MECH (</t>
    </r>
    <r>
      <rPr>
        <b/>
        <strike/>
        <u/>
        <sz val="11"/>
        <color rgb="FF000000"/>
        <rFont val="Calibri"/>
        <family val="2"/>
      </rPr>
      <t>screw, nuts &amp; washers</t>
    </r>
    <r>
      <rPr>
        <b/>
        <strike/>
        <sz val="11"/>
        <color rgb="FF000000"/>
        <rFont val="Calibri"/>
        <family val="2"/>
      </rPr>
      <t>) REQ</t>
    </r>
  </si>
  <si>
    <t>8/18 - 5:00</t>
  </si>
  <si>
    <t>8/18 - 8:00</t>
  </si>
  <si>
    <t>8/18 - 1:00</t>
  </si>
  <si>
    <r>
      <t xml:space="preserve">clear 8/15
</t>
    </r>
    <r>
      <rPr>
        <b/>
        <strike/>
        <sz val="11"/>
        <color rgb="FF000000"/>
        <rFont val="Calibri"/>
        <family val="2"/>
      </rPr>
      <t>short, no ETA 8/15 8/14</t>
    </r>
  </si>
  <si>
    <r>
      <t xml:space="preserve">8/15 - kit clear
8/14 - matl clear
</t>
    </r>
    <r>
      <rPr>
        <b/>
        <strike/>
        <sz val="11"/>
        <color rgb="FF000000"/>
        <rFont val="Calibri"/>
        <family val="2"/>
      </rPr>
      <t>8/11 -short SMT AT1 (qty 120) due 8/14</t>
    </r>
  </si>
  <si>
    <t>8/28 - short 1 part</t>
  </si>
  <si>
    <t>130391-2
bal
ROWC 114272</t>
  </si>
  <si>
    <r>
      <rPr>
        <b/>
        <sz val="14"/>
        <color rgb="FF000000"/>
        <rFont val="Calibri"/>
        <family val="2"/>
      </rPr>
      <t xml:space="preserve">???
</t>
    </r>
    <r>
      <rPr>
        <b/>
        <strike/>
        <sz val="14"/>
        <color rgb="FF000000"/>
        <rFont val="Calibri"/>
        <family val="2"/>
      </rPr>
      <t xml:space="preserve">8/29
</t>
    </r>
    <r>
      <rPr>
        <b/>
        <sz val="14"/>
        <color rgb="FF000000"/>
        <rFont val="Calibri"/>
        <family val="2"/>
      </rPr>
      <t>10D</t>
    </r>
  </si>
  <si>
    <t>shipped 119 on 8/28
LEAD PROCESS
DEPANEL
SHIP PARTS BACK W/ ASSY'S</t>
  </si>
  <si>
    <t>8/22 - 9:30</t>
  </si>
  <si>
    <t>8/22 - 2:30</t>
  </si>
  <si>
    <t>8/25 - 2:30</t>
  </si>
  <si>
    <t xml:space="preserve">ROYAL CIRCUIT SOLUTIONS INC
</t>
  </si>
  <si>
    <t>unknown</t>
  </si>
  <si>
    <r>
      <t xml:space="preserve">clear 8/15
</t>
    </r>
    <r>
      <rPr>
        <b/>
        <strike/>
        <sz val="11"/>
        <color rgb="FF000000"/>
        <rFont val="Calibri"/>
        <family val="2"/>
      </rPr>
      <t>short, no ETA 8/18</t>
    </r>
  </si>
  <si>
    <r>
      <t xml:space="preserve">8/15 - kit clear
8/6 - matl clear
</t>
    </r>
    <r>
      <rPr>
        <b/>
        <strike/>
        <sz val="11"/>
        <color rgb="FF000000"/>
        <rFont val="Calibri"/>
        <family val="2"/>
      </rPr>
      <t>8/4 - short many SMT, no ETA
short THT C34, no ETA</t>
    </r>
  </si>
  <si>
    <r>
      <rPr>
        <b/>
        <sz val="11"/>
        <color rgb="FF000000"/>
        <rFont val="Calibri"/>
        <family val="2"/>
      </rPr>
      <t xml:space="preserve">8/27 - </t>
    </r>
    <r>
      <rPr>
        <b/>
        <sz val="11"/>
        <color rgb="FFFF0000"/>
        <rFont val="Calibri"/>
        <family val="2"/>
      </rPr>
      <t xml:space="preserve">reflow &amp; void issues
</t>
    </r>
    <r>
      <rPr>
        <b/>
        <sz val="11"/>
        <color rgb="FF000000"/>
        <rFont val="Calibri"/>
        <family val="2"/>
      </rPr>
      <t>8/15 - SMT top 1st</t>
    </r>
  </si>
  <si>
    <t>134552
NEW</t>
  </si>
  <si>
    <r>
      <rPr>
        <b/>
        <sz val="14"/>
        <color rgb="FF000000"/>
        <rFont val="Calibri"/>
        <family val="2"/>
      </rPr>
      <t xml:space="preserve">8/28
</t>
    </r>
    <r>
      <rPr>
        <b/>
        <strike/>
        <sz val="14"/>
        <color rgb="FF000000"/>
        <rFont val="Calibri"/>
        <family val="2"/>
      </rPr>
      <t xml:space="preserve">8/29
</t>
    </r>
    <r>
      <rPr>
        <b/>
        <sz val="14"/>
        <color rgb="FF000000"/>
        <rFont val="Calibri"/>
        <family val="2"/>
      </rPr>
      <t>10D</t>
    </r>
  </si>
  <si>
    <t xml:space="preserve">PREBACK PCB'S REQ
"S1, C34, S3" AFTER WASH
"J7, J8" SEE ECO FOR ORIENTATION
dni H1_IR, H2, H14, H1, and H22  </t>
  </si>
  <si>
    <t>8/26 - 10:30</t>
  </si>
  <si>
    <t>130391-2
par
ROWC 114272</t>
  </si>
  <si>
    <t>LEAD PROCESS
DEPANEL
SHIP PARTS BACK W/ ASSY'S</t>
  </si>
  <si>
    <r>
      <t xml:space="preserve">clear 8/21
</t>
    </r>
    <r>
      <rPr>
        <b/>
        <strike/>
        <sz val="11"/>
        <color rgb="FF000000"/>
        <rFont val="Calibri"/>
        <family val="2"/>
      </rPr>
      <t>short, no ETA 8/21</t>
    </r>
  </si>
  <si>
    <t>8/21 - kit clear
8/18 - matl clear</t>
  </si>
  <si>
    <t>135084
NEW</t>
  </si>
  <si>
    <t>8/28
5D</t>
  </si>
  <si>
    <r>
      <rPr>
        <b/>
        <sz val="12"/>
        <color rgb="FF000000"/>
        <rFont val="Calibri"/>
        <family val="2"/>
      </rPr>
      <t xml:space="preserve">T/H ONLY
DO NOT SKIP PREBAKE
DEPANEL
</t>
    </r>
    <r>
      <rPr>
        <b/>
        <u/>
        <sz val="12"/>
        <color rgb="FF000000"/>
        <rFont val="Calibri"/>
        <family val="2"/>
      </rPr>
      <t xml:space="preserve">*** </t>
    </r>
    <r>
      <rPr>
        <b/>
        <u/>
        <sz val="12"/>
        <color rgb="FFFF0000"/>
        <rFont val="Calibri"/>
        <family val="2"/>
      </rPr>
      <t xml:space="preserve">SUGGEST TRINH TRIMS LEADS BEFORE GIVING TO SHIPPING - SEE BELOW...
</t>
    </r>
    <r>
      <rPr>
        <b/>
        <sz val="12"/>
        <color rgb="FF000000"/>
        <rFont val="Calibri"/>
        <family val="2"/>
      </rPr>
      <t xml:space="preserve">*** TRIM LEADS 0.040" MAX - </t>
    </r>
    <r>
      <rPr>
        <b/>
        <u/>
        <sz val="12"/>
        <color rgb="FF000000"/>
        <rFont val="Calibri"/>
        <family val="2"/>
      </rPr>
      <t>EXCEPT "</t>
    </r>
    <r>
      <rPr>
        <b/>
        <u/>
        <sz val="12"/>
        <color rgb="FFFF0000"/>
        <rFont val="Calibri"/>
        <family val="2"/>
      </rPr>
      <t>JMPR1_PIN</t>
    </r>
    <r>
      <rPr>
        <b/>
        <u/>
        <sz val="12"/>
        <color rgb="FF000000"/>
        <rFont val="Calibri"/>
        <family val="2"/>
      </rPr>
      <t>" (DO NOT TRIM LEADS ON THIS PART</t>
    </r>
  </si>
  <si>
    <t>complete ECO label &amp; STAMP</t>
  </si>
  <si>
    <r>
      <t xml:space="preserve">clear 8/21
</t>
    </r>
    <r>
      <rPr>
        <b/>
        <strike/>
        <sz val="11"/>
        <color rgb="FF000000"/>
        <rFont val="Calibri"/>
        <family val="2"/>
      </rPr>
      <t>short 12 boards
clear 8/15</t>
    </r>
  </si>
  <si>
    <r>
      <t xml:space="preserve">8/20 - kit clear
</t>
    </r>
    <r>
      <rPr>
        <b/>
        <strike/>
        <sz val="11"/>
        <color rgb="FF000000"/>
        <rFont val="Calibri"/>
        <family val="2"/>
      </rPr>
      <t>8/15 - short SMT U7,  no ETA 8/20
awt SMT part confirm 2x</t>
    </r>
  </si>
  <si>
    <r>
      <t xml:space="preserve">8/20 </t>
    </r>
    <r>
      <rPr>
        <b/>
        <strike/>
        <sz val="11"/>
        <color rgb="FF000000"/>
        <rFont val="Calibri"/>
        <family val="2"/>
      </rPr>
      <t>- job on hold</t>
    </r>
  </si>
  <si>
    <t>134879
NEW</t>
  </si>
  <si>
    <r>
      <t xml:space="preserve">8/28
</t>
    </r>
    <r>
      <rPr>
        <b/>
        <strike/>
        <sz val="14"/>
        <color rgb="FF000000"/>
        <rFont val="Calibri"/>
        <family val="2"/>
      </rPr>
      <t xml:space="preserve">8/27
</t>
    </r>
    <r>
      <rPr>
        <b/>
        <sz val="14"/>
        <color rgb="FF000000"/>
        <rFont val="Calibri"/>
        <family val="2"/>
      </rPr>
      <t>5D</t>
    </r>
  </si>
  <si>
    <r>
      <rPr>
        <b/>
        <sz val="11"/>
        <color rgb="FF000000"/>
        <rFont val="Calibri"/>
        <family val="2"/>
      </rPr>
      <t xml:space="preserve">"lK3, K6, K7" REMOVE PLASTIC KNOCK OFF NIB AFTER ASSY PER ECO
TRIM LEADS 0.140" MAX
DEPANEL &amp; SAND
OVERPACK
</t>
    </r>
    <r>
      <rPr>
        <b/>
        <u/>
        <sz val="11"/>
        <color rgb="FF000000"/>
        <rFont val="Calibri"/>
        <family val="2"/>
      </rPr>
      <t>label on box &amp; ESD warning labels</t>
    </r>
  </si>
  <si>
    <t>8/22 - 10:30</t>
  </si>
  <si>
    <t>8/25 - 10:00</t>
  </si>
  <si>
    <t xml:space="preserve">complete BOTH ECO label </t>
  </si>
  <si>
    <t>clear 7/30</t>
  </si>
  <si>
    <t>8/14 - kit clear</t>
  </si>
  <si>
    <t>8/14 - day 1 8/18 (Anne)</t>
  </si>
  <si>
    <t>CLASS 3
LEAD FREE WASH  (ROL0 OR ROL1)
SEE ECO #3 FOR T/H SOLDER
DO NOT SKIP AOI
XRAY &amp; SAVE IMAGES
AS9102 FAIR REQ</t>
  </si>
  <si>
    <t>8/15 - 9:00</t>
  </si>
  <si>
    <t>BOARDS MISSING MOUSE BITES</t>
  </si>
  <si>
    <t>132028-2ND
3 PAR
RONC 1st Article</t>
  </si>
  <si>
    <r>
      <rPr>
        <b/>
        <sz val="14"/>
        <color rgb="FF000000"/>
        <rFont val="Calibri"/>
        <family val="2"/>
      </rPr>
      <t xml:space="preserve">8/28
</t>
    </r>
    <r>
      <rPr>
        <b/>
        <strike/>
        <sz val="14"/>
        <color rgb="FF000000"/>
        <rFont val="Calibri"/>
        <family val="2"/>
      </rPr>
      <t>8/29
9/1
5D</t>
    </r>
  </si>
  <si>
    <r>
      <rPr>
        <b/>
        <sz val="12"/>
        <color rgb="FFFF0000"/>
        <rFont val="Calibri"/>
        <family val="2"/>
      </rPr>
      <t xml:space="preserve">*** SEE ECO FOR SOLDER &amp; CLEANING
</t>
    </r>
    <r>
      <rPr>
        <b/>
        <strike/>
        <sz val="11"/>
        <color rgb="FF000000"/>
        <rFont val="Calibri"/>
        <family val="2"/>
      </rPr>
      <t xml:space="preserve">BATCH 1 - 7/1 - QTY 60
BATCH 2 - 08/01 - QTY 120
</t>
    </r>
    <r>
      <rPr>
        <b/>
        <sz val="11"/>
        <color rgb="FF000000"/>
        <rFont val="Calibri"/>
        <family val="2"/>
      </rPr>
      <t xml:space="preserve">BATCH 3 - 9/01 - QTY 110
BATCH 4 - 10/01 - QTY 78
</t>
    </r>
    <r>
      <rPr>
        <b/>
        <strike/>
        <sz val="11"/>
        <color rgb="FF000000"/>
        <rFont val="Calibri"/>
        <family val="2"/>
      </rPr>
      <t xml:space="preserve">LEAD FREE WASH
</t>
    </r>
    <r>
      <rPr>
        <b/>
        <sz val="11"/>
        <color rgb="FF000000"/>
        <rFont val="Calibri"/>
        <family val="2"/>
      </rPr>
      <t>AS9102 FAIR REQ
DO NOT SKIP AOI
XRAY &amp; SAVE IMAGES
DEPANEL &amp; SAND
MAKE SURE BOARDS ARE FREE AND CLEAN OF DEBRIS &amp; FLUX</t>
    </r>
  </si>
  <si>
    <r>
      <t xml:space="preserve">6/23 - short 32 pieces of P1
6/23 - </t>
    </r>
    <r>
      <rPr>
        <b/>
        <strike/>
        <sz val="11"/>
        <color rgb="FF000000"/>
        <rFont val="Calibri"/>
        <family val="2"/>
      </rPr>
      <t>awt bare boards return from Laser Cutting</t>
    </r>
  </si>
  <si>
    <r>
      <rPr>
        <b/>
        <sz val="11"/>
        <color rgb="FF000000"/>
        <rFont val="Calibri"/>
        <family val="2"/>
      </rPr>
      <t xml:space="preserve">8/21 - ship date pending approval
6/27 - SMT qty remaining is 32 (awaiting P1 shortages)
</t>
    </r>
    <r>
      <rPr>
        <b/>
        <strike/>
        <sz val="11"/>
        <color rgb="FF000000"/>
        <rFont val="Calibri"/>
        <family val="2"/>
      </rPr>
      <t>6/23 - ok to run 156 of 188
6/23 - scheduled shipment qty 50 no later than 6/30</t>
    </r>
  </si>
  <si>
    <t>131635-2nd
3par
ROWC 1st Article</t>
  </si>
  <si>
    <r>
      <rPr>
        <b/>
        <sz val="14"/>
        <color rgb="FF000000"/>
        <rFont val="Calibri"/>
        <family val="2"/>
      </rPr>
      <t xml:space="preserve">8/28
</t>
    </r>
    <r>
      <rPr>
        <b/>
        <strike/>
        <sz val="14"/>
        <color rgb="FF000000"/>
        <rFont val="Calibri"/>
        <family val="2"/>
      </rPr>
      <t xml:space="preserve">8/29**
</t>
    </r>
    <r>
      <rPr>
        <b/>
        <sz val="14"/>
        <color rgb="FF000000"/>
        <rFont val="Calibri"/>
        <family val="2"/>
      </rPr>
      <t>5D</t>
    </r>
  </si>
  <si>
    <r>
      <rPr>
        <b/>
        <sz val="11"/>
        <color rgb="FF000000"/>
        <rFont val="Calibri"/>
        <family val="2"/>
      </rPr>
      <t xml:space="preserve">SPLIT SHIPMENTS (CAN BUILD ALL AT ONCE) last shipment on 8/1
</t>
    </r>
    <r>
      <rPr>
        <b/>
        <strike/>
        <sz val="11"/>
        <color rgb="FF000000"/>
        <rFont val="Calibri"/>
        <family val="2"/>
      </rPr>
      <t xml:space="preserve">BATCH 1 - 06/24 QTY 50 – How soon can you ship these?
BATCH 2 - 8/01 QTY 60
</t>
    </r>
    <r>
      <rPr>
        <b/>
        <sz val="11"/>
        <color rgb="FF000000"/>
        <rFont val="Calibri"/>
        <family val="2"/>
      </rPr>
      <t xml:space="preserve">BATCH 3 - 9/01 </t>
    </r>
    <r>
      <rPr>
        <b/>
        <sz val="11"/>
        <color rgb="FFFF0000"/>
        <rFont val="Calibri"/>
        <family val="2"/>
      </rPr>
      <t xml:space="preserve">QTY 46
</t>
    </r>
    <r>
      <rPr>
        <b/>
        <sz val="11"/>
        <color rgb="FF000000"/>
        <rFont val="Calibri"/>
        <family val="2"/>
      </rPr>
      <t xml:space="preserve">BATCH 4 - 10/01 QTY 32
*** SEE ECO FOR SOLDER &amp; CLEANING
AS9102 FAIR REQUIRED
XRAY &amp; SAVE IMAGES
DO NOT SKIP AOI
MAKE SURE BOARDS ARE FREE AND CLEAN OF FLUX &amp; DEBRIS
</t>
    </r>
    <r>
      <rPr>
        <b/>
        <u/>
        <sz val="11"/>
        <color rgb="FF000000"/>
        <rFont val="Calibri"/>
        <family val="2"/>
      </rPr>
      <t>shipping: ensure nuts are installed</t>
    </r>
    <r>
      <rPr>
        <b/>
        <sz val="11"/>
        <color rgb="FF000000"/>
        <rFont val="Calibri"/>
        <family val="2"/>
      </rPr>
      <t>"</t>
    </r>
  </si>
  <si>
    <r>
      <rPr>
        <b/>
        <sz val="11"/>
        <color rgb="FF000000"/>
        <rFont val="Calibri"/>
        <family val="2"/>
      </rPr>
      <t xml:space="preserve">8/1 - </t>
    </r>
    <r>
      <rPr>
        <b/>
        <sz val="11"/>
        <color rgb="FFFF0000"/>
        <rFont val="Calibri"/>
        <family val="2"/>
      </rPr>
      <t>SMT clear; Partial short THT #19 (U5) due 9/3</t>
    </r>
    <r>
      <rPr>
        <b/>
        <strike/>
        <sz val="11"/>
        <color rgb="FF000000"/>
        <rFont val="Calibri"/>
        <family val="2"/>
      </rPr>
      <t xml:space="preserve"> week 9/1</t>
    </r>
  </si>
  <si>
    <r>
      <rPr>
        <b/>
        <sz val="11"/>
        <color rgb="FF000000"/>
        <rFont val="Calibri"/>
        <family val="2"/>
      </rPr>
      <t xml:space="preserve">8/21 - SMT comp qty 145
8/12 - use 8/14 as day 1 (Anne)
8/6 - </t>
    </r>
    <r>
      <rPr>
        <b/>
        <strike/>
        <sz val="11"/>
        <color rgb="FF000000"/>
        <rFont val="Calibri"/>
        <family val="2"/>
      </rPr>
      <t xml:space="preserve">do not need to run due to 25 bare board issue (Anne)
</t>
    </r>
    <r>
      <rPr>
        <b/>
        <sz val="11"/>
        <color rgb="FF000000"/>
        <rFont val="Calibri"/>
        <family val="2"/>
      </rPr>
      <t>8/1 - ok to SHIP PARTIAL (qty 173)</t>
    </r>
  </si>
  <si>
    <t>131018-1
par
RONC 117353</t>
  </si>
  <si>
    <t>8/27
10D*</t>
  </si>
  <si>
    <r>
      <rPr>
        <b/>
        <sz val="11"/>
        <color rgb="FFFF0000"/>
        <rFont val="Calibri"/>
        <family val="2"/>
      </rPr>
      <t xml:space="preserve">remove &amp; replace C28 all
</t>
    </r>
    <r>
      <rPr>
        <b/>
        <sz val="11"/>
        <color rgb="FF000000"/>
        <rFont val="Calibri"/>
        <family val="2"/>
      </rPr>
      <t>CLASS 3
balance qty 97
LEAD WASH
TAG BTD or DNI &amp; NOTE IN PAPERWORK</t>
    </r>
  </si>
  <si>
    <t>8/20 - 9:30</t>
  </si>
  <si>
    <r>
      <t xml:space="preserve">clear 7/31
</t>
    </r>
    <r>
      <rPr>
        <b/>
        <strike/>
        <sz val="11"/>
        <color rgb="FF000000"/>
        <rFont val="Calibri"/>
        <family val="2"/>
      </rPr>
      <t>short, no ETA 8/7</t>
    </r>
  </si>
  <si>
    <t>7/31 - kit clear
7/28 - matl clear</t>
  </si>
  <si>
    <t>8/21 - solder flux issue</t>
  </si>
  <si>
    <t>134271
RONC 125121</t>
  </si>
  <si>
    <r>
      <rPr>
        <b/>
        <sz val="14"/>
        <color rgb="FF000000"/>
        <rFont val="Calibri"/>
        <family val="2"/>
      </rPr>
      <t xml:space="preserve">8/27
</t>
    </r>
    <r>
      <rPr>
        <b/>
        <strike/>
        <sz val="14"/>
        <color rgb="FF000000"/>
        <rFont val="Calibri"/>
        <family val="2"/>
      </rPr>
      <t xml:space="preserve">8/21
</t>
    </r>
    <r>
      <rPr>
        <b/>
        <sz val="14"/>
        <color rgb="FF000000"/>
        <rFont val="Calibri"/>
        <family val="2"/>
      </rPr>
      <t>15D</t>
    </r>
  </si>
  <si>
    <t>LEAD NO CLEAN
"U15 IS MOISTURE SENSITIVE PER ECO
DEPANEL
NO LEFT OVER SOLDER FLUX ALLOWED</t>
  </si>
  <si>
    <t>8/13 - 7:30</t>
  </si>
  <si>
    <t>8/14 - 9:00</t>
  </si>
  <si>
    <t>8/14 - 1:30</t>
  </si>
  <si>
    <t>INDUSTRIALEX MFG</t>
  </si>
  <si>
    <t>DOC REL 7/23</t>
  </si>
  <si>
    <r>
      <t xml:space="preserve">clear 8/15
</t>
    </r>
    <r>
      <rPr>
        <b/>
        <strike/>
        <sz val="11"/>
        <color rgb="FF000000"/>
        <rFont val="Calibri"/>
        <family val="2"/>
      </rPr>
      <t>short, due 8/19 8/14</t>
    </r>
  </si>
  <si>
    <r>
      <t xml:space="preserve">8/15 - kit clear
</t>
    </r>
    <r>
      <rPr>
        <b/>
        <strike/>
        <sz val="11"/>
        <color rgb="FF000000"/>
        <rFont val="Calibri"/>
        <family val="2"/>
      </rPr>
      <t>8/15 - short SMT qty HIGH J105 due today
8/7 - matl clear
8/1 - short SMT: 3x (qty high)</t>
    </r>
  </si>
  <si>
    <t>134483-FA
NEW</t>
  </si>
  <si>
    <r>
      <rPr>
        <b/>
        <sz val="14"/>
        <color rgb="FF000000"/>
        <rFont val="Calibri"/>
        <family val="2"/>
      </rPr>
      <t xml:space="preserve">8/28 </t>
    </r>
    <r>
      <rPr>
        <b/>
        <strike/>
        <sz val="14"/>
        <color rgb="FF000000"/>
        <rFont val="Calibri"/>
        <family val="2"/>
      </rPr>
      <t xml:space="preserve">8/29
</t>
    </r>
    <r>
      <rPr>
        <b/>
        <sz val="14"/>
        <color rgb="FF000000"/>
        <rFont val="Calibri"/>
        <family val="2"/>
      </rPr>
      <t>10D</t>
    </r>
  </si>
  <si>
    <r>
      <rPr>
        <b/>
        <sz val="11"/>
        <color rgb="FF000000"/>
        <rFont val="Calibri"/>
        <family val="2"/>
      </rPr>
      <t xml:space="preserve">balance remaining 115
</t>
    </r>
    <r>
      <rPr>
        <b/>
        <u/>
        <sz val="11"/>
        <color rgb="FFFF0000"/>
        <rFont val="Calibri"/>
        <family val="2"/>
      </rPr>
      <t xml:space="preserve">Ship Earlier if possible
</t>
    </r>
    <r>
      <rPr>
        <b/>
        <sz val="11"/>
        <color rgb="FF000000"/>
        <rFont val="Calibri"/>
        <family val="2"/>
      </rPr>
      <t>LEAD NO CLEAN
DEPANEL
BOM changes 8/13</t>
    </r>
  </si>
  <si>
    <t>8/22 - 6:00</t>
  </si>
  <si>
    <t>8/22 - 8:30</t>
  </si>
  <si>
    <r>
      <t xml:space="preserve">clear 8/20
</t>
    </r>
    <r>
      <rPr>
        <b/>
        <strike/>
        <sz val="11"/>
        <color rgb="FF000000"/>
        <rFont val="Calibri"/>
        <family val="2"/>
      </rPr>
      <t>short, due 8/20</t>
    </r>
  </si>
  <si>
    <r>
      <t xml:space="preserve">8/21 - kit clear
8/13 - matl clear
</t>
    </r>
    <r>
      <rPr>
        <b/>
        <strike/>
        <sz val="11"/>
        <color rgb="FF000000"/>
        <rFont val="Calibri"/>
        <family val="2"/>
      </rPr>
      <t>8/11 - short many, no ETA</t>
    </r>
  </si>
  <si>
    <r>
      <t>8/20 -</t>
    </r>
    <r>
      <rPr>
        <b/>
        <strike/>
        <sz val="11"/>
        <color rgb="FF000000"/>
        <rFont val="Calibri"/>
        <family val="2"/>
      </rPr>
      <t xml:space="preserve"> awt bare board inspect than clear</t>
    </r>
  </si>
  <si>
    <t>134355
RONC 133578</t>
  </si>
  <si>
    <r>
      <rPr>
        <b/>
        <sz val="14"/>
        <color rgb="FF000000"/>
        <rFont val="Calibri"/>
        <family val="2"/>
      </rPr>
      <t xml:space="preserve">8/26
</t>
    </r>
    <r>
      <rPr>
        <b/>
        <sz val="14"/>
        <color rgb="FFFF0000"/>
        <rFont val="Calibri"/>
        <family val="2"/>
      </rPr>
      <t>3D</t>
    </r>
  </si>
  <si>
    <r>
      <rPr>
        <b/>
        <sz val="11"/>
        <color rgb="FF000000"/>
        <rFont val="Calibri"/>
        <family val="2"/>
      </rPr>
      <t xml:space="preserve">CLASS 3
</t>
    </r>
    <r>
      <rPr>
        <b/>
        <u/>
        <sz val="11"/>
        <color rgb="FF000000"/>
        <rFont val="Calibri"/>
        <family val="2"/>
      </rPr>
      <t xml:space="preserve">"U1302-U1305" POST BAKE BOARDS 30 MIN IF BOARDS ARE WASHED
</t>
    </r>
    <r>
      <rPr>
        <b/>
        <sz val="11"/>
        <color rgb="FF000000"/>
        <rFont val="Calibri"/>
        <family val="2"/>
      </rPr>
      <t xml:space="preserve">"LP_A LP_B " INSTALL PER ECO
"J1000, PA, PB, PC" PRESS FIT
</t>
    </r>
    <r>
      <rPr>
        <b/>
        <u/>
        <sz val="11"/>
        <color rgb="FF000000"/>
        <rFont val="Calibri"/>
        <family val="2"/>
      </rPr>
      <t>MECH REQ (install screw &amp; washer) PER ECO</t>
    </r>
  </si>
  <si>
    <t>8/21 - 12:30</t>
  </si>
  <si>
    <t>8/22 - 7:00</t>
  </si>
  <si>
    <t>8/22 - 9:00</t>
  </si>
  <si>
    <r>
      <t xml:space="preserve">clear 8/15
</t>
    </r>
    <r>
      <rPr>
        <b/>
        <strike/>
        <sz val="11"/>
        <color rgb="FF000000"/>
        <rFont val="Calibri"/>
        <family val="2"/>
      </rPr>
      <t>short, no ETA 8/14 8/13 8/11 8/7</t>
    </r>
  </si>
  <si>
    <r>
      <t xml:space="preserve">8/15 - kit clear
8/4 - matl clear
</t>
    </r>
    <r>
      <rPr>
        <b/>
        <strike/>
        <sz val="11"/>
        <color rgb="FF000000"/>
        <rFont val="Calibri"/>
        <family val="2"/>
      </rPr>
      <t>7/21 - short SMT: #71 (F1), no ETA</t>
    </r>
  </si>
  <si>
    <t>133978
NEW</t>
  </si>
  <si>
    <r>
      <rPr>
        <b/>
        <sz val="14"/>
        <color rgb="FF000000"/>
        <rFont val="Calibri"/>
        <family val="2"/>
      </rPr>
      <t xml:space="preserve">8/26
</t>
    </r>
    <r>
      <rPr>
        <b/>
        <strike/>
        <sz val="14"/>
        <color rgb="FF000000"/>
        <rFont val="Calibri"/>
        <family val="2"/>
      </rPr>
      <t xml:space="preserve">8/27*
</t>
    </r>
    <r>
      <rPr>
        <b/>
        <sz val="14"/>
        <color rgb="FF000000"/>
        <rFont val="Calibri"/>
        <family val="2"/>
      </rPr>
      <t>10D</t>
    </r>
  </si>
  <si>
    <r>
      <rPr>
        <b/>
        <sz val="12"/>
        <color rgb="FFFF0000"/>
        <rFont val="Calibri"/>
        <family val="2"/>
      </rPr>
      <t xml:space="preserve">*** EXPEDITE ***
</t>
    </r>
    <r>
      <rPr>
        <b/>
        <sz val="11"/>
        <color rgb="FF000000"/>
        <rFont val="Calibri"/>
        <family val="2"/>
      </rPr>
      <t>CLASS 3
LEAD WASH
CHECK ECO FOR SEVERAL INDUCTOR ORIENTATIONS
TRIM LEADS - MAX 60 MILS (1.524 MM or 0.06 inches)
"Q3, Q15" REQUIRE SPACERS "A3, A4"
DEPANEL &amp; SAND (Tad Only)</t>
    </r>
  </si>
  <si>
    <t>8/20 - 11:00</t>
  </si>
  <si>
    <t>8/21 - 8:30</t>
  </si>
  <si>
    <t>8/21 - 3:30</t>
  </si>
  <si>
    <t xml:space="preserve">EOI SPACE
</t>
  </si>
  <si>
    <t>DOC REL 7/18</t>
  </si>
  <si>
    <t>7/21</t>
  </si>
  <si>
    <r>
      <t xml:space="preserve">clear 7/30
</t>
    </r>
    <r>
      <rPr>
        <b/>
        <strike/>
        <sz val="11"/>
        <color rgb="FF000000"/>
        <rFont val="Calibri"/>
        <family val="2"/>
      </rPr>
      <t>short, due 7/30 7/29</t>
    </r>
  </si>
  <si>
    <r>
      <t>7/30 - kit clear
7/25 - matl clear
7/23 -</t>
    </r>
    <r>
      <rPr>
        <b/>
        <strike/>
        <sz val="11"/>
        <color rgb="FF000000"/>
        <rFont val="Calibri"/>
        <family val="2"/>
      </rPr>
      <t xml:space="preserve"> short SMT 2x items (high qty); awt part conf 2x itms</t>
    </r>
  </si>
  <si>
    <t>8/6 - panel issues for 9 boards
7/30 - must ship on time (read notes)</t>
  </si>
  <si>
    <t>133493-2
FA
re-run</t>
  </si>
  <si>
    <t>8/25
10D</t>
  </si>
  <si>
    <t>DO NOT LOSE ANY L11
CLASS 3
balance remain 500
LEAD FREE NO CLEAN</t>
  </si>
  <si>
    <t>8/19 - 10:30</t>
  </si>
  <si>
    <t>8/19 - 2:00</t>
  </si>
  <si>
    <t>INFORM TAD WHEN IN SHIPPING</t>
  </si>
  <si>
    <r>
      <t xml:space="preserve">8/4 - kit clear
</t>
    </r>
    <r>
      <rPr>
        <b/>
        <strike/>
        <sz val="11"/>
        <color rgb="FF000000"/>
        <rFont val="Calibri"/>
        <family val="2"/>
      </rPr>
      <t>8/1 - short SMT: 2 pieces (1 board) U4, no ETA</t>
    </r>
  </si>
  <si>
    <t>8/18 - missing 1 bare board
8/1 - SMT top side 1st</t>
  </si>
  <si>
    <t>8/25
15D</t>
  </si>
  <si>
    <r>
      <rPr>
        <b/>
        <sz val="14"/>
        <color rgb="FFFF0000"/>
        <rFont val="Calibri"/>
      </rPr>
      <t>*** WARNING - TEMP NOT TO EXCEED 220</t>
    </r>
    <r>
      <rPr>
        <b/>
        <sz val="11"/>
        <color rgb="FF000000"/>
        <rFont val="Calibri"/>
      </rPr>
      <t xml:space="preserve">C - CAPACITORS </t>
    </r>
    <r>
      <rPr>
        <b/>
        <u/>
        <sz val="11"/>
        <color rgb="FF000000"/>
        <rFont val="Calibri"/>
      </rPr>
      <t>"C139 &amp; RELATED x13" AND "C7 &amp; RELATED x31"</t>
    </r>
    <r>
      <rPr>
        <b/>
        <sz val="11"/>
        <color rgb="FF000000"/>
        <rFont val="Calibri"/>
      </rPr>
      <t xml:space="preserve"> WILL CRACK @ ABOVE 220C - FOLLOW SAME PROFILE AND PROCESS AS LAST TIME (B124127)
</t>
    </r>
    <r>
      <rPr>
        <b/>
        <sz val="14"/>
        <color rgb="FFFF0000"/>
        <rFont val="Calibri"/>
      </rPr>
      <t xml:space="preserve">*** MUST INSPECT EACH LOCATION ABOVE FOR CRACKS/DAMAGE
</t>
    </r>
    <r>
      <rPr>
        <b/>
        <sz val="11"/>
        <color rgb="FF000000"/>
        <rFont val="Calibri"/>
      </rPr>
      <t xml:space="preserve">LEAD PROCESS
"U3" AFTER WASH
"J3 &amp; J11" MAKE SURE TABS ARE FULLY SOLDERED PER ECO
</t>
    </r>
    <r>
      <rPr>
        <b/>
        <strike/>
        <u/>
        <sz val="11"/>
        <color rgb="FF000000"/>
        <rFont val="Calibri"/>
      </rPr>
      <t xml:space="preserve">"C106, 107" STAKE UNDER PER ECO
other Caps req staking (see drawing)
</t>
    </r>
    <r>
      <rPr>
        <b/>
        <sz val="11"/>
        <color rgb="FF000000"/>
        <rFont val="Calibri"/>
      </rPr>
      <t>DEPANEL
dni EPOXY call-out</t>
    </r>
  </si>
  <si>
    <t>8/15 - 10:30</t>
  </si>
  <si>
    <t>8/18 - 7:00</t>
  </si>
  <si>
    <t>dni 1 part
uploaded</t>
  </si>
  <si>
    <r>
      <rPr>
        <b/>
        <sz val="11"/>
        <color rgb="FF000000"/>
        <rFont val="Calibri"/>
        <family val="2"/>
      </rPr>
      <t xml:space="preserve">clear, 7/14
</t>
    </r>
    <r>
      <rPr>
        <b/>
        <strike/>
        <sz val="11"/>
        <color rgb="FF000000"/>
        <rFont val="Calibri"/>
        <family val="2"/>
      </rPr>
      <t>7/1 - received 80 of 130
short, ETA 7/3</t>
    </r>
  </si>
  <si>
    <r>
      <rPr>
        <b/>
        <sz val="11"/>
        <color rgb="FF000000"/>
        <rFont val="Calibri"/>
        <family val="2"/>
      </rPr>
      <t xml:space="preserve">7/14 - kit clear
7/3 - matl clear
7/1 - kit clear (qty 30 of 130)
6/26 - </t>
    </r>
    <r>
      <rPr>
        <b/>
        <strike/>
        <sz val="11"/>
        <color rgb="FF000000"/>
        <rFont val="Calibri"/>
        <family val="2"/>
      </rPr>
      <t>matl clear; 5x line items cust conf (see BOM)</t>
    </r>
  </si>
  <si>
    <t>8/7 - SMT bot complete
7/3 - SMT comp 30 of 80 (ship 30 7/9)</t>
  </si>
  <si>
    <t>133759-3
bal
NEW</t>
  </si>
  <si>
    <t>8/25  30D</t>
  </si>
  <si>
    <r>
      <rPr>
        <b/>
        <sz val="11"/>
        <color rgb="FF782170"/>
        <rFont val="Calibri"/>
        <family val="2"/>
      </rPr>
      <t xml:space="preserve">shipped 60 on 8/11
shipped 30 of 100 on 7/9
100% inspection
AOI, Xray &amp; Save Images Required
100% photos (front/back all)
</t>
    </r>
    <r>
      <rPr>
        <b/>
        <sz val="11"/>
        <color rgb="FF000000"/>
        <rFont val="Calibri"/>
        <family val="2"/>
      </rPr>
      <t xml:space="preserve">"PF1, C789, C83" AFTER WASH
"THPAD1-3" INSTALL PER ECO
DEPANEL
</t>
    </r>
    <r>
      <rPr>
        <b/>
        <u/>
        <sz val="11"/>
        <color rgb="FF000000"/>
        <rFont val="Calibri"/>
        <family val="2"/>
      </rPr>
      <t>waived: RTV &amp; Conformal Coating</t>
    </r>
  </si>
  <si>
    <t>8/7 - 9:00</t>
  </si>
  <si>
    <t>6/26</t>
  </si>
  <si>
    <t>initial
uploaded</t>
  </si>
  <si>
    <r>
      <t xml:space="preserve">clear 8/8
</t>
    </r>
    <r>
      <rPr>
        <b/>
        <strike/>
        <sz val="11"/>
        <color rgb="FF000000"/>
        <rFont val="Calibri"/>
        <family val="2"/>
      </rPr>
      <t>short, due 8/7</t>
    </r>
  </si>
  <si>
    <r>
      <t xml:space="preserve">8/8 - kit clear
8/7 - matl clear
</t>
    </r>
    <r>
      <rPr>
        <b/>
        <strike/>
        <sz val="11"/>
        <color rgb="FF000000"/>
        <rFont val="Calibri"/>
        <family val="2"/>
      </rPr>
      <t>8/4 - SMT matl clear; short 5 pieces of THT J10</t>
    </r>
  </si>
  <si>
    <r>
      <rPr>
        <b/>
        <sz val="11"/>
        <color rgb="FF000000"/>
        <rFont val="Calibri"/>
        <family val="2"/>
      </rPr>
      <t xml:space="preserve">8/12 - </t>
    </r>
    <r>
      <rPr>
        <b/>
        <sz val="11"/>
        <color rgb="FFFF0000"/>
        <rFont val="Calibri"/>
        <family val="2"/>
      </rPr>
      <t xml:space="preserve">awt new fixture
</t>
    </r>
    <r>
      <rPr>
        <b/>
        <sz val="11"/>
        <color rgb="FF000000"/>
        <rFont val="Calibri"/>
        <family val="2"/>
      </rPr>
      <t>8/8 - stencil concerns: date set to 8/25 (Anne)</t>
    </r>
  </si>
  <si>
    <t>134786
NEW</t>
  </si>
  <si>
    <t>8/25
10D*</t>
  </si>
  <si>
    <t>DO NOT SHIP EARLY
LEAD PROCESS
DEPANEL
MAKE SURE BOARDS ARE FREE AND CLEAN OF DUST, DEBRIS ETC</t>
  </si>
  <si>
    <t>8/12 - 3:30</t>
  </si>
  <si>
    <t xml:space="preserve">Royal Circuit Solutions, Inc.
</t>
  </si>
  <si>
    <t>GET TO BACK ASAP</t>
  </si>
  <si>
    <r>
      <rPr>
        <b/>
        <sz val="11"/>
        <color rgb="FF000000"/>
        <rFont val="Calibri"/>
        <family val="2"/>
      </rPr>
      <t xml:space="preserve">8/19 - SMT comp qty 255
</t>
    </r>
    <r>
      <rPr>
        <b/>
        <strike/>
        <sz val="11"/>
        <color rgb="FF000000"/>
        <rFont val="Calibri"/>
        <family val="2"/>
      </rPr>
      <t>8/18 - SMT comp qty 225</t>
    </r>
  </si>
  <si>
    <t>134828
RONC 133149</t>
  </si>
  <si>
    <t>8/25
7D</t>
  </si>
  <si>
    <r>
      <rPr>
        <b/>
        <sz val="11"/>
        <color rgb="FF000000"/>
        <rFont val="Calibri"/>
        <family val="2"/>
      </rPr>
      <t xml:space="preserve">USE PREVIOUS STENCIL B131633
"SW1-SW7" AFTER WASH
"J6" </t>
    </r>
    <r>
      <rPr>
        <b/>
        <u/>
        <sz val="11"/>
        <color rgb="FF000000"/>
        <rFont val="Calibri"/>
        <family val="2"/>
      </rPr>
      <t>DO NOT</t>
    </r>
    <r>
      <rPr>
        <b/>
        <sz val="11"/>
        <color rgb="FF000000"/>
        <rFont val="Calibri"/>
        <family val="2"/>
      </rPr>
      <t xml:space="preserve"> INSTALL WASHER &amp; NUT
DEPANEL</t>
    </r>
  </si>
  <si>
    <t>8/15 - 10:00</t>
  </si>
  <si>
    <t>8/16 - 2:00</t>
  </si>
  <si>
    <t>8/20 - 10:00</t>
  </si>
  <si>
    <t>FEDEX STD</t>
  </si>
  <si>
    <t>DOC REL 8/11</t>
  </si>
  <si>
    <r>
      <t xml:space="preserve">clear 8/19
</t>
    </r>
    <r>
      <rPr>
        <b/>
        <strike/>
        <sz val="11"/>
        <color rgb="FF000000"/>
        <rFont val="Calibri"/>
        <family val="2"/>
      </rPr>
      <t>short, no ETA 8/19</t>
    </r>
  </si>
  <si>
    <r>
      <t xml:space="preserve">8/19 - kit clear
8/18 - matl clear
</t>
    </r>
    <r>
      <rPr>
        <b/>
        <strike/>
        <sz val="11"/>
        <color rgb="FF000000"/>
        <rFont val="Calibri"/>
        <family val="2"/>
      </rPr>
      <t>8/4 - short SMT: U6, no ETA; Short THT J1, no ETA</t>
    </r>
  </si>
  <si>
    <t>134586-FA
NEW</t>
  </si>
  <si>
    <r>
      <rPr>
        <b/>
        <sz val="14"/>
        <color rgb="FF000000"/>
        <rFont val="Calibri"/>
        <family val="2"/>
      </rPr>
      <t xml:space="preserve">8/22
</t>
    </r>
    <r>
      <rPr>
        <b/>
        <sz val="14"/>
        <color rgb="FFFF0000"/>
        <rFont val="Calibri"/>
        <family val="2"/>
      </rPr>
      <t>3D</t>
    </r>
  </si>
  <si>
    <r>
      <rPr>
        <b/>
        <sz val="11"/>
        <color rgb="FF000000"/>
        <rFont val="Calibri"/>
        <family val="2"/>
      </rPr>
      <t xml:space="preserve">balance remaining 130
LEAD PROCESS
AS9102 FAIR REQ
DO NOT SKIP AOI
"LP1" UPDATED TO T/H (FROM SMT) - INSTALL AFTER REFLOW (AT SHIPPING)
"LP1, U17" INSTALL PER ECO
XRAY &amp; SAVE IMAGES
DEPANEL
"J2, J5, J6, J11 and J13" TRIM LEADS 0.05" MAX
</t>
    </r>
    <r>
      <rPr>
        <b/>
        <u/>
        <sz val="11"/>
        <color rgb="FF000000"/>
        <rFont val="Calibri"/>
        <family val="2"/>
      </rPr>
      <t>"C6, C18" EPOXY REQ PER ECO (DP140)</t>
    </r>
  </si>
  <si>
    <t>8/20 - 1:00</t>
  </si>
  <si>
    <t>smt j3 overhangs?</t>
  </si>
  <si>
    <r>
      <t xml:space="preserve">clear 8/19
</t>
    </r>
    <r>
      <rPr>
        <b/>
        <strike/>
        <sz val="11"/>
        <color rgb="FF000000"/>
        <rFont val="Calibri"/>
        <family val="2"/>
      </rPr>
      <t>short, no ETA 8/18</t>
    </r>
  </si>
  <si>
    <t>8/19 - kit clear
8/14 - matl clear</t>
  </si>
  <si>
    <t>134978
NEW</t>
  </si>
  <si>
    <t>DO NOT SKIP PCB PREBAKE
"S3, U1, S1, S2" AFTER WASH
"LCD1" AFTER WASH &amp; REFER TO ECO FOR MOUNTING
DEPANEL
Lead-Free No-Clean</t>
  </si>
  <si>
    <t>8/20 - 8:00</t>
  </si>
  <si>
    <t xml:space="preserve">GPS Networking Inc.
</t>
  </si>
  <si>
    <t>REVIEW BARE BOARDS BEFORE START</t>
  </si>
  <si>
    <t>gerber changes? B134200
uploaded</t>
  </si>
  <si>
    <r>
      <t xml:space="preserve">clear 8/8
</t>
    </r>
    <r>
      <rPr>
        <b/>
        <strike/>
        <sz val="11"/>
        <color rgb="FF000000"/>
        <rFont val="Calibri"/>
        <family val="2"/>
      </rPr>
      <t>short, no ETA</t>
    </r>
  </si>
  <si>
    <r>
      <t xml:space="preserve">8/8 - kit clear
</t>
    </r>
    <r>
      <rPr>
        <b/>
        <strike/>
        <sz val="11"/>
        <color rgb="FF000000"/>
        <rFont val="Calibri"/>
        <family val="2"/>
      </rPr>
      <t>7/28 - short SMT: #45 (Z1..), no ETA
short THT #23 (GND), no ETA</t>
    </r>
  </si>
  <si>
    <r>
      <rPr>
        <b/>
        <sz val="11"/>
        <color rgb="FF000000"/>
        <rFont val="Calibri"/>
        <family val="2"/>
      </rPr>
      <t xml:space="preserve">7/30 - </t>
    </r>
    <r>
      <rPr>
        <b/>
        <sz val="11"/>
        <color rgb="FFFF0000"/>
        <rFont val="Calibri"/>
        <family val="2"/>
      </rPr>
      <t>LT change to 10-day (Anne)</t>
    </r>
  </si>
  <si>
    <t>134708
NEW</t>
  </si>
  <si>
    <r>
      <rPr>
        <b/>
        <sz val="11"/>
        <color rgb="FF000000"/>
        <rFont val="Calibri"/>
        <family val="2"/>
      </rPr>
      <t xml:space="preserve">DO NOT SHIP EARLY
DO NOT SKIP PCB PREBAKE
LEAD FREE WASH
</t>
    </r>
    <r>
      <rPr>
        <b/>
        <u/>
        <sz val="11"/>
        <color rgb="FF000000"/>
        <rFont val="Calibri"/>
        <family val="2"/>
      </rPr>
      <t xml:space="preserve">"Z6, Z18" INSTALL JACK SCREWS PER ECO
</t>
    </r>
    <r>
      <rPr>
        <b/>
        <sz val="11"/>
        <color rgb="FF000000"/>
        <rFont val="Calibri"/>
        <family val="2"/>
      </rPr>
      <t xml:space="preserve">DEPANEL
</t>
    </r>
    <r>
      <rPr>
        <b/>
        <u/>
        <sz val="11"/>
        <color rgb="FF000000"/>
        <rFont val="Calibri"/>
        <family val="2"/>
      </rPr>
      <t>new ECO: install Z13 - Z17 thumbscrew, Z11, z12, z19 &amp; z22 (jack screw/washers)</t>
    </r>
  </si>
  <si>
    <t>8/14 - 12:30</t>
  </si>
  <si>
    <t>CHECK ECO</t>
  </si>
  <si>
    <t>clear</t>
  </si>
  <si>
    <r>
      <t xml:space="preserve">8/20 - KIT CLEAR
</t>
    </r>
    <r>
      <rPr>
        <b/>
        <strike/>
        <sz val="11"/>
        <color rgb="FF000000"/>
        <rFont val="Calibri"/>
        <family val="2"/>
      </rPr>
      <t>8/11 - SMT clear to build 350</t>
    </r>
  </si>
  <si>
    <t>8/11 -shipped 30 boards</t>
  </si>
  <si>
    <t>134634-2nd
2bal
ROWC 1st</t>
  </si>
  <si>
    <t>8/27
5D</t>
  </si>
  <si>
    <t>prev ship qty 20 on 8/15
2nd Article: Balance of qty 350 is ok to run SMT complete. After SMT, install shields on qty 30 only and ship to the customer. Hold balance of qty 320 for customer shield approval.</t>
  </si>
  <si>
    <t>8/12 - 7:30</t>
  </si>
  <si>
    <t>8/12 - 10:30</t>
  </si>
  <si>
    <r>
      <rPr>
        <b/>
        <sz val="11"/>
        <color rgb="FF000000"/>
        <rFont val="Calibri"/>
        <family val="2"/>
      </rPr>
      <t xml:space="preserve">clear 8/18
</t>
    </r>
    <r>
      <rPr>
        <b/>
        <strike/>
        <sz val="11"/>
        <color rgb="FF000000"/>
        <rFont val="Calibri"/>
        <family val="2"/>
      </rPr>
      <t>short, no ETA 8/18</t>
    </r>
  </si>
  <si>
    <t>8/18 - kit clear
8/7 - matl clear</t>
  </si>
  <si>
    <t>8/19 - BUILD &amp; SHIP ALL 15 BOARDS
8/13 - POSS EXPEDITE REQ</t>
  </si>
  <si>
    <t>134592
NEW</t>
  </si>
  <si>
    <r>
      <rPr>
        <b/>
        <sz val="14"/>
        <color rgb="FF000000"/>
        <rFont val="Calibri"/>
        <family val="2"/>
      </rPr>
      <t xml:space="preserve">8/21
</t>
    </r>
    <r>
      <rPr>
        <b/>
        <sz val="14"/>
        <color rgb="FFFF0000"/>
        <rFont val="Calibri"/>
        <family val="2"/>
      </rPr>
      <t>3D</t>
    </r>
  </si>
  <si>
    <r>
      <rPr>
        <b/>
        <sz val="12"/>
        <color rgb="FFFF0000"/>
        <rFont val="Calibri"/>
        <family val="2"/>
      </rPr>
      <t xml:space="preserve">*** HOT! EXPEDITE ***
</t>
    </r>
    <r>
      <rPr>
        <b/>
        <sz val="11"/>
        <color rgb="FF000000"/>
        <rFont val="Calibri"/>
        <family val="2"/>
      </rPr>
      <t>AS9102 FAIR REQ
DO NOT SKIP AOI
XRAY &amp; SAVE IMAGES
DEPANEL</t>
    </r>
  </si>
  <si>
    <t>8/19 - 2:30</t>
  </si>
  <si>
    <t>8/20 - 9:00</t>
  </si>
  <si>
    <r>
      <t xml:space="preserve">clear 8/1
</t>
    </r>
    <r>
      <rPr>
        <b/>
        <strike/>
        <sz val="11"/>
        <color rgb="FF000000"/>
        <rFont val="Calibri"/>
        <family val="2"/>
      </rPr>
      <t>short, due 8/18</t>
    </r>
  </si>
  <si>
    <t>8/19 - run bot 1ST
8/19 - smt comp qty 5
8/13 - day 1 is 8/15 (Anne)</t>
  </si>
  <si>
    <t>134817
ROWC 121693</t>
  </si>
  <si>
    <r>
      <rPr>
        <b/>
        <sz val="11"/>
        <color rgb="FF000000"/>
        <rFont val="Calibri"/>
        <family val="2"/>
      </rPr>
      <t>(</t>
    </r>
    <r>
      <rPr>
        <b/>
        <sz val="11"/>
        <color rgb="FFFF0000"/>
        <rFont val="Calibri"/>
        <family val="2"/>
      </rPr>
      <t>previous run had Via Holes &amp; Reflow issues</t>
    </r>
    <r>
      <rPr>
        <b/>
        <sz val="11"/>
        <color rgb="FF000000"/>
        <rFont val="Calibri"/>
        <family val="2"/>
      </rPr>
      <t>)
LEAD PROCESS
DEPANEL</t>
    </r>
  </si>
  <si>
    <t>ISSUES PREV BUILDS</t>
  </si>
  <si>
    <r>
      <rPr>
        <b/>
        <sz val="11"/>
        <color rgb="FF000000"/>
        <rFont val="Calibri"/>
        <family val="2"/>
      </rPr>
      <t xml:space="preserve">8/14 - skip U22 shortages (Anne) due 8/22+
</t>
    </r>
    <r>
      <rPr>
        <b/>
        <strike/>
        <sz val="11"/>
        <color rgb="FF000000"/>
        <rFont val="Calibri"/>
        <family val="2"/>
      </rPr>
      <t>8/11 - short SMT qty 75 U22
8/6 - short many, due 8/7;
short SMT U22, no ETA</t>
    </r>
  </si>
  <si>
    <t>134814-1
par
NEW</t>
  </si>
  <si>
    <t>8/20
4D</t>
  </si>
  <si>
    <t>balance remaining 3
LEAD PROCESS
DEPANEL</t>
  </si>
  <si>
    <r>
      <t xml:space="preserve">clear 8/15
</t>
    </r>
    <r>
      <rPr>
        <b/>
        <strike/>
        <sz val="11"/>
        <color rgb="FF000000"/>
        <rFont val="Calibri"/>
        <family val="2"/>
      </rPr>
      <t>short, no ETA 8/20 8/11</t>
    </r>
  </si>
  <si>
    <r>
      <t xml:space="preserve">8/15 - kit clear
8/7 - matl clear
</t>
    </r>
    <r>
      <rPr>
        <b/>
        <strike/>
        <sz val="11"/>
        <color rgb="FF000000"/>
        <rFont val="Calibri"/>
        <family val="2"/>
      </rPr>
      <t>7/30 - short THT: #10 (J1), no ETA</t>
    </r>
  </si>
  <si>
    <t>134599-FA
NEW</t>
  </si>
  <si>
    <r>
      <rPr>
        <b/>
        <sz val="14"/>
        <color rgb="FF000000"/>
        <rFont val="Calibri"/>
        <family val="2"/>
      </rPr>
      <t xml:space="preserve">8/20
</t>
    </r>
    <r>
      <rPr>
        <b/>
        <sz val="14"/>
        <color rgb="FFFF0000"/>
        <rFont val="Calibri"/>
        <family val="2"/>
      </rPr>
      <t>3D</t>
    </r>
  </si>
  <si>
    <r>
      <rPr>
        <b/>
        <sz val="12"/>
        <color rgb="FFFF0000"/>
        <rFont val="Calibri"/>
        <family val="2"/>
      </rPr>
      <t xml:space="preserve">*** QUALITY ALERT - PART SWAP LAST BUILD - INCORRECT PARTS AT "J1 &amp; J2" SEE ECO
</t>
    </r>
    <r>
      <rPr>
        <b/>
        <sz val="11"/>
        <color rgb="FF000000"/>
        <rFont val="Calibri"/>
        <family val="2"/>
      </rPr>
      <t xml:space="preserve">balance remaining 130
AS9102 FAIR REQ
LEAD PROCESS
DO NOT SKIP AOI
XRAY &amp; SAVE INAGES
</t>
    </r>
    <r>
      <rPr>
        <b/>
        <u/>
        <sz val="11"/>
        <color rgb="FF000000"/>
        <rFont val="Calibri"/>
        <family val="2"/>
      </rPr>
      <t xml:space="preserve">STAKING REQ
</t>
    </r>
    <r>
      <rPr>
        <b/>
        <sz val="11"/>
        <color rgb="FF000000"/>
        <rFont val="Calibri"/>
        <family val="2"/>
      </rPr>
      <t xml:space="preserve">DEPANEL
</t>
    </r>
    <r>
      <rPr>
        <b/>
        <u/>
        <sz val="11"/>
        <color rgb="FF000000"/>
        <rFont val="Calibri"/>
        <family val="2"/>
      </rPr>
      <t xml:space="preserve">install nuts J1/J2
</t>
    </r>
    <r>
      <rPr>
        <b/>
        <sz val="11"/>
        <color rgb="FF000000"/>
        <rFont val="Calibri"/>
        <family val="2"/>
      </rPr>
      <t>"C7, C8, C11, C14" TRIM LEADS 0.05" MAX
"L3" TRIM 0.07" MAX
J1 = M80-5000000M2-04-PM1-00-000
J2 = M80-5000000M2-04-331-00-000</t>
    </r>
  </si>
  <si>
    <t>f131672</t>
  </si>
  <si>
    <r>
      <t xml:space="preserve">clear 8/15
short, </t>
    </r>
    <r>
      <rPr>
        <b/>
        <strike/>
        <sz val="11"/>
        <color rgb="FF000000"/>
        <rFont val="Calibri"/>
        <family val="2"/>
      </rPr>
      <t xml:space="preserve">no </t>
    </r>
    <r>
      <rPr>
        <b/>
        <sz val="11"/>
        <color rgb="FF000000"/>
        <rFont val="Calibri"/>
        <family val="2"/>
      </rPr>
      <t>ETA 8/14</t>
    </r>
  </si>
  <si>
    <r>
      <t xml:space="preserve">8/15 - kit clear
8/6 - matl clear
</t>
    </r>
    <r>
      <rPr>
        <b/>
        <strike/>
        <sz val="11"/>
        <color rgb="FF000000"/>
        <rFont val="Calibri"/>
        <family val="2"/>
      </rPr>
      <t>7/30 - awt part confirm #8 (U1)</t>
    </r>
  </si>
  <si>
    <t>134588-FA
NEW</t>
  </si>
  <si>
    <r>
      <rPr>
        <b/>
        <sz val="11"/>
        <color rgb="FF000000"/>
        <rFont val="Calibri"/>
        <family val="2"/>
      </rPr>
      <t xml:space="preserve">balance remaining 130
LEAD PROCESS
FAIR REQ
DO NOT SKIP AOI
XRAY &amp; SAVE IMAGES
</t>
    </r>
    <r>
      <rPr>
        <b/>
        <u/>
        <sz val="11"/>
        <color rgb="FF000000"/>
        <rFont val="Calibri"/>
        <family val="2"/>
      </rPr>
      <t xml:space="preserve">"C1, C2, C4, F1, J3, R1, R2, T1"  RTV REQ
</t>
    </r>
    <r>
      <rPr>
        <b/>
        <sz val="11"/>
        <color rgb="FF000000"/>
        <rFont val="Calibri"/>
        <family val="2"/>
      </rPr>
      <t xml:space="preserve">"C1, C2, C4, F1, J3, R1, R2" TRIM LEADS 0.05" MAX 
DEPANEL
</t>
    </r>
    <r>
      <rPr>
        <b/>
        <u/>
        <sz val="14"/>
        <color rgb="FF000000"/>
        <rFont val="Calibri"/>
        <family val="2"/>
      </rPr>
      <t xml:space="preserve">*** QUALITY ALERT - "J1, J2" INSTALL JACK SCREWS - MISSED ON LAST BUILD
</t>
    </r>
    <r>
      <rPr>
        <b/>
        <sz val="14"/>
        <color rgb="FFFF0000"/>
        <rFont val="Calibri"/>
        <family val="2"/>
      </rPr>
      <t>*** SER # S/N 00016 through 00155 (total QTY 140 using variant -101 only)</t>
    </r>
  </si>
  <si>
    <t>DOC REL 7/29</t>
  </si>
  <si>
    <t>7/30</t>
  </si>
  <si>
    <r>
      <t xml:space="preserve">clear 8/6
</t>
    </r>
    <r>
      <rPr>
        <b/>
        <strike/>
        <sz val="11"/>
        <color rgb="FF000000"/>
        <rFont val="Calibri"/>
        <family val="2"/>
      </rPr>
      <t>short, due 8/8 8/5</t>
    </r>
  </si>
  <si>
    <r>
      <t xml:space="preserve">8/14 - kit clear
</t>
    </r>
    <r>
      <rPr>
        <b/>
        <strike/>
        <sz val="11"/>
        <color rgb="FF000000"/>
        <rFont val="Calibri"/>
        <family val="2"/>
      </rPr>
      <t>8/1 - short SMT: R2 (qty 400), due 8/15 8/5</t>
    </r>
  </si>
  <si>
    <t>134648
ROWC 134169</t>
  </si>
  <si>
    <t>8/21
5D</t>
  </si>
  <si>
    <r>
      <rPr>
        <b/>
        <sz val="11"/>
        <color rgb="FF000000"/>
        <rFont val="Calibri"/>
        <family val="2"/>
      </rPr>
      <t xml:space="preserve">"U2, 4, 6, 8" MASK PADS PER ECO
</t>
    </r>
    <r>
      <rPr>
        <b/>
        <sz val="14"/>
        <color rgb="FFFF0000"/>
        <rFont val="Calibri"/>
        <family val="2"/>
      </rPr>
      <t xml:space="preserve">*** KEEP GRID HOLES FREE OF SOLDER
</t>
    </r>
    <r>
      <rPr>
        <b/>
        <sz val="11"/>
        <color rgb="FF000000"/>
        <rFont val="Calibri"/>
        <family val="2"/>
      </rPr>
      <t xml:space="preserve">ENSURE BOARDS ARE FREE &amp; CLEAN OF DEBRISDEPANEL
</t>
    </r>
    <r>
      <rPr>
        <b/>
        <sz val="12"/>
        <color rgb="FFFF0000"/>
        <rFont val="Calibri"/>
        <family val="2"/>
      </rPr>
      <t>"S1 &amp; S1COVER" ARE DNI FOR THIS ORDER ONLY</t>
    </r>
  </si>
  <si>
    <t>8/14 - 2:00</t>
  </si>
  <si>
    <t>DNI shield + shield cover
uploaded</t>
  </si>
  <si>
    <t>clear 8/7</t>
  </si>
  <si>
    <r>
      <t xml:space="preserve">8/14 - kit clear
</t>
    </r>
    <r>
      <rPr>
        <b/>
        <strike/>
        <sz val="11"/>
        <color rgb="FF000000"/>
        <rFont val="Calibri"/>
        <family val="2"/>
      </rPr>
      <t>8/7 - short SMT R2 (qty 400), no ETA 8/14 8/15 &amp; S1 (qty 50), 8/13
short THT, 8/13</t>
    </r>
  </si>
  <si>
    <t>134949
ROWC 134648</t>
  </si>
  <si>
    <r>
      <rPr>
        <b/>
        <sz val="14"/>
        <color rgb="FF000000"/>
        <rFont val="Calibri"/>
        <family val="2"/>
      </rPr>
      <t xml:space="preserve">8/19
</t>
    </r>
    <r>
      <rPr>
        <b/>
        <sz val="14"/>
        <color rgb="FFFF0000"/>
        <rFont val="Calibri"/>
        <family val="2"/>
      </rPr>
      <t>3D</t>
    </r>
  </si>
  <si>
    <t>"R1 x 8" PULL FROM B134648
"U2, 4, 6, 8" MASK PADS PER ECO
*** KEEP GRID HOLES FREE FROM SOLDER (GRID TAPPED ONBOTH SIDES LAST BUILD)
"S1, S1COVER" INSPECT PARTS UNDERNEATH BEFORE INSTALLING COVER
DEPANEL
MAKE SURE BOARDS ARE FREE &amp; CLEAN OF DUST, DEBIS ETC</t>
  </si>
  <si>
    <t>8/15 - 7:30</t>
  </si>
  <si>
    <t>prev job hasn't run yet</t>
  </si>
  <si>
    <t>this job install shield + shield cover</t>
  </si>
  <si>
    <r>
      <t xml:space="preserve">clear 8/11
</t>
    </r>
    <r>
      <rPr>
        <b/>
        <strike/>
        <sz val="11"/>
        <color rgb="FF000000"/>
        <rFont val="Calibri"/>
        <family val="2"/>
      </rPr>
      <t>8/8 - ETA 8/11
short, due 8/8</t>
    </r>
  </si>
  <si>
    <r>
      <t xml:space="preserve">8/12 - kit clear
</t>
    </r>
    <r>
      <rPr>
        <b/>
        <strike/>
        <sz val="11"/>
        <color rgb="FF000000"/>
        <rFont val="Calibri"/>
        <family val="2"/>
      </rPr>
      <t>8/11 - short SMT 8 pcs of U22
8/8 - "U22, 24" PARTIAL SHORT NO ETA
8/6 - Short SMT U4, no ETA
Short many, due 8/11</t>
    </r>
  </si>
  <si>
    <t>8/8 - "U22" OK TO SKIP - DNI shortages (Anne)</t>
  </si>
  <si>
    <t>134583
NEW</t>
  </si>
  <si>
    <t>8/19
5D</t>
  </si>
  <si>
    <r>
      <rPr>
        <b/>
        <sz val="11"/>
        <color rgb="FF000000"/>
        <rFont val="Calibri"/>
        <family val="2"/>
      </rPr>
      <t xml:space="preserve">"U13, U4, U5, HW9, HW10, HW1 x8" AFTER WASH
</t>
    </r>
    <r>
      <rPr>
        <b/>
        <sz val="12"/>
        <color rgb="FFFF0000"/>
        <rFont val="Calibri"/>
        <family val="2"/>
      </rPr>
      <t xml:space="preserve">*** "L2" COIL IS EASY TO DAMAGE - READ ECO
</t>
    </r>
    <r>
      <rPr>
        <b/>
        <sz val="11"/>
        <color rgb="FF000000"/>
        <rFont val="Calibri"/>
        <family val="2"/>
      </rPr>
      <t>DEPANEL
BTD U22</t>
    </r>
  </si>
  <si>
    <t>8/13 - 9:30</t>
  </si>
  <si>
    <t>8/13 - 11:30</t>
  </si>
  <si>
    <t>CONFIRM ROBERT #43</t>
  </si>
  <si>
    <r>
      <t xml:space="preserve">clear 8/6
</t>
    </r>
    <r>
      <rPr>
        <b/>
        <strike/>
        <sz val="11"/>
        <color rgb="FF000000"/>
        <rFont val="Calibri"/>
        <family val="2"/>
      </rPr>
      <t>short, due 8/11</t>
    </r>
  </si>
  <si>
    <r>
      <t xml:space="preserve">8/6 - kit clear
</t>
    </r>
    <r>
      <rPr>
        <b/>
        <strike/>
        <sz val="11"/>
        <color rgb="FF000000"/>
        <rFont val="Calibri"/>
        <family val="2"/>
      </rPr>
      <t>7/25 - short 6 line items (SMT &amp; THT), no ETA</t>
    </r>
  </si>
  <si>
    <t>8/13 - ship partial qty 49
8/7 - 6 of 55 exposed copper boards</t>
  </si>
  <si>
    <t>133576-1
par
NEW</t>
  </si>
  <si>
    <r>
      <rPr>
        <b/>
        <sz val="11"/>
        <color rgb="FF000000"/>
        <rFont val="Calibri"/>
        <family val="2"/>
      </rPr>
      <t xml:space="preserve">CLASS 3
balance qty 6
"SW1" AFTER WASH
"PA, PB, PC" PRESS FIT
</t>
    </r>
    <r>
      <rPr>
        <b/>
        <u/>
        <sz val="11"/>
        <color rgb="FF000000"/>
        <rFont val="Calibri"/>
        <family val="2"/>
      </rPr>
      <t xml:space="preserve">"LP_A, LP_B" INSTALL PER ECO
</t>
    </r>
    <r>
      <rPr>
        <b/>
        <sz val="11"/>
        <color rgb="FF000000"/>
        <rFont val="Calibri"/>
        <family val="2"/>
      </rPr>
      <t>"SFP1, SFP2, U6, U7" INSTALL PER ECO - press fit corners PER ECO
"XA1" NYLON standoff REQ PER ECO
"A2" = B133581 DAUGHER BOARD</t>
    </r>
  </si>
  <si>
    <t>8/14 - 5:00</t>
  </si>
  <si>
    <t>8/14 - 2:30</t>
  </si>
  <si>
    <r>
      <rPr>
        <b/>
        <sz val="11"/>
        <color rgb="FF000000"/>
        <rFont val="Calibri"/>
        <family val="2"/>
      </rPr>
      <t xml:space="preserve">FEDEX </t>
    </r>
    <r>
      <rPr>
        <b/>
        <strike/>
        <sz val="11"/>
        <color rgb="FF000000"/>
        <rFont val="Calibri"/>
        <family val="2"/>
      </rPr>
      <t xml:space="preserve">GRD
</t>
    </r>
    <r>
      <rPr>
        <b/>
        <sz val="11"/>
        <color rgb="FF000000"/>
        <rFont val="Calibri"/>
        <family val="2"/>
      </rPr>
      <t>P1</t>
    </r>
  </si>
  <si>
    <r>
      <t xml:space="preserve">clear 8/5
</t>
    </r>
    <r>
      <rPr>
        <b/>
        <strike/>
        <sz val="11"/>
        <color rgb="FF000000"/>
        <rFont val="Calibri"/>
        <family val="2"/>
      </rPr>
      <t>short, no ETA 8/12</t>
    </r>
  </si>
  <si>
    <r>
      <t xml:space="preserve">8/5 - kit clear
7/22 - matl clear
7/18 - </t>
    </r>
    <r>
      <rPr>
        <b/>
        <strike/>
        <sz val="11"/>
        <color rgb="FF000000"/>
        <rFont val="Calibri"/>
        <family val="2"/>
      </rPr>
      <t>short SMT: U1 &amp; U2 (qty 40/each, no ETA 7/22)</t>
    </r>
  </si>
  <si>
    <t>131526
RONC 123005</t>
  </si>
  <si>
    <t>8/19
10D</t>
  </si>
  <si>
    <t>NO CLEAN
DEPANEL</t>
  </si>
  <si>
    <t>8/12 - 6:00</t>
  </si>
  <si>
    <t xml:space="preserve">BIOMEME INC
</t>
  </si>
  <si>
    <t>flex board</t>
  </si>
  <si>
    <t>BAG 
alta stand printed</t>
  </si>
  <si>
    <r>
      <t xml:space="preserve">clear 8/5
</t>
    </r>
    <r>
      <rPr>
        <b/>
        <strike/>
        <sz val="11"/>
        <color rgb="FF000000"/>
        <rFont val="Calibri"/>
        <family val="2"/>
      </rPr>
      <t>short, no ETA 8/11</t>
    </r>
  </si>
  <si>
    <t>8/5 - kit clear
7/28 - matl clear</t>
  </si>
  <si>
    <t>134747
ROWC 128290</t>
  </si>
  <si>
    <t>DEPANEL
LEAD WASH</t>
  </si>
  <si>
    <t>8/12 - 2:00</t>
  </si>
  <si>
    <t>HOSE MONSTER</t>
  </si>
  <si>
    <r>
      <t xml:space="preserve">clear 7/25
</t>
    </r>
    <r>
      <rPr>
        <b/>
        <strike/>
        <sz val="11"/>
        <color rgb="FF000000"/>
        <rFont val="Calibri"/>
        <family val="2"/>
      </rPr>
      <t>short, no ETA 7/24 7/22</t>
    </r>
  </si>
  <si>
    <r>
      <t xml:space="preserve">7/25 - kit clear
7/25 - off ship hold
7/23 - </t>
    </r>
    <r>
      <rPr>
        <b/>
        <strike/>
        <sz val="11"/>
        <color rgb="FF000000"/>
        <rFont val="Calibri"/>
        <family val="2"/>
      </rPr>
      <t xml:space="preserve">On hold per customer
</t>
    </r>
    <r>
      <rPr>
        <b/>
        <sz val="11"/>
        <color rgb="FF000000"/>
        <rFont val="Calibri"/>
        <family val="2"/>
      </rPr>
      <t>7/21 - i</t>
    </r>
    <r>
      <rPr>
        <b/>
        <strike/>
        <sz val="11"/>
        <color rgb="FF000000"/>
        <rFont val="Calibri"/>
        <family val="2"/>
      </rPr>
      <t xml:space="preserve">nstall #14 (A1_JB), matl clear
7/16 - matl clear
7/3 - short A1_JB (THT) ETA 7/17 . SMT 2x line items (high qty), THT 2x line items, no ETA </t>
    </r>
  </si>
  <si>
    <r>
      <rPr>
        <b/>
        <sz val="11"/>
        <color rgb="FF000000"/>
        <rFont val="Calibri"/>
        <family val="2"/>
      </rPr>
      <t xml:space="preserve">8/15 - cust approved
7/30 - </t>
    </r>
    <r>
      <rPr>
        <b/>
        <sz val="11"/>
        <color rgb="FFFF0000"/>
        <rFont val="Calibri"/>
        <family val="2"/>
      </rPr>
      <t>press fit issue (HOLD)</t>
    </r>
  </si>
  <si>
    <t>133583-2
bal
ROWC 133072</t>
  </si>
  <si>
    <r>
      <t xml:space="preserve">8/18
</t>
    </r>
    <r>
      <rPr>
        <b/>
        <strike/>
        <sz val="14"/>
        <color rgb="FF000000"/>
        <rFont val="Calibri"/>
        <family val="2"/>
      </rPr>
      <t xml:space="preserve">7/30
</t>
    </r>
    <r>
      <rPr>
        <b/>
        <sz val="14"/>
        <color rgb="FF000000"/>
        <rFont val="Calibri"/>
        <family val="2"/>
      </rPr>
      <t>3D</t>
    </r>
  </si>
  <si>
    <r>
      <rPr>
        <b/>
        <sz val="12"/>
        <color rgb="FFFF0000"/>
        <rFont val="Calibri"/>
        <family val="2"/>
      </rPr>
      <t xml:space="preserve">*** QUALITY ALERT - CUST REPORTED POSSIBLE TRACE CRAKING FROM PRESS FIT OR MAYBE A DESIGN ISSUE - USE CAUTION FOR PRESS FIT AND TORQUING HARDWARE ***
</t>
    </r>
    <r>
      <rPr>
        <b/>
        <sz val="11"/>
        <color rgb="FF000000"/>
        <rFont val="Calibri"/>
        <family val="2"/>
      </rPr>
      <t xml:space="preserve">CLASS 3
"A7_JAx25" PRESS FIT
</t>
    </r>
    <r>
      <rPr>
        <b/>
        <u/>
        <sz val="11"/>
        <color rgb="FF000000"/>
        <rFont val="Calibri"/>
        <family val="2"/>
      </rPr>
      <t xml:space="preserve">HARDWARE &amp; TORQUING REQ (see Robert before Torque)
</t>
    </r>
    <r>
      <rPr>
        <b/>
        <sz val="11"/>
        <color rgb="FF000000"/>
        <rFont val="Calibri"/>
        <family val="2"/>
      </rPr>
      <t xml:space="preserve">DEPANEL
prev build: trim leads A1 thru A6
</t>
    </r>
    <r>
      <rPr>
        <b/>
        <strike/>
        <sz val="11"/>
        <color rgb="FF000000"/>
        <rFont val="Calibri"/>
        <family val="2"/>
      </rPr>
      <t>dni #14 (A1_JB)</t>
    </r>
  </si>
  <si>
    <t>7/28 - AOI</t>
  </si>
  <si>
    <t>DOC REL 7/2</t>
  </si>
  <si>
    <t>7/3</t>
  </si>
  <si>
    <t>trim &amp; 100% photos</t>
  </si>
  <si>
    <t>8/11 - SMT clear to build 350</t>
  </si>
  <si>
    <t>8/11 - ship only 30 w/ shields</t>
  </si>
  <si>
    <t>134634-2nd
1par
ROWC 1st</t>
  </si>
  <si>
    <t>balance remaining qty 330
2nd Article: Balance of qty 350 is ok to run SMT complete. After SMT, install shields on qty 30 only and ship to the customer. Hold balance of qty 320 for customer shield approval.</t>
  </si>
  <si>
    <t>eco completed</t>
  </si>
  <si>
    <t>8/1 - kit clear</t>
  </si>
  <si>
    <t>8/5 - wait Tad/Anne update before build more
8/8 - shipped 5 BOARDS ONLY</t>
  </si>
  <si>
    <t>132312-2nd
2par
RONC 1st Article</t>
  </si>
  <si>
    <r>
      <rPr>
        <b/>
        <sz val="14"/>
        <color rgb="FF000000"/>
        <rFont val="Calibri"/>
        <family val="2"/>
      </rPr>
      <t>8/15</t>
    </r>
    <r>
      <rPr>
        <b/>
        <sz val="14"/>
        <color rgb="FFFF0000"/>
        <rFont val="Calibri"/>
        <family val="2"/>
      </rPr>
      <t xml:space="preserve">*
</t>
    </r>
    <r>
      <rPr>
        <b/>
        <sz val="14"/>
        <color rgb="FF000000"/>
        <rFont val="Calibri"/>
        <family val="2"/>
      </rPr>
      <t>5D</t>
    </r>
  </si>
  <si>
    <r>
      <rPr>
        <b/>
        <sz val="14"/>
        <color rgb="FFFF0000"/>
        <rFont val="Calibri"/>
        <family val="2"/>
      </rPr>
      <t xml:space="preserve">*** DO NOT SHIP EARLY ***
*** </t>
    </r>
    <r>
      <rPr>
        <b/>
        <u/>
        <sz val="14"/>
        <color rgb="FFFF0000"/>
        <rFont val="Calibri"/>
        <family val="2"/>
      </rPr>
      <t xml:space="preserve">QUALITY ALERT!!! - CHECK ALL LED'S - CUST FOUND LEDS NOT WORKING DUE TO SHORTS @ "U18 &amp; U24"
</t>
    </r>
    <r>
      <rPr>
        <b/>
        <sz val="11"/>
        <color rgb="FF000000"/>
        <rFont val="Calibri"/>
        <family val="2"/>
      </rPr>
      <t>balance remaining 440
#10 (D1) &amp; #13 (U1) share B132314
DO NOT SKIP AOI
MAKE SURE BOARDS ARE FREE AND CLEAN OF FLUX &amp; DEBRIS
ADD REV
CofC Requires Serial Numbers</t>
    </r>
  </si>
  <si>
    <t xml:space="preserve">Cogmedix, Inc.
</t>
  </si>
  <si>
    <t>DOC REL 6/24</t>
  </si>
  <si>
    <t>2550 EXPEDITE FEE FOR PARTIAL</t>
  </si>
  <si>
    <t>132314-2nd
2par
RONC 1st Article</t>
  </si>
  <si>
    <r>
      <rPr>
        <b/>
        <sz val="14"/>
        <color rgb="FFFF0000"/>
        <rFont val="Calibri"/>
        <family val="2"/>
      </rPr>
      <t xml:space="preserve">*** DO NOT SHIP EARLY ***
*** </t>
    </r>
    <r>
      <rPr>
        <b/>
        <u/>
        <sz val="14"/>
        <color rgb="FFFF0000"/>
        <rFont val="Calibri"/>
        <family val="2"/>
      </rPr>
      <t xml:space="preserve">QUALITY ALERT!!! - CHECK ALL LED'S - CUST FOUND LEDS NOT WORKING DUE TO SHORTS @ "U18 &amp; U24"
</t>
    </r>
    <r>
      <rPr>
        <b/>
        <sz val="11"/>
        <color rgb="FF000000"/>
        <rFont val="Calibri"/>
        <family val="2"/>
      </rPr>
      <t>balance remaining 660
#9 (D1) &amp; #12 (U1) share B132312
"D1x64" CHECK POLARITY PER ECO #2
DO NOT SKIP AOI
DEPANEL &amp; SAND
ADD SER #S TO CofC
ADD REV TO THE PCB</t>
    </r>
  </si>
  <si>
    <t>8/11 - 10:00</t>
  </si>
  <si>
    <t>8/11 - 3:30</t>
  </si>
  <si>
    <t>2250 EXPEDITE FEE FOR PARTIAL</t>
  </si>
  <si>
    <r>
      <t xml:space="preserve">clear 8/12
</t>
    </r>
    <r>
      <rPr>
        <b/>
        <strike/>
        <sz val="11"/>
        <color rgb="FF000000"/>
        <rFont val="Calibri"/>
        <family val="2"/>
      </rPr>
      <t>short, due 8/12</t>
    </r>
  </si>
  <si>
    <t>8/12 - kit clear
8/6 - matl clear</t>
  </si>
  <si>
    <t>134590
RONC 133342</t>
  </si>
  <si>
    <r>
      <rPr>
        <b/>
        <sz val="14"/>
        <color rgb="FF000000"/>
        <rFont val="Calibri"/>
        <family val="2"/>
      </rPr>
      <t xml:space="preserve">8/15
</t>
    </r>
    <r>
      <rPr>
        <b/>
        <sz val="14"/>
        <color rgb="FFFF0000"/>
        <rFont val="Calibri"/>
        <family val="2"/>
      </rPr>
      <t>3D</t>
    </r>
  </si>
  <si>
    <r>
      <rPr>
        <b/>
        <sz val="12"/>
        <color rgb="FFFF0000"/>
        <rFont val="Calibri"/>
        <family val="2"/>
      </rPr>
      <t xml:space="preserve">*** THIS BOARD GETS SOLDERED TO B134591 AT T/H
</t>
    </r>
    <r>
      <rPr>
        <b/>
        <sz val="11"/>
        <color rgb="FF000000"/>
        <rFont val="Calibri"/>
        <family val="2"/>
      </rPr>
      <t>CLASS 3
*** "U1" HAS OPTICAL LENS - HANDLE WITH CARE - SEE ECO
DEPANEL &amp; SAND</t>
    </r>
  </si>
  <si>
    <t>8/13 - 1:00</t>
  </si>
  <si>
    <t>8/13 - 2:30</t>
  </si>
  <si>
    <t>PREVIOUS BUILD PCB HOLES UNDERSIZED</t>
  </si>
  <si>
    <t>bag
alta stand printed</t>
  </si>
  <si>
    <t>134591
RONC 133634</t>
  </si>
  <si>
    <r>
      <rPr>
        <b/>
        <sz val="12"/>
        <color rgb="FFFF0000"/>
        <rFont val="Calibri"/>
        <family val="2"/>
      </rPr>
      <t xml:space="preserve">*** THIS BOARD GETS SOLDERED TO B134950 AT T/H
</t>
    </r>
    <r>
      <rPr>
        <b/>
        <sz val="11"/>
        <color rgb="FF000000"/>
        <rFont val="Calibri"/>
        <family val="2"/>
      </rPr>
      <t>CLASS 3
"H1, H2" NAILS - INSTALL ROM TOP PER ECO
DEPANEL &amp; SAND</t>
    </r>
  </si>
  <si>
    <t>NON-
STANDARD PACKOUT.  DO NOT LABEL</t>
  </si>
  <si>
    <t>do not label</t>
  </si>
  <si>
    <t>clear 7/23</t>
  </si>
  <si>
    <r>
      <t xml:space="preserve">7/25 - kit clear
</t>
    </r>
    <r>
      <rPr>
        <b/>
        <strike/>
        <sz val="11"/>
        <color rgb="FF000000"/>
        <rFont val="Calibri"/>
        <family val="2"/>
      </rPr>
      <t xml:space="preserve">7/24 - short SMT: 19 pieces U4 (1/per) due 7/25
</t>
    </r>
    <r>
      <rPr>
        <b/>
        <sz val="11"/>
        <color rgb="FF000000"/>
        <rFont val="Calibri"/>
        <family val="2"/>
      </rPr>
      <t xml:space="preserve">7/23 - </t>
    </r>
    <r>
      <rPr>
        <b/>
        <strike/>
        <sz val="11"/>
        <color rgb="FF000000"/>
        <rFont val="Calibri"/>
        <family val="2"/>
      </rPr>
      <t>short SMT 2x line items (high qty), no ETA</t>
    </r>
  </si>
  <si>
    <t>8/11 - awt stencil
7/24 - ok to skip U4 shortage</t>
  </si>
  <si>
    <t>133613
NEW</t>
  </si>
  <si>
    <t>8/15
15D</t>
  </si>
  <si>
    <t>CLASS 3
LEAD FREE NO CLEAN</t>
  </si>
  <si>
    <t>8/12 - 10:00</t>
  </si>
  <si>
    <t>8/13 - 7:00</t>
  </si>
  <si>
    <r>
      <rPr>
        <b/>
        <sz val="11"/>
        <color rgb="FF000000"/>
        <rFont val="Calibri"/>
        <family val="2"/>
      </rPr>
      <t xml:space="preserve">clear 8/8
</t>
    </r>
    <r>
      <rPr>
        <b/>
        <strike/>
        <sz val="11"/>
        <color rgb="FF000000"/>
        <rFont val="Calibri"/>
        <family val="2"/>
      </rPr>
      <t>short, due 8/8</t>
    </r>
  </si>
  <si>
    <r>
      <rPr>
        <b/>
        <sz val="11"/>
        <color rgb="FF000000"/>
        <rFont val="Calibri"/>
        <family val="2"/>
      </rPr>
      <t xml:space="preserve">8/8 - kit clear
</t>
    </r>
    <r>
      <rPr>
        <b/>
        <strike/>
        <sz val="11"/>
        <color rgb="FF000000"/>
        <rFont val="Calibri"/>
        <family val="2"/>
      </rPr>
      <t>8/6 - short THT MECH1, no ETA</t>
    </r>
  </si>
  <si>
    <r>
      <rPr>
        <b/>
        <sz val="11"/>
        <color rgb="FF000000"/>
        <rFont val="Calibri"/>
        <family val="2"/>
      </rPr>
      <t>8/12 -</t>
    </r>
    <r>
      <rPr>
        <b/>
        <sz val="11"/>
        <color rgb="FFFF0000"/>
        <rFont val="Calibri"/>
        <family val="2"/>
      </rPr>
      <t xml:space="preserve"> awt new stencil</t>
    </r>
  </si>
  <si>
    <t>134535
ROWC 134451</t>
  </si>
  <si>
    <t>8/15
5D</t>
  </si>
  <si>
    <r>
      <rPr>
        <b/>
        <sz val="11"/>
        <color rgb="FF000000"/>
        <rFont val="Calibri"/>
        <family val="2"/>
      </rPr>
      <t xml:space="preserve">CLASS 3
LEAD PROCESS
</t>
    </r>
    <r>
      <rPr>
        <b/>
        <sz val="12"/>
        <color rgb="FFFF0000"/>
        <rFont val="Calibri"/>
        <family val="2"/>
      </rPr>
      <t xml:space="preserve">*** "C2, C26, C28, C31" ARE 1210 PART ON 1206 PAD - NOTIFY CUST IF ANY FIT ISSUES
</t>
    </r>
    <r>
      <rPr>
        <b/>
        <sz val="11"/>
        <color rgb="FF000000"/>
        <rFont val="Calibri"/>
        <family val="2"/>
      </rPr>
      <t>"MECH1, 2, 3, 4" INSTALL PER ECO</t>
    </r>
  </si>
  <si>
    <t>8/12 - 9:30</t>
  </si>
  <si>
    <t>bag, ECO label completed</t>
  </si>
  <si>
    <t>ref name change
uploaded</t>
  </si>
  <si>
    <r>
      <rPr>
        <b/>
        <sz val="11"/>
        <color rgb="FF000000"/>
        <rFont val="Calibri"/>
        <family val="2"/>
      </rPr>
      <t xml:space="preserve">clear 8/7
</t>
    </r>
    <r>
      <rPr>
        <b/>
        <strike/>
        <sz val="11"/>
        <color rgb="FF000000"/>
        <rFont val="Calibri"/>
        <family val="2"/>
      </rPr>
      <t>short, due 8/8</t>
    </r>
  </si>
  <si>
    <r>
      <t xml:space="preserve">8/7 - kit clear
</t>
    </r>
    <r>
      <rPr>
        <b/>
        <strike/>
        <sz val="11"/>
        <color rgb="FF000000"/>
        <rFont val="Calibri"/>
        <family val="2"/>
      </rPr>
      <t>8/5 - short SMT FL3 &amp; R1, no ETA</t>
    </r>
  </si>
  <si>
    <t>133880
NEW</t>
  </si>
  <si>
    <t>8/14
5D</t>
  </si>
  <si>
    <t>CLASS 3
LEAD PROCESS
PART HEIGHT REQUIREMENT PER ECO
DEPANEL</t>
  </si>
  <si>
    <t>WABTEC</t>
  </si>
  <si>
    <t>printed. label on bag</t>
  </si>
  <si>
    <r>
      <t xml:space="preserve">clear 8/7
</t>
    </r>
    <r>
      <rPr>
        <b/>
        <strike/>
        <sz val="11"/>
        <color rgb="FF000000"/>
        <rFont val="Calibri"/>
        <family val="2"/>
      </rPr>
      <t>short, no ETA 8/14</t>
    </r>
  </si>
  <si>
    <r>
      <t xml:space="preserve">8/11 - kit clear
</t>
    </r>
    <r>
      <rPr>
        <b/>
        <strike/>
        <sz val="11"/>
        <color rgb="FF000000"/>
        <rFont val="Calibri"/>
        <family val="2"/>
      </rPr>
      <t>8/7 - SMT clear; short EPOXY
7/30 - short THT: 3x, no ETA</t>
    </r>
  </si>
  <si>
    <t>134589-FA
NEW</t>
  </si>
  <si>
    <r>
      <rPr>
        <b/>
        <sz val="14"/>
        <color rgb="FF000000"/>
        <rFont val="Calibri"/>
        <family val="2"/>
      </rPr>
      <t xml:space="preserve">8/14
</t>
    </r>
    <r>
      <rPr>
        <b/>
        <sz val="14"/>
        <color rgb="FFFF0000"/>
        <rFont val="Calibri"/>
        <family val="2"/>
      </rPr>
      <t>3D</t>
    </r>
  </si>
  <si>
    <r>
      <rPr>
        <b/>
        <sz val="11"/>
        <color rgb="FF000000"/>
        <rFont val="Calibri"/>
        <family val="2"/>
      </rPr>
      <t xml:space="preserve">AS9102 FAIR REQ
LEAD PROCESS
DO NOT SKIP AOI
XRAY &amp; SAVE INAGES
</t>
    </r>
    <r>
      <rPr>
        <b/>
        <u/>
        <sz val="11"/>
        <color rgb="FF000000"/>
        <rFont val="Calibri"/>
        <family val="2"/>
      </rPr>
      <t xml:space="preserve">STAKING REQ: C1,C2,C6,F1,L1,U1,L3
</t>
    </r>
    <r>
      <rPr>
        <b/>
        <sz val="11"/>
        <color rgb="FF000000"/>
        <rFont val="Calibri"/>
        <family val="2"/>
      </rPr>
      <t>DEPANEL
"C1, C2, C6, F1, L1, U1" TRIM LEADS 0.05" MAX
"L3" TRIM 0.07" MAX</t>
    </r>
  </si>
  <si>
    <r>
      <t xml:space="preserve">clear 7/31
</t>
    </r>
    <r>
      <rPr>
        <b/>
        <strike/>
        <sz val="11"/>
        <color rgb="FF000000"/>
        <rFont val="Calibri"/>
        <family val="2"/>
      </rPr>
      <t>short, no ETA 7/31</t>
    </r>
  </si>
  <si>
    <t>7/31 - kit clear
7/18 - matl clear</t>
  </si>
  <si>
    <r>
      <rPr>
        <b/>
        <sz val="11"/>
        <color rgb="FF000000"/>
        <rFont val="Calibri"/>
        <family val="2"/>
      </rPr>
      <t xml:space="preserve">8/12 - </t>
    </r>
    <r>
      <rPr>
        <b/>
        <sz val="11"/>
        <color rgb="FFFF0000"/>
        <rFont val="Calibri"/>
        <family val="2"/>
      </rPr>
      <t>cables need built</t>
    </r>
  </si>
  <si>
    <t>131531
RONC 123004</t>
  </si>
  <si>
    <t>8/14
10D</t>
  </si>
  <si>
    <t>stencil requirements (ECO #2)
Install specified length wires &amp; connectors to board (ECO #4) &amp; tape with polymide
depanel
Part to be clean and free from all oil, dirt, dust and debris</t>
  </si>
  <si>
    <t>clear 8/6</t>
  </si>
  <si>
    <t>8/6 - kit clear</t>
  </si>
  <si>
    <t>8/7 - day 1 is 8/8</t>
  </si>
  <si>
    <t>134684
RONC 129508</t>
  </si>
  <si>
    <t>NO ECO NOTES</t>
  </si>
  <si>
    <t>Indy Audio Labs</t>
  </si>
  <si>
    <r>
      <t xml:space="preserve">clear 7/29
</t>
    </r>
    <r>
      <rPr>
        <b/>
        <strike/>
        <sz val="11"/>
        <color rgb="FF000000"/>
        <rFont val="Calibri"/>
        <family val="2"/>
      </rPr>
      <t>short, no ETA 8/11</t>
    </r>
  </si>
  <si>
    <t>7/29 - kit clear
7/23 - matl clear</t>
  </si>
  <si>
    <t>7/30 - THT ONLY PER ROBERT</t>
  </si>
  <si>
    <t>134484
NEW</t>
  </si>
  <si>
    <t>8/19
15D</t>
  </si>
  <si>
    <t>THT ONLY - PER ROBERT
DEPANEL
LEAD FREE PROCESS
MUST PREBAKE PCB'S
*** "J1, J2" NO SOLDER PASTE OR SOLDER ALLOWED INSIDE THE BARREL
REMOVE ALL FLUX RESIDUE PER ECO #5
DEPANEL</t>
  </si>
  <si>
    <r>
      <t xml:space="preserve">clear 7/31
</t>
    </r>
    <r>
      <rPr>
        <b/>
        <strike/>
        <sz val="11"/>
        <color rgb="FF000000"/>
        <rFont val="Calibri"/>
        <family val="2"/>
      </rPr>
      <t>short, no ETA 7/30 7/28</t>
    </r>
  </si>
  <si>
    <r>
      <t xml:space="preserve">7/31 - kit clear
</t>
    </r>
    <r>
      <rPr>
        <b/>
        <strike/>
        <sz val="11"/>
        <color rgb="FF000000"/>
        <rFont val="Calibri"/>
        <family val="2"/>
      </rPr>
      <t>7/22 - Short SMT: U2 (no ETA) &amp; R6 (8/1), no ETA 7/28</t>
    </r>
  </si>
  <si>
    <t>tuan</t>
  </si>
  <si>
    <t>131529
RONC 123006</t>
  </si>
  <si>
    <t>TRUE NO CLEAN
DO NOT SKIP AOI
DEPANEL
FAIR REQ</t>
  </si>
  <si>
    <t>CHECK STENCIL</t>
  </si>
  <si>
    <r>
      <t xml:space="preserve">clear 7/30
</t>
    </r>
    <r>
      <rPr>
        <b/>
        <strike/>
        <sz val="11"/>
        <color rgb="FF000000"/>
        <rFont val="Calibri"/>
        <family val="2"/>
      </rPr>
      <t>short, no ETA 8/8</t>
    </r>
  </si>
  <si>
    <t>7/30 - kit clear
7/25 - matl clear</t>
  </si>
  <si>
    <t>134612
ROWC 127466</t>
  </si>
  <si>
    <t>8/13
10D</t>
  </si>
  <si>
    <t>lead-free clean
Hand clean S1 - S4 w/ alcohol
depanel</t>
  </si>
  <si>
    <t>HERMEUS</t>
  </si>
  <si>
    <t>re-run</t>
  </si>
  <si>
    <r>
      <t xml:space="preserve">clear 7/30
</t>
    </r>
    <r>
      <rPr>
        <b/>
        <strike/>
        <sz val="11"/>
        <color theme="4" tint="-0.249977111117893"/>
        <rFont val="Calibri"/>
        <family val="2"/>
      </rPr>
      <t>short, due 7/30 7/29</t>
    </r>
  </si>
  <si>
    <r>
      <t>7/30 - kit clear
7/25 - matl clear
7/23 -</t>
    </r>
    <r>
      <rPr>
        <b/>
        <strike/>
        <sz val="11"/>
        <color theme="4" tint="-0.249977111117893"/>
        <rFont val="Calibri"/>
        <family val="2"/>
      </rPr>
      <t xml:space="preserve"> short SMT 2x items (high qty); awt part conf 2x itms</t>
    </r>
  </si>
  <si>
    <r>
      <rPr>
        <b/>
        <sz val="11"/>
        <color rgb="FF000000"/>
        <rFont val="Calibri"/>
        <family val="2"/>
      </rPr>
      <t xml:space="preserve">8/6 - </t>
    </r>
    <r>
      <rPr>
        <b/>
        <sz val="11"/>
        <color rgb="FFFF0000"/>
        <rFont val="Calibri"/>
        <family val="2"/>
      </rPr>
      <t xml:space="preserve">panel issues for 9 boards
</t>
    </r>
    <r>
      <rPr>
        <b/>
        <sz val="11"/>
        <color rgb="FF000000"/>
        <rFont val="Calibri"/>
        <family val="2"/>
      </rPr>
      <t>7/30 - must ship on time (read notes)</t>
    </r>
  </si>
  <si>
    <t>133493-2
FA
NEW</t>
  </si>
  <si>
    <r>
      <rPr>
        <b/>
        <sz val="14"/>
        <color rgb="FF104861"/>
        <rFont val="Calibri"/>
        <family val="2"/>
      </rPr>
      <t xml:space="preserve">???
</t>
    </r>
    <r>
      <rPr>
        <b/>
        <strike/>
        <sz val="14"/>
        <color rgb="FF104861"/>
        <rFont val="Calibri"/>
        <family val="2"/>
      </rPr>
      <t xml:space="preserve">8/6
</t>
    </r>
    <r>
      <rPr>
        <b/>
        <sz val="14"/>
        <color rgb="FF104861"/>
        <rFont val="Calibri"/>
        <family val="2"/>
      </rPr>
      <t xml:space="preserve">5D
</t>
    </r>
    <r>
      <rPr>
        <b/>
        <strike/>
        <sz val="14"/>
        <color rgb="FF104861"/>
        <rFont val="Calibri"/>
        <family val="2"/>
      </rPr>
      <t>10D</t>
    </r>
  </si>
  <si>
    <t>7/31 - 1:30</t>
  </si>
  <si>
    <t>8/1 - 4:30</t>
  </si>
  <si>
    <t>8/2 - 1:30</t>
  </si>
  <si>
    <r>
      <t xml:space="preserve">clear 7/30
</t>
    </r>
    <r>
      <rPr>
        <b/>
        <strike/>
        <sz val="11"/>
        <color theme="4"/>
        <rFont val="Calibri"/>
        <family val="2"/>
      </rPr>
      <t>short, due 7/30</t>
    </r>
  </si>
  <si>
    <r>
      <t xml:space="preserve">7/30 - kit clear
7/28 - matl clear
7/24 - </t>
    </r>
    <r>
      <rPr>
        <b/>
        <strike/>
        <sz val="11"/>
        <color theme="4"/>
        <rFont val="Calibri"/>
        <family val="2"/>
      </rPr>
      <t>short over 100 line items due 7/28</t>
    </r>
  </si>
  <si>
    <t>8/6 - waiting for new P1</t>
  </si>
  <si>
    <t>132806
NEW</t>
  </si>
  <si>
    <r>
      <t xml:space="preserve">???
</t>
    </r>
    <r>
      <rPr>
        <b/>
        <strike/>
        <sz val="14"/>
        <color theme="4"/>
        <rFont val="Calibri"/>
        <family val="2"/>
      </rPr>
      <t xml:space="preserve">8/6
</t>
    </r>
    <r>
      <rPr>
        <b/>
        <sz val="14"/>
        <color theme="4"/>
        <rFont val="Calibri"/>
        <family val="2"/>
      </rPr>
      <t>5D</t>
    </r>
  </si>
  <si>
    <t>DO NOT SHIP SEPARATE
return not installed P1 with boards
LEAD  WASH</t>
  </si>
  <si>
    <t>8/1 - 1:30</t>
  </si>
  <si>
    <t>8/1 - 3:30</t>
  </si>
  <si>
    <t>8/2- 8:00</t>
  </si>
  <si>
    <t xml:space="preserve">Scientific Research Corporation
</t>
  </si>
  <si>
    <t>DOC REL 7/16</t>
  </si>
  <si>
    <t>complete alta standard</t>
  </si>
  <si>
    <r>
      <rPr>
        <b/>
        <sz val="11"/>
        <color rgb="FF000000"/>
        <rFont val="Calibri"/>
        <family val="2"/>
      </rPr>
      <t xml:space="preserve">8/6 - kit clear
8/4 - matl clear
</t>
    </r>
    <r>
      <rPr>
        <b/>
        <strike/>
        <sz val="11"/>
        <color rgb="FF000000"/>
        <rFont val="Calibri"/>
        <family val="2"/>
      </rPr>
      <t>7/23 - short SMT:
y1 &amp; y2 due 7/29
awt Tariff:
U3, L4 &amp; T1
short THT: J6 due 7/28 week</t>
    </r>
  </si>
  <si>
    <t>131630-1
par
RONC 128664</t>
  </si>
  <si>
    <r>
      <rPr>
        <b/>
        <sz val="14"/>
        <color rgb="FF000000"/>
        <rFont val="Calibri"/>
        <family val="2"/>
      </rPr>
      <t xml:space="preserve">8/12
</t>
    </r>
    <r>
      <rPr>
        <b/>
        <sz val="14"/>
        <color rgb="FFFF0000"/>
        <rFont val="Calibri"/>
        <family val="2"/>
      </rPr>
      <t>3D</t>
    </r>
  </si>
  <si>
    <r>
      <rPr>
        <b/>
        <sz val="12"/>
        <color rgb="FFFF0000"/>
        <rFont val="Calibri"/>
        <family val="2"/>
      </rPr>
      <t xml:space="preserve">*** PLEASE READ POWERPOINT DOC PRIOR TO RELEASING
***PLEASE ADDRESS ALL ISSUES ON THE POWERPOINT DOC BEFORE RUNNING
</t>
    </r>
    <r>
      <rPr>
        <b/>
        <sz val="11"/>
        <color rgb="FF000000"/>
        <rFont val="Calibri"/>
        <family val="2"/>
      </rPr>
      <t xml:space="preserve">DEPANEL
</t>
    </r>
    <r>
      <rPr>
        <b/>
        <strike/>
        <sz val="11"/>
        <color rgb="FF000000"/>
        <rFont val="Calibri"/>
        <family val="2"/>
      </rPr>
      <t>* SHIP BACK PARTS WITH BOARDS</t>
    </r>
  </si>
  <si>
    <t>8/11 - 9:00</t>
  </si>
  <si>
    <r>
      <t xml:space="preserve">clear 7/29
</t>
    </r>
    <r>
      <rPr>
        <b/>
        <strike/>
        <sz val="11"/>
        <color rgb="FF000000"/>
        <rFont val="Calibri"/>
        <family val="2"/>
      </rPr>
      <t>short, no ETA 7/29</t>
    </r>
  </si>
  <si>
    <r>
      <t xml:space="preserve">7/29 - kit clear
7/23 - matl clear (J1 ok to use)
7/22 </t>
    </r>
    <r>
      <rPr>
        <b/>
        <strike/>
        <sz val="11"/>
        <color rgb="FF000000"/>
        <rFont val="Calibri"/>
        <family val="2"/>
      </rPr>
      <t>- Short SMT: J1, no ETA</t>
    </r>
  </si>
  <si>
    <t>131528
RONC 123003</t>
  </si>
  <si>
    <t>8/12
10D</t>
  </si>
  <si>
    <t>"U3, 4, 5" AFTER WASH
DEPANEL</t>
  </si>
  <si>
    <t>\]</t>
  </si>
  <si>
    <r>
      <t xml:space="preserve">7/30 - clear
</t>
    </r>
    <r>
      <rPr>
        <b/>
        <strike/>
        <sz val="11"/>
        <color rgb="FF000000"/>
        <rFont val="Calibri"/>
        <family val="2"/>
      </rPr>
      <t>short, no ETA 7/29</t>
    </r>
  </si>
  <si>
    <r>
      <t xml:space="preserve">8/6 - kit clear
</t>
    </r>
    <r>
      <rPr>
        <b/>
        <strike/>
        <sz val="11"/>
        <color rgb="FF000000"/>
        <rFont val="Calibri"/>
        <family val="2"/>
      </rPr>
      <t>7/22 - awt part conf #9 U1 (no ETA)
7/16 - short U1 &amp; J1, no ETA</t>
    </r>
  </si>
  <si>
    <t>7/22 - this job used in many others</t>
  </si>
  <si>
    <r>
      <rPr>
        <b/>
        <sz val="14"/>
        <color rgb="FF000000"/>
        <rFont val="Calibri"/>
        <family val="2"/>
      </rPr>
      <t xml:space="preserve">133581-3
bal
ROWC 121417
</t>
    </r>
    <r>
      <rPr>
        <b/>
        <sz val="18"/>
        <color rgb="FFFF0000"/>
        <rFont val="Calibri"/>
        <family val="2"/>
      </rPr>
      <t>*** INVOICE BUT DO NOT SHIP</t>
    </r>
  </si>
  <si>
    <r>
      <rPr>
        <b/>
        <sz val="14"/>
        <color rgb="FF000000"/>
        <rFont val="Calibri"/>
        <family val="2"/>
      </rPr>
      <t xml:space="preserve">???
8/11
</t>
    </r>
    <r>
      <rPr>
        <b/>
        <sz val="14"/>
        <color rgb="FFFF0000"/>
        <rFont val="Calibri"/>
        <family val="2"/>
      </rPr>
      <t>3D</t>
    </r>
  </si>
  <si>
    <r>
      <rPr>
        <b/>
        <sz val="11"/>
        <color rgb="FF000000"/>
        <rFont val="Calibri"/>
        <family val="2"/>
      </rPr>
      <t xml:space="preserve">shipped qty 8 on 8/8
shipped qty 69 on 8/11
CLASS 3
used in:
</t>
    </r>
    <r>
      <rPr>
        <b/>
        <strike/>
        <sz val="11"/>
        <color rgb="FF000000"/>
        <rFont val="Calibri"/>
        <family val="2"/>
      </rPr>
      <t xml:space="preserve">B133575 booked @alta 
</t>
    </r>
    <r>
      <rPr>
        <b/>
        <sz val="11"/>
        <color rgb="FF000000"/>
        <rFont val="Calibri"/>
        <family val="2"/>
      </rPr>
      <t xml:space="preserve">B133576 not booked yet
</t>
    </r>
    <r>
      <rPr>
        <b/>
        <strike/>
        <sz val="11"/>
        <color rgb="FF000000"/>
        <rFont val="Calibri"/>
        <family val="2"/>
      </rPr>
      <t xml:space="preserve">B133577 booked @alta
B133578 booked @alta
</t>
    </r>
    <r>
      <rPr>
        <b/>
        <sz val="11"/>
        <color rgb="FF000000"/>
        <rFont val="Calibri"/>
        <family val="2"/>
      </rPr>
      <t xml:space="preserve">B133579 booked @alta
B133582 booked @alta
</t>
    </r>
    <r>
      <rPr>
        <b/>
        <strike/>
        <sz val="11"/>
        <color rgb="FF000000"/>
        <rFont val="Calibri"/>
        <family val="2"/>
      </rPr>
      <t xml:space="preserve">B133584 booked @alta
</t>
    </r>
    <r>
      <rPr>
        <b/>
        <sz val="11"/>
        <color rgb="FF000000"/>
        <rFont val="Calibri"/>
        <family val="2"/>
      </rPr>
      <t xml:space="preserve">Ship extra (30 boards) back to customer
</t>
    </r>
    <r>
      <rPr>
        <b/>
        <sz val="11"/>
        <color rgb="FFFF0000"/>
        <rFont val="Calibri"/>
        <family val="2"/>
      </rPr>
      <t xml:space="preserve">24 boards headers soldered on the opposite side for B133575
</t>
    </r>
    <r>
      <rPr>
        <b/>
        <sz val="11"/>
        <color rgb="FF000000"/>
        <rFont val="Calibri"/>
        <family val="2"/>
      </rPr>
      <t xml:space="preserve">DEPANEL, SAND, TRIM PER IPC
</t>
    </r>
    <r>
      <rPr>
        <b/>
        <u/>
        <sz val="11"/>
        <color rgb="FF000000"/>
        <rFont val="Calibri"/>
        <family val="2"/>
      </rPr>
      <t>CARE! similar to B134118. DO NOT MIX</t>
    </r>
  </si>
  <si>
    <t>8/7 - 6:00</t>
  </si>
  <si>
    <t>8/7 - 9:30</t>
  </si>
  <si>
    <t>DOC REL 7/15</t>
  </si>
  <si>
    <t>7/16</t>
  </si>
  <si>
    <r>
      <rPr>
        <b/>
        <sz val="14"/>
        <color rgb="FF000000"/>
        <rFont val="Calibri"/>
        <family val="2"/>
      </rPr>
      <t xml:space="preserve">133581-2
par
ROWC 121417
</t>
    </r>
    <r>
      <rPr>
        <b/>
        <sz val="18"/>
        <color rgb="FFFF0000"/>
        <rFont val="Calibri"/>
        <family val="2"/>
      </rPr>
      <t>*** INVOICE BUT DO NOT SHIP</t>
    </r>
  </si>
  <si>
    <r>
      <rPr>
        <b/>
        <sz val="11"/>
        <color rgb="FF000000"/>
        <rFont val="Calibri"/>
        <family val="2"/>
      </rPr>
      <t xml:space="preserve">shipped qty 8 on 8/8
CLASS 3
DEPANEL, SAND, TRIM PER IPC
used in:
</t>
    </r>
    <r>
      <rPr>
        <b/>
        <strike/>
        <sz val="11"/>
        <color rgb="FF000000"/>
        <rFont val="Calibri"/>
        <family val="2"/>
      </rPr>
      <t xml:space="preserve">B133575 booked @alta 
</t>
    </r>
    <r>
      <rPr>
        <b/>
        <sz val="11"/>
        <color rgb="FF000000"/>
        <rFont val="Calibri"/>
        <family val="2"/>
      </rPr>
      <t xml:space="preserve">B133576 not booked yet
</t>
    </r>
    <r>
      <rPr>
        <b/>
        <strike/>
        <sz val="11"/>
        <color rgb="FF000000"/>
        <rFont val="Calibri"/>
        <family val="2"/>
      </rPr>
      <t xml:space="preserve">B133577 booked @alta
B133578 booked @alta
</t>
    </r>
    <r>
      <rPr>
        <b/>
        <sz val="11"/>
        <color rgb="FF000000"/>
        <rFont val="Calibri"/>
        <family val="2"/>
      </rPr>
      <t xml:space="preserve">B133579 booked @alta
B133582 booked @alta
</t>
    </r>
    <r>
      <rPr>
        <b/>
        <strike/>
        <sz val="11"/>
        <color rgb="FF000000"/>
        <rFont val="Calibri"/>
        <family val="2"/>
      </rPr>
      <t xml:space="preserve">B133584 booked @alta
</t>
    </r>
    <r>
      <rPr>
        <b/>
        <sz val="11"/>
        <color rgb="FF000000"/>
        <rFont val="Calibri"/>
        <family val="2"/>
      </rPr>
      <t xml:space="preserve">Ship extra (30 boards) back to customer
</t>
    </r>
    <r>
      <rPr>
        <b/>
        <sz val="11"/>
        <color rgb="FFFF0000"/>
        <rFont val="Calibri"/>
        <family val="2"/>
      </rPr>
      <t xml:space="preserve">24 boards headers soldered on the opposite side for B133575
</t>
    </r>
    <r>
      <rPr>
        <b/>
        <u/>
        <sz val="11"/>
        <color rgb="FF000000"/>
        <rFont val="Calibri"/>
        <family val="2"/>
      </rPr>
      <t>CARE! similar to B134118. DO NOT MIX</t>
    </r>
  </si>
  <si>
    <t>8/7 - 8:00</t>
  </si>
  <si>
    <r>
      <t xml:space="preserve">clear 8/5
</t>
    </r>
    <r>
      <rPr>
        <b/>
        <strike/>
        <sz val="11"/>
        <color rgb="FF000000"/>
        <rFont val="Calibri"/>
        <family val="2"/>
      </rPr>
      <t>short, no ETA 8/5 8/4</t>
    </r>
  </si>
  <si>
    <r>
      <t xml:space="preserve">8/6 - kit clear
</t>
    </r>
    <r>
      <rPr>
        <b/>
        <strike/>
        <sz val="11"/>
        <color rgb="FF000000"/>
        <rFont val="Calibri"/>
        <family val="2"/>
      </rPr>
      <t xml:space="preserve">8/6 - SMT clear
7/28 - short SMT: C3 &amp; J100, no ETA 8/8
short THT: J500, no ETA </t>
    </r>
  </si>
  <si>
    <t>133575
NEW</t>
  </si>
  <si>
    <r>
      <rPr>
        <b/>
        <sz val="14"/>
        <color rgb="FF000000"/>
        <rFont val="Calibri"/>
        <family val="2"/>
      </rPr>
      <t xml:space="preserve">8/11
</t>
    </r>
    <r>
      <rPr>
        <b/>
        <sz val="14"/>
        <color rgb="FFFF0000"/>
        <rFont val="Calibri"/>
        <family val="2"/>
      </rPr>
      <t>3D</t>
    </r>
  </si>
  <si>
    <r>
      <rPr>
        <b/>
        <sz val="11"/>
        <color rgb="FF000000"/>
        <rFont val="Calibri"/>
        <family val="2"/>
      </rPr>
      <t>CLASS 3
"PA, PB, PC, PD" PRESS FIT PER ECO
"STAND_1, STAND_2" INSTALL LAST PER ECO
"A1" IS HAND SOLDER (w/ Linear Tech flush to PCB - per Tad)</t>
    </r>
    <r>
      <rPr>
        <b/>
        <strike/>
        <sz val="11"/>
        <color rgb="FF000000"/>
        <rFont val="Calibri"/>
        <family val="2"/>
      </rPr>
      <t xml:space="preserve">PER ECO </t>
    </r>
    <r>
      <rPr>
        <b/>
        <sz val="11"/>
        <color rgb="FF000000"/>
        <rFont val="Calibri"/>
        <family val="2"/>
      </rPr>
      <t xml:space="preserve">&amp; ORIENTATION PER ECO
</t>
    </r>
    <r>
      <rPr>
        <b/>
        <u/>
        <sz val="11"/>
        <color rgb="FF000000"/>
        <rFont val="Calibri"/>
        <family val="2"/>
      </rPr>
      <t xml:space="preserve">"LP_A, LP_B" INSTALL PER ECO
"J100" INSTALL PER ECO
"SP1" INSTALL PER ECO
</t>
    </r>
    <r>
      <rPr>
        <b/>
        <sz val="11"/>
        <color rgb="FF000000"/>
        <rFont val="Calibri"/>
        <family val="2"/>
      </rPr>
      <t>DEPANEL AND SAND</t>
    </r>
  </si>
  <si>
    <t>8/7 - 11:30</t>
  </si>
  <si>
    <t>8/8 - 9:30</t>
  </si>
  <si>
    <r>
      <t xml:space="preserve">clear 8/1 </t>
    </r>
    <r>
      <rPr>
        <b/>
        <strike/>
        <sz val="11"/>
        <color rgb="FF000000"/>
        <rFont val="Calibri"/>
        <family val="2"/>
      </rPr>
      <t>short, due 8/4</t>
    </r>
  </si>
  <si>
    <r>
      <t xml:space="preserve">8/6 - kit clear
</t>
    </r>
    <r>
      <rPr>
        <b/>
        <strike/>
        <sz val="11"/>
        <color rgb="FF000000"/>
        <rFont val="Calibri"/>
        <family val="2"/>
      </rPr>
      <t>8/1 - SMT clear
7/22 - short SMT: Y700, no ETA
short THT: J200 &amp; M600, no ETA</t>
    </r>
  </si>
  <si>
    <t>8/1 - needs B134118 &amp; B133581 to be clear</t>
  </si>
  <si>
    <t>133577
NEW</t>
  </si>
  <si>
    <r>
      <rPr>
        <b/>
        <sz val="11"/>
        <color rgb="FF000000"/>
        <rFont val="Calibri"/>
        <family val="2"/>
      </rPr>
      <t>note:</t>
    </r>
    <r>
      <rPr>
        <b/>
        <u/>
        <sz val="11"/>
        <color rgb="FF000000"/>
        <rFont val="Calibri"/>
        <family val="2"/>
      </rPr>
      <t xml:space="preserve"> install modules B133581 &amp; B134118
</t>
    </r>
    <r>
      <rPr>
        <b/>
        <sz val="11"/>
        <color rgb="FF000000"/>
        <rFont val="Calibri"/>
        <family val="2"/>
      </rPr>
      <t>CLASS 3
"U502" AFTER WASH
"LPA1, LPB1" INSTALL PER ECO
"A100, 101" HAND SOLDER PER ECO
"PA, PB, PC" PRESS FIT
DEPANEL</t>
    </r>
  </si>
  <si>
    <t>8/3 - 9:00</t>
  </si>
  <si>
    <t>8/3 - 11:00</t>
  </si>
  <si>
    <t>8/3 - 1:00</t>
  </si>
  <si>
    <r>
      <t xml:space="preserve">clear 8/5
</t>
    </r>
    <r>
      <rPr>
        <b/>
        <strike/>
        <sz val="11"/>
        <color rgb="FF000000"/>
        <rFont val="Calibri"/>
        <family val="2"/>
      </rPr>
      <t>short, no ETA 8/5 8/1 7/14</t>
    </r>
  </si>
  <si>
    <r>
      <t xml:space="preserve">8/6 - kit clear
</t>
    </r>
    <r>
      <rPr>
        <b/>
        <strike/>
        <sz val="11"/>
        <color rgb="FF000000"/>
        <rFont val="Calibri"/>
        <family val="2"/>
      </rPr>
      <t>8/5 - smt clear
7/1 - short: SMT 3x line items (high qty), ETA 7/8, THT 1x line item, no ETA</t>
    </r>
  </si>
  <si>
    <t>7/10 - SHORT DAUGHTER BOARD W/ NO ETA</t>
  </si>
  <si>
    <t>133578
NEW</t>
  </si>
  <si>
    <r>
      <rPr>
        <b/>
        <sz val="11"/>
        <color rgb="FFFF0000"/>
        <rFont val="Calibri"/>
        <family val="2"/>
      </rPr>
      <t xml:space="preserve">CLASS 3
</t>
    </r>
    <r>
      <rPr>
        <b/>
        <u/>
        <sz val="11"/>
        <color rgb="FF000000"/>
        <rFont val="Calibri"/>
        <family val="2"/>
      </rPr>
      <t xml:space="preserve">POST BAKE 30-min after WASHED
</t>
    </r>
    <r>
      <rPr>
        <b/>
        <sz val="11"/>
        <color rgb="FF000000"/>
        <rFont val="Calibri"/>
        <family val="2"/>
      </rPr>
      <t xml:space="preserve">INSTAL "LP_A, LP_B" PER ECO
:J1000, PA, PB, PC" PRESS FIT
INSTALL "A1" (B133581) PER ECO
"SCR_M2, WAS_M2" INSTALL PER ECO
DEPANEL
</t>
    </r>
    <r>
      <rPr>
        <b/>
        <u/>
        <sz val="11"/>
        <color rgb="FF000000"/>
        <rFont val="Calibri"/>
        <family val="2"/>
      </rPr>
      <t>install nuts &amp; washers
torque 2-4 in-lb required</t>
    </r>
  </si>
  <si>
    <t>8/8 - 8:30</t>
  </si>
  <si>
    <t>8/8 - 10:30</t>
  </si>
  <si>
    <t>8/8 - 1:00</t>
  </si>
  <si>
    <t>DOC REL 6/30</t>
  </si>
  <si>
    <t>7/1</t>
  </si>
  <si>
    <r>
      <t xml:space="preserve">clear, 7/28
</t>
    </r>
    <r>
      <rPr>
        <b/>
        <strike/>
        <sz val="11"/>
        <color rgb="FF000000"/>
        <rFont val="Calibri"/>
        <family val="2"/>
      </rPr>
      <t>short, no ETA 7/31</t>
    </r>
  </si>
  <si>
    <t>7/28 - kit clear
7/22 - matl clear</t>
  </si>
  <si>
    <t>134268
RONC 131747</t>
  </si>
  <si>
    <t>8/11
10D</t>
  </si>
  <si>
    <t>8/6 - 11:00</t>
  </si>
  <si>
    <t>8/6 - 1:00</t>
  </si>
  <si>
    <r>
      <t xml:space="preserve">clear 8/7
</t>
    </r>
    <r>
      <rPr>
        <b/>
        <strike/>
        <sz val="11"/>
        <color rgb="FF000000"/>
        <rFont val="Calibri"/>
        <family val="2"/>
      </rPr>
      <t>short 3 of 50, no ETA 8/6, 8/4</t>
    </r>
  </si>
  <si>
    <r>
      <t xml:space="preserve">8/7 - kit clear
7/25 - matl clear
</t>
    </r>
    <r>
      <rPr>
        <b/>
        <strike/>
        <sz val="11"/>
        <color rgb="FF000000"/>
        <rFont val="Calibri"/>
        <family val="2"/>
      </rPr>
      <t>7/23 - short SMT U4, no ETA; short THT J1 1 piece</t>
    </r>
  </si>
  <si>
    <t>7/30 - CUST REQUEST TO EXPEDITE (PAID)</t>
  </si>
  <si>
    <t>134392
RONC 133472</t>
  </si>
  <si>
    <r>
      <rPr>
        <b/>
        <sz val="14"/>
        <color rgb="FF000000"/>
        <rFont val="Calibri"/>
        <family val="2"/>
      </rPr>
      <t xml:space="preserve">8/11
</t>
    </r>
    <r>
      <rPr>
        <b/>
        <strike/>
        <sz val="14"/>
        <color rgb="FF000000"/>
        <rFont val="Calibri"/>
        <family val="2"/>
      </rPr>
      <t xml:space="preserve">8/12
</t>
    </r>
    <r>
      <rPr>
        <b/>
        <sz val="14"/>
        <color rgb="FFFF0000"/>
        <rFont val="Calibri"/>
        <family val="2"/>
      </rPr>
      <t xml:space="preserve">3D
</t>
    </r>
    <r>
      <rPr>
        <b/>
        <strike/>
        <sz val="14"/>
        <color rgb="FF000000"/>
        <rFont val="Calibri"/>
        <family val="2"/>
      </rPr>
      <t>10D</t>
    </r>
  </si>
  <si>
    <r>
      <rPr>
        <b/>
        <sz val="12"/>
        <color rgb="FFFF0000"/>
        <rFont val="Calibri"/>
        <family val="2"/>
      </rPr>
      <t xml:space="preserve">*** PAID EXPEDITE ***
</t>
    </r>
    <r>
      <rPr>
        <b/>
        <sz val="11"/>
        <color rgb="FF000000"/>
        <rFont val="Calibri"/>
        <family val="2"/>
      </rPr>
      <t>ship 48 of 50 (close short 2)
CANNOT BE LATE
"L1, L2" AFTER WASH PER "DOC_787_WASHING"
MAKE SURE BOARDS ARE FREE AND CLEAN FROM DEBRIS AND FLUX
DEPANEL</t>
    </r>
  </si>
  <si>
    <t>8/7 - 1:30</t>
  </si>
  <si>
    <t>8/7 - 5:30</t>
  </si>
  <si>
    <t>NEW PO</t>
  </si>
  <si>
    <t>complete ECO rev</t>
  </si>
  <si>
    <r>
      <rPr>
        <b/>
        <sz val="11"/>
        <color rgb="FF000000"/>
        <rFont val="Calibri"/>
        <family val="2"/>
      </rPr>
      <t xml:space="preserve">clear, 7/14
7/1 - received 80 of 130
</t>
    </r>
    <r>
      <rPr>
        <b/>
        <strike/>
        <sz val="11"/>
        <color rgb="FF000000"/>
        <rFont val="Calibri"/>
        <family val="2"/>
      </rPr>
      <t>short, ETA 7/3</t>
    </r>
  </si>
  <si>
    <t>133759-2
par
NEW</t>
  </si>
  <si>
    <t>8/11
20D</t>
  </si>
  <si>
    <r>
      <rPr>
        <b/>
        <sz val="11"/>
        <color rgb="FF782170"/>
        <rFont val="Calibri"/>
        <family val="2"/>
      </rPr>
      <t xml:space="preserve">balance remaining qty 40
shipped 30 of 100 on 7/9
100% inspection
AOI, Xray &amp; Save Images Required
100% photos (front/back all)
</t>
    </r>
    <r>
      <rPr>
        <b/>
        <sz val="11"/>
        <color rgb="FF000000"/>
        <rFont val="Calibri"/>
        <family val="2"/>
      </rPr>
      <t xml:space="preserve">"PF1, C789, C83" AFTER WASH
"THPAD1-3" INSTALL PER ECO
DEPANEL
</t>
    </r>
    <r>
      <rPr>
        <b/>
        <u/>
        <sz val="11"/>
        <color rgb="FF000000"/>
        <rFont val="Calibri"/>
        <family val="2"/>
      </rPr>
      <t>waived: RTV &amp; Conformal Coating</t>
    </r>
  </si>
  <si>
    <t>8/7 - 2:30</t>
  </si>
  <si>
    <t>8/1 - day 1 is 8/5 or 8/6</t>
  </si>
  <si>
    <t>8/11*
5D</t>
  </si>
  <si>
    <t>MUST PRE BAKE PCB'S
CLASS 3
DEPANEL, SAND, TRIM PER IPC</t>
  </si>
  <si>
    <t>8/8 - 9:00</t>
  </si>
  <si>
    <t>complete
alta standard</t>
  </si>
  <si>
    <r>
      <t xml:space="preserve">clear 6/19
</t>
    </r>
    <r>
      <rPr>
        <b/>
        <strike/>
        <sz val="11"/>
        <color theme="4" tint="-0.249977111117893"/>
        <rFont val="Calibri"/>
        <family val="2"/>
      </rPr>
      <t>short, no ETA</t>
    </r>
  </si>
  <si>
    <r>
      <t xml:space="preserve">7/17 - kit clear
</t>
    </r>
    <r>
      <rPr>
        <b/>
        <strike/>
        <sz val="11"/>
        <color theme="4" tint="-0.249977111117893"/>
        <rFont val="Calibri"/>
        <family val="2"/>
      </rPr>
      <t xml:space="preserve">7/17 - SMT: AC1 shortages due date
</t>
    </r>
    <r>
      <rPr>
        <b/>
        <sz val="11"/>
        <color theme="4" tint="-0.249977111117893"/>
        <rFont val="Calibri"/>
        <family val="2"/>
      </rPr>
      <t xml:space="preserve">7/22 - shipped 154
6/30 - clear for 154 of 200
</t>
    </r>
    <r>
      <rPr>
        <b/>
        <strike/>
        <sz val="11"/>
        <color theme="4" tint="-0.249977111117893"/>
        <rFont val="Calibri"/>
        <family val="2"/>
      </rPr>
      <t>6/16 - short 1 SMT #8 AC1 (high qty), no ETA
partial short some THT, no ETA</t>
    </r>
  </si>
  <si>
    <t>8/7 - line short R2, 1 board
7/22 - shipped 154 of 200</t>
  </si>
  <si>
    <t>133770-2
BAL
RONC 125092</t>
  </si>
  <si>
    <r>
      <t xml:space="preserve">???
</t>
    </r>
    <r>
      <rPr>
        <b/>
        <strike/>
        <sz val="14"/>
        <color theme="4" tint="-0.249977111117893"/>
        <rFont val="Calibri"/>
        <family val="2"/>
      </rPr>
      <t xml:space="preserve">8/7
</t>
    </r>
    <r>
      <rPr>
        <b/>
        <sz val="14"/>
        <color theme="4" tint="-0.249977111117893"/>
        <rFont val="Calibri"/>
        <family val="2"/>
      </rPr>
      <t>15D</t>
    </r>
  </si>
  <si>
    <r>
      <rPr>
        <b/>
        <sz val="11"/>
        <color rgb="FFFF0000"/>
        <rFont val="Calibri"/>
        <family val="2"/>
      </rPr>
      <t xml:space="preserve">QUALITY ALERT - leads not trimmed, bridging and bent
</t>
    </r>
    <r>
      <rPr>
        <b/>
        <sz val="11"/>
        <color rgb="FF7030A0"/>
        <rFont val="Calibri"/>
        <family val="2"/>
      </rPr>
      <t xml:space="preserve">partial ship: qty 154 of 200
</t>
    </r>
    <r>
      <rPr>
        <b/>
        <sz val="11"/>
        <color rgb="FF000000"/>
        <rFont val="Calibri"/>
        <family val="2"/>
      </rPr>
      <t>depanel</t>
    </r>
  </si>
  <si>
    <t>7/29 - 9:30</t>
  </si>
  <si>
    <t>7/29 - 11:00</t>
  </si>
  <si>
    <t>FEDEX SUPER SAVER</t>
  </si>
  <si>
    <t xml:space="preserve">Physical Measurement Technologies, Inc.
</t>
  </si>
  <si>
    <t>DOC REL 6/16</t>
  </si>
  <si>
    <t>6/16</t>
  </si>
  <si>
    <t>quality alert</t>
  </si>
  <si>
    <r>
      <rPr>
        <b/>
        <sz val="14"/>
        <color rgb="FF000000"/>
        <rFont val="Calibri"/>
        <family val="2"/>
      </rPr>
      <t xml:space="preserve">133581-1
par
ROWC 121417
</t>
    </r>
    <r>
      <rPr>
        <b/>
        <sz val="18"/>
        <color rgb="FFFF0000"/>
        <rFont val="Calibri"/>
        <family val="2"/>
      </rPr>
      <t>*** INVOICE BUT DO NOT SHIP</t>
    </r>
  </si>
  <si>
    <r>
      <rPr>
        <b/>
        <sz val="11"/>
        <color rgb="FF000000"/>
        <rFont val="Calibri"/>
        <family val="2"/>
      </rPr>
      <t xml:space="preserve">CLASS 3
DEPANEL, SAND, TRIM PER IPC
used in:
B133575 booked @alta 
B133576 not booked yet
B133577 booked @alta
B133578 booked @alta
B133579 booked @alta
B133582 booked @alta
</t>
    </r>
    <r>
      <rPr>
        <b/>
        <strike/>
        <sz val="11"/>
        <color rgb="FF000000"/>
        <rFont val="Calibri"/>
        <family val="2"/>
      </rPr>
      <t xml:space="preserve">B133584 booked @alta
</t>
    </r>
    <r>
      <rPr>
        <b/>
        <sz val="11"/>
        <color rgb="FF000000"/>
        <rFont val="Calibri"/>
        <family val="2"/>
      </rPr>
      <t xml:space="preserve">Ship extra (30 boards) back to customer
</t>
    </r>
    <r>
      <rPr>
        <b/>
        <sz val="11"/>
        <color rgb="FFFF0000"/>
        <rFont val="Calibri"/>
        <family val="2"/>
      </rPr>
      <t xml:space="preserve">24 boards headers soldered on the opposite side for B133575
</t>
    </r>
    <r>
      <rPr>
        <b/>
        <u/>
        <sz val="11"/>
        <color rgb="FF000000"/>
        <rFont val="Calibri"/>
        <family val="2"/>
      </rPr>
      <t>CARE! similar to B134118. DO NOT MIX</t>
    </r>
  </si>
  <si>
    <t>8/6 - short attrition &amp; U11</t>
  </si>
  <si>
    <t>8/7 - skip #28 (u2) &amp; #22 (u11)
8/6 - start ASAP</t>
  </si>
  <si>
    <t>134836
NEW</t>
  </si>
  <si>
    <r>
      <rPr>
        <b/>
        <sz val="14"/>
        <color rgb="FF000000"/>
        <rFont val="Calibri"/>
        <family val="2"/>
      </rPr>
      <t xml:space="preserve">8/8
</t>
    </r>
    <r>
      <rPr>
        <b/>
        <sz val="14"/>
        <color rgb="FFFF0000"/>
        <rFont val="Calibri"/>
        <family val="2"/>
      </rPr>
      <t>3D</t>
    </r>
  </si>
  <si>
    <t>LEAD PROCESS
"M5-8" INSTALL PER ECO
DEPANEL
DNI #22 (U11,U13)</t>
  </si>
  <si>
    <t>8/7 - 1:00</t>
  </si>
  <si>
    <t xml:space="preserve">POLARITY INC
</t>
  </si>
  <si>
    <r>
      <t xml:space="preserve">clear 7/28
</t>
    </r>
    <r>
      <rPr>
        <b/>
        <strike/>
        <sz val="11"/>
        <color rgb="FF000000"/>
        <rFont val="Calibri"/>
        <family val="2"/>
      </rPr>
      <t>short, no ETA 7/31</t>
    </r>
  </si>
  <si>
    <r>
      <t xml:space="preserve">8/6 - kit clear 
</t>
    </r>
    <r>
      <rPr>
        <b/>
        <strike/>
        <sz val="11"/>
        <color rgb="FF000000"/>
        <rFont val="Calibri"/>
        <family val="2"/>
      </rPr>
      <t>7/21 - matl clear except for B133581
7/17 - short many SMT &amp; THT, due 7/21</t>
    </r>
  </si>
  <si>
    <t>133584
NEW</t>
  </si>
  <si>
    <r>
      <rPr>
        <b/>
        <sz val="11"/>
        <color rgb="FF000000"/>
        <rFont val="Calibri"/>
        <family val="2"/>
      </rPr>
      <t xml:space="preserve">CLASS 3
"PA, PB, PC" JIG REQUIRED PER ECO (PRESS FIT)
"LP_A, LP_B" INSTALL PER ECO
</t>
    </r>
    <r>
      <rPr>
        <b/>
        <u/>
        <sz val="11"/>
        <color rgb="FF000000"/>
        <rFont val="Calibri"/>
        <family val="2"/>
      </rPr>
      <t xml:space="preserve">mech assy &amp; torque req
check for Fiber Optics plugs
</t>
    </r>
    <r>
      <rPr>
        <b/>
        <sz val="11"/>
        <color rgb="FF000000"/>
        <rFont val="Calibri"/>
        <family val="2"/>
      </rPr>
      <t>DEPANEL</t>
    </r>
  </si>
  <si>
    <t>7/29 - 3:00</t>
  </si>
  <si>
    <t>7/30 - 9:00</t>
  </si>
  <si>
    <t>7/17</t>
  </si>
  <si>
    <r>
      <t xml:space="preserve">clear 7/31
</t>
    </r>
    <r>
      <rPr>
        <b/>
        <strike/>
        <sz val="11"/>
        <color rgb="FF000000"/>
        <rFont val="Calibri"/>
        <family val="2"/>
      </rPr>
      <t>partial here, rest due 7/31 EOD
short, due 7/30 7/29</t>
    </r>
  </si>
  <si>
    <r>
      <t xml:space="preserve">8/1 - kit clear
7/31 - matl clear
</t>
    </r>
    <r>
      <rPr>
        <b/>
        <strike/>
        <sz val="11"/>
        <color rgb="FF000000"/>
        <rFont val="Calibri"/>
        <family val="2"/>
      </rPr>
      <t>7/23 - Short SMT: D102, R317A &amp; R506 (high qty total)</t>
    </r>
  </si>
  <si>
    <r>
      <t xml:space="preserve">7/21 </t>
    </r>
    <r>
      <rPr>
        <b/>
        <strike/>
        <sz val="11"/>
        <color rgb="FF000000"/>
        <rFont val="Calibri"/>
        <family val="2"/>
      </rPr>
      <t>- HOLD</t>
    </r>
  </si>
  <si>
    <t>133567
NEW</t>
  </si>
  <si>
    <t>8/8
5D</t>
  </si>
  <si>
    <t>LEAD FREE, WASH
"U401" ADD FLUX PER ECO
XRAY &amp; SAVE IMAGES
DEPANEL</t>
  </si>
  <si>
    <t>8/3 - 8:00</t>
  </si>
  <si>
    <t>8/5 - 10:30</t>
  </si>
  <si>
    <t>alta printed</t>
  </si>
  <si>
    <r>
      <t xml:space="preserve">clear 7/25
</t>
    </r>
    <r>
      <rPr>
        <b/>
        <strike/>
        <sz val="11"/>
        <color rgb="FF000000"/>
        <rFont val="Calibri"/>
        <family val="2"/>
      </rPr>
      <t>short, due 7/22 7/21</t>
    </r>
  </si>
  <si>
    <r>
      <rPr>
        <b/>
        <sz val="11"/>
        <color rgb="FF000000"/>
        <rFont val="Calibri"/>
        <family val="2"/>
      </rPr>
      <t xml:space="preserve">7/25 - kit clear
7/22 - </t>
    </r>
    <r>
      <rPr>
        <b/>
        <strike/>
        <sz val="11"/>
        <color rgb="FF000000"/>
        <rFont val="Calibri"/>
        <family val="2"/>
      </rPr>
      <t>awt part conf #32 (L11)</t>
    </r>
  </si>
  <si>
    <r>
      <rPr>
        <b/>
        <sz val="11"/>
        <color rgb="FF000000"/>
        <rFont val="Calibri"/>
        <family val="2"/>
      </rPr>
      <t xml:space="preserve">8/4 - J25 &amp; J22 does not need 4th pad soldered
</t>
    </r>
    <r>
      <rPr>
        <b/>
        <strike/>
        <sz val="11"/>
        <color rgb="FF000000"/>
        <rFont val="Calibri"/>
        <family val="2"/>
      </rPr>
      <t>8/4 - SMT J25 &amp; J22, no solder connection</t>
    </r>
  </si>
  <si>
    <t>133625
NEW</t>
  </si>
  <si>
    <t>8/8
10D</t>
  </si>
  <si>
    <t>8/3 - 7:30</t>
  </si>
  <si>
    <t>8/4 - 7:30</t>
  </si>
  <si>
    <t>8/7 - 6:30</t>
  </si>
  <si>
    <t>8/1 - expedite 5 BOARDS ONLY</t>
  </si>
  <si>
    <t>132312-2nd
1par
RONC 1st Article</t>
  </si>
  <si>
    <r>
      <rPr>
        <b/>
        <sz val="11"/>
        <color rgb="FFFF0000"/>
        <rFont val="Calibri"/>
        <family val="2"/>
      </rPr>
      <t xml:space="preserve">*** PAID EXPEDITE - QTY 5 </t>
    </r>
    <r>
      <rPr>
        <b/>
        <strike/>
        <sz val="11"/>
        <color rgb="FFFF0000"/>
        <rFont val="Calibri"/>
        <family val="2"/>
      </rPr>
      <t>40</t>
    </r>
    <r>
      <rPr>
        <b/>
        <sz val="11"/>
        <color rgb="FFFF0000"/>
        <rFont val="Calibri"/>
        <family val="2"/>
      </rPr>
      <t xml:space="preserve">***
</t>
    </r>
    <r>
      <rPr>
        <b/>
        <sz val="11"/>
        <color rgb="FF000000"/>
        <rFont val="Calibri"/>
        <family val="2"/>
      </rPr>
      <t>balance remaining 475
#10 (D1) &amp; #13 (U1) share B132314
DO NOT SKIP AOI
MAKE SURE BOARDS ARE FREE AND CLEAN OF FLUX &amp; DEBRIS
ADD REV
CofC Requires Serial Numbers</t>
    </r>
  </si>
  <si>
    <t>8/4 - 11:00</t>
  </si>
  <si>
    <t>8/5 - 11:30</t>
  </si>
  <si>
    <t>132314-2nd
1par
RONC 1st Article</t>
  </si>
  <si>
    <r>
      <rPr>
        <b/>
        <sz val="12"/>
        <color rgb="FFFF0000"/>
        <rFont val="Calibri"/>
        <family val="2"/>
      </rPr>
      <t xml:space="preserve">*** PAID EXPEDITE - QTY 5 </t>
    </r>
    <r>
      <rPr>
        <b/>
        <strike/>
        <sz val="12"/>
        <color rgb="FFFF0000"/>
        <rFont val="Calibri"/>
        <family val="2"/>
      </rPr>
      <t>60</t>
    </r>
    <r>
      <rPr>
        <b/>
        <sz val="12"/>
        <color rgb="FFFF0000"/>
        <rFont val="Calibri"/>
        <family val="2"/>
      </rPr>
      <t xml:space="preserve">***
</t>
    </r>
    <r>
      <rPr>
        <b/>
        <sz val="11"/>
        <color rgb="FF000000"/>
        <rFont val="Calibri"/>
        <family val="2"/>
      </rPr>
      <t>balance remaining 715
#9 (D1) &amp; #12 (U1) share B132312
"D1x64" CHECK POLARITY PER ECO #2
DO NOT SKIP AOI
DEPANEL &amp; SAND
ADD SER #S TO CofC
ADD REV TO THE PCB</t>
    </r>
  </si>
  <si>
    <t>8/5 - 3:00</t>
  </si>
  <si>
    <t>8/6 - 6:00</t>
  </si>
  <si>
    <r>
      <t xml:space="preserve">clear 8/1
</t>
    </r>
    <r>
      <rPr>
        <b/>
        <strike/>
        <sz val="11"/>
        <color rgb="FF000000"/>
        <rFont val="Calibri"/>
        <family val="2"/>
      </rPr>
      <t>short, no ETA 8/4</t>
    </r>
  </si>
  <si>
    <t>8/1 - kit clear
7/25 - matl clear</t>
  </si>
  <si>
    <t>134539
NEW</t>
  </si>
  <si>
    <r>
      <rPr>
        <b/>
        <sz val="11"/>
        <color rgb="FF000000"/>
        <rFont val="Calibri"/>
        <family val="2"/>
      </rPr>
      <t xml:space="preserve">LEAD NO CLEAN BUILD
</t>
    </r>
    <r>
      <rPr>
        <b/>
        <sz val="14"/>
        <color rgb="FFFF0000"/>
        <rFont val="Calibri"/>
        <family val="2"/>
      </rPr>
      <t xml:space="preserve">*** "U16" PROTECT SENSOR WITH KAPTON TAPE BEFORE RUNNING - SEE ECO
</t>
    </r>
    <r>
      <rPr>
        <b/>
        <sz val="11"/>
        <color rgb="FF000000"/>
        <rFont val="Calibri"/>
        <family val="2"/>
      </rPr>
      <t>DEPANEL</t>
    </r>
  </si>
  <si>
    <t>8/7 - 7:00</t>
  </si>
  <si>
    <t>8/7 - 8:30</t>
  </si>
  <si>
    <r>
      <t xml:space="preserve">clear 8/5
</t>
    </r>
    <r>
      <rPr>
        <b/>
        <strike/>
        <sz val="11"/>
        <color rgb="FF000000"/>
        <rFont val="Calibri"/>
        <family val="2"/>
      </rPr>
      <t>short, due 8/4</t>
    </r>
  </si>
  <si>
    <t>8/5 - kit clear
7/31 - matl clear</t>
  </si>
  <si>
    <t>8/1 - SMT top side 1st
8/5 - Ship 8/8 or 8/9</t>
  </si>
  <si>
    <t>134468
NEW</t>
  </si>
  <si>
    <t>8/6 - 9:00</t>
  </si>
  <si>
    <t>8/6 - 10:00</t>
  </si>
  <si>
    <t>8/6 - 11:30</t>
  </si>
  <si>
    <t xml:space="preserve">Summit Interconnect
</t>
  </si>
  <si>
    <r>
      <t xml:space="preserve">clear 8/1
</t>
    </r>
    <r>
      <rPr>
        <b/>
        <strike/>
        <sz val="11"/>
        <color rgb="FF000000"/>
        <rFont val="Calibri"/>
        <family val="2"/>
      </rPr>
      <t>short, due 8/1 7/29</t>
    </r>
  </si>
  <si>
    <r>
      <t xml:space="preserve">8/1 - kit clear
</t>
    </r>
    <r>
      <rPr>
        <b/>
        <strike/>
        <sz val="11"/>
        <color rgb="FF000000"/>
        <rFont val="Calibri"/>
        <family val="2"/>
      </rPr>
      <t>7/28 - matl clear</t>
    </r>
  </si>
  <si>
    <t>134401-FA
NEW</t>
  </si>
  <si>
    <t>DO NOT SKIP PRE-BAKE
lead wash
balance remaining 17
clean boards before ship
remove all pick and place tabs/stickers
DEPANEL</t>
  </si>
  <si>
    <t>8/4 - 5:00</t>
  </si>
  <si>
    <t>8/4 - 7:00</t>
  </si>
  <si>
    <t>8/4 - 8:30</t>
  </si>
  <si>
    <t>7/24 - kit clear</t>
  </si>
  <si>
    <r>
      <rPr>
        <b/>
        <sz val="11"/>
        <color rgb="FF000000"/>
        <rFont val="Calibri"/>
        <family val="2"/>
      </rPr>
      <t xml:space="preserve">8/1 - </t>
    </r>
    <r>
      <rPr>
        <b/>
        <sz val="11"/>
        <color rgb="FF215C98"/>
        <rFont val="Calibri"/>
        <family val="2"/>
      </rPr>
      <t>new stencil</t>
    </r>
    <r>
      <rPr>
        <b/>
        <sz val="11"/>
        <color rgb="FF000000"/>
        <rFont val="Calibri"/>
        <family val="2"/>
      </rPr>
      <t xml:space="preserve">; run 8/4 (per Robert)
7/24 - </t>
    </r>
    <r>
      <rPr>
        <b/>
        <sz val="11"/>
        <color rgb="FFFF0000"/>
        <rFont val="Calibri"/>
        <family val="2"/>
      </rPr>
      <t>no split shipment (Anne)</t>
    </r>
  </si>
  <si>
    <t>8/7
10D</t>
  </si>
  <si>
    <r>
      <rPr>
        <b/>
        <strike/>
        <sz val="11"/>
        <color rgb="FF000000"/>
        <rFont val="Calibri"/>
        <family val="2"/>
      </rPr>
      <t xml:space="preserve">split shipment: qty 53 LT 10, qty 60 LT 15
</t>
    </r>
    <r>
      <rPr>
        <b/>
        <sz val="11"/>
        <color rgb="FF000000"/>
        <rFont val="Calibri"/>
        <family val="2"/>
      </rPr>
      <t xml:space="preserve">*** </t>
    </r>
    <r>
      <rPr>
        <b/>
        <sz val="11"/>
        <color rgb="FFFF0000"/>
        <rFont val="Calibri"/>
        <family val="2"/>
      </rPr>
      <t xml:space="preserve">ALTA ALERT!!! - </t>
    </r>
    <r>
      <rPr>
        <b/>
        <sz val="11"/>
        <color rgb="FF000000"/>
        <rFont val="Calibri"/>
        <family val="2"/>
      </rPr>
      <t>"BAT1" FELL OFF FA BOARDS - PLEASE ENSURE EXTRA SOLDER  AND TEST TO SEE IF HOLDER WILL COME OFF
AOI, xray &amp; save images required
LEAD-FREE no-clean (Aquanox)</t>
    </r>
  </si>
  <si>
    <t>8/4 - 9:30</t>
  </si>
  <si>
    <t>8/6 - 1:30</t>
  </si>
  <si>
    <r>
      <t xml:space="preserve">clear 7/17
</t>
    </r>
    <r>
      <rPr>
        <b/>
        <strike/>
        <sz val="11"/>
        <color rgb="FF000000"/>
        <rFont val="Calibri"/>
        <family val="2"/>
      </rPr>
      <t>SHORT, NO ETA 7/28</t>
    </r>
  </si>
  <si>
    <t>7/17 - kit clear
7/9 - MATL CLEAR</t>
  </si>
  <si>
    <t>8/3 - awt new stencil</t>
  </si>
  <si>
    <t>134154
NEW</t>
  </si>
  <si>
    <t>8/7
15D</t>
  </si>
  <si>
    <t>PREBAKE PCB'S
REMOVAL OF ALL FLUX RESIDUE IS REQUIRED PER ECO
DEPANEL</t>
  </si>
  <si>
    <t>8/4 - 5:30</t>
  </si>
  <si>
    <t>DOC REL 7/9</t>
  </si>
  <si>
    <r>
      <t xml:space="preserve">clear 6/19
</t>
    </r>
    <r>
      <rPr>
        <b/>
        <strike/>
        <sz val="11"/>
        <color rgb="FF000000"/>
        <rFont val="Calibri"/>
        <family val="2"/>
      </rPr>
      <t>short, no ETA</t>
    </r>
  </si>
  <si>
    <r>
      <t xml:space="preserve">7/17 - kit clear
</t>
    </r>
    <r>
      <rPr>
        <b/>
        <strike/>
        <sz val="11"/>
        <color rgb="FF000000"/>
        <rFont val="Calibri"/>
        <family val="2"/>
      </rPr>
      <t xml:space="preserve">7/17 - SMT: AC1 shortages due date
</t>
    </r>
    <r>
      <rPr>
        <b/>
        <sz val="11"/>
        <color rgb="FF000000"/>
        <rFont val="Calibri"/>
        <family val="2"/>
      </rPr>
      <t xml:space="preserve">7/22 - shipped 154
6/30 - clear for 154 of 200
</t>
    </r>
    <r>
      <rPr>
        <b/>
        <strike/>
        <sz val="11"/>
        <color rgb="FF000000"/>
        <rFont val="Calibri"/>
        <family val="2"/>
      </rPr>
      <t>6/16 - short 1 SMT #8 AC1 (high qty), no ETA
partial short some THT, no ETA</t>
    </r>
  </si>
  <si>
    <t>8/7 - line short R2
7/22 - shipped 154 of 200</t>
  </si>
  <si>
    <t>133770-1
bal
RONC 125092</t>
  </si>
  <si>
    <r>
      <rPr>
        <b/>
        <sz val="11"/>
        <color rgb="FF000000"/>
        <rFont val="Calibri"/>
        <family val="2"/>
      </rPr>
      <t xml:space="preserve">replacement due 8/6
clear 7/23
</t>
    </r>
    <r>
      <rPr>
        <b/>
        <strike/>
        <sz val="11"/>
        <color rgb="FF000000"/>
        <rFont val="Calibri"/>
        <family val="2"/>
      </rPr>
      <t>short, due 7/21</t>
    </r>
  </si>
  <si>
    <r>
      <rPr>
        <b/>
        <sz val="11"/>
        <color rgb="FF000000"/>
        <rFont val="Calibri"/>
        <family val="2"/>
      </rPr>
      <t xml:space="preserve">7/25 - kit clear
</t>
    </r>
    <r>
      <rPr>
        <b/>
        <strike/>
        <sz val="11"/>
        <color rgb="FF000000"/>
        <rFont val="Calibri"/>
        <family val="2"/>
      </rPr>
      <t xml:space="preserve">7/24 - SMT clear; short THT J1 due 7/24
</t>
    </r>
    <r>
      <rPr>
        <b/>
        <sz val="11"/>
        <color rgb="FF000000"/>
        <rFont val="Calibri"/>
        <family val="2"/>
      </rPr>
      <t xml:space="preserve">7/23 - </t>
    </r>
    <r>
      <rPr>
        <b/>
        <strike/>
        <sz val="11"/>
        <color rgb="FF000000"/>
        <rFont val="Calibri"/>
        <family val="2"/>
      </rPr>
      <t xml:space="preserve">some J1 &amp; most C4 on hand, more J1 due 7/24
7/18 - U2-NO ETA
C4 -7/22 
J2-ETA 7/22
J1 -NO ETA 
</t>
    </r>
    <r>
      <rPr>
        <b/>
        <sz val="11"/>
        <color rgb="FF000000"/>
        <rFont val="Calibri"/>
        <family val="2"/>
      </rPr>
      <t xml:space="preserve">7/17 - </t>
    </r>
    <r>
      <rPr>
        <b/>
        <strike/>
        <sz val="11"/>
        <color rgb="FF000000"/>
        <rFont val="Calibri"/>
        <family val="2"/>
      </rPr>
      <t>short 2x SMT (high qty), no ETA</t>
    </r>
  </si>
  <si>
    <r>
      <rPr>
        <b/>
        <sz val="11"/>
        <color rgb="FF000000"/>
        <rFont val="Calibri"/>
        <family val="2"/>
      </rPr>
      <t xml:space="preserve">8/5 - </t>
    </r>
    <r>
      <rPr>
        <b/>
        <sz val="11"/>
        <color rgb="FFFF0000"/>
        <rFont val="Calibri"/>
        <family val="2"/>
      </rPr>
      <t xml:space="preserve">2 DMG BOARDS
</t>
    </r>
    <r>
      <rPr>
        <b/>
        <sz val="11"/>
        <color rgb="FF000000"/>
        <rFont val="Calibri"/>
        <family val="2"/>
      </rPr>
      <t>7/28 - changed ship date to 8/5 (Anne)
7/23 -</t>
    </r>
    <r>
      <rPr>
        <b/>
        <strike/>
        <sz val="11"/>
        <color rgb="FF000000"/>
        <rFont val="Calibri"/>
        <family val="2"/>
      </rPr>
      <t xml:space="preserve"> ok to ship partial - ask Tad/Anne if only shipping partial 8/7
7/23 - run partial after we receive more J1</t>
    </r>
  </si>
  <si>
    <t>133601-2
bal
ROWC 132914</t>
  </si>
  <si>
    <r>
      <rPr>
        <b/>
        <sz val="14"/>
        <color rgb="FF000000"/>
        <rFont val="Calibri"/>
        <family val="2"/>
      </rPr>
      <t xml:space="preserve">???
</t>
    </r>
    <r>
      <rPr>
        <b/>
        <strike/>
        <sz val="14"/>
        <color rgb="FF000000"/>
        <rFont val="Calibri"/>
        <family val="2"/>
      </rPr>
      <t xml:space="preserve">8/5
8/7
</t>
    </r>
    <r>
      <rPr>
        <b/>
        <sz val="14"/>
        <color rgb="FF000000"/>
        <rFont val="Calibri"/>
        <family val="2"/>
      </rPr>
      <t>10D</t>
    </r>
  </si>
  <si>
    <r>
      <rPr>
        <b/>
        <sz val="12"/>
        <color rgb="FFFF0000"/>
        <rFont val="Calibri"/>
        <family val="2"/>
      </rPr>
      <t xml:space="preserve">*** CANNOT BE LATE ***
</t>
    </r>
    <r>
      <rPr>
        <b/>
        <sz val="11"/>
        <color rgb="FF000000"/>
        <rFont val="Calibri"/>
        <family val="2"/>
      </rPr>
      <t>CLASS 3
LEAD FREE, NO CLEAN
DO NOT WASH BOARDS
DEPANEL</t>
    </r>
  </si>
  <si>
    <t>7/29 - 11:30</t>
  </si>
  <si>
    <t>7/31 - 8:30</t>
  </si>
  <si>
    <t>7/31 - 3:00</t>
  </si>
  <si>
    <t>no load one location
uploaded</t>
  </si>
  <si>
    <t>CLEAR 7/9</t>
  </si>
  <si>
    <t>7/9 CLEAR</t>
  </si>
  <si>
    <r>
      <rPr>
        <b/>
        <sz val="11"/>
        <color rgb="FF000000"/>
        <rFont val="Calibri"/>
        <family val="2"/>
      </rPr>
      <t xml:space="preserve">7/9 - off hold
</t>
    </r>
    <r>
      <rPr>
        <b/>
        <strike/>
        <sz val="11"/>
        <color rgb="FF000000"/>
        <rFont val="Calibri"/>
        <family val="2"/>
      </rPr>
      <t xml:space="preserve">7/9 - SHIP HOLD
</t>
    </r>
  </si>
  <si>
    <t>8/6
20D</t>
  </si>
  <si>
    <r>
      <rPr>
        <b/>
        <strike/>
        <u/>
        <sz val="11"/>
        <color rgb="FF000000"/>
        <rFont val="Calibri"/>
        <family val="2"/>
      </rPr>
      <t xml:space="preserve">* 7/9 - SHIP HOLD (OK TO RUN)
</t>
    </r>
    <r>
      <rPr>
        <b/>
        <sz val="11"/>
        <color rgb="FF000000"/>
        <rFont val="Calibri"/>
        <family val="2"/>
      </rPr>
      <t xml:space="preserve">*** </t>
    </r>
    <r>
      <rPr>
        <b/>
        <sz val="11"/>
        <color rgb="FFFF0000"/>
        <rFont val="Calibri"/>
        <family val="2"/>
      </rPr>
      <t xml:space="preserve">100% INSP REQ - BOARDS MUST BE PERFECT!!!
</t>
    </r>
    <r>
      <rPr>
        <b/>
        <sz val="11"/>
        <color rgb="FF000000"/>
        <rFont val="Calibri"/>
        <family val="2"/>
      </rPr>
      <t xml:space="preserve">100% AOI REQ
"C580" INSTALL BY HAND PER ECO
XRAY &amp; SA"CBL1" INSTALL UMC CABLE BETWEEN "J5 &amp; J8" PER ECO
</t>
    </r>
    <r>
      <rPr>
        <b/>
        <u/>
        <sz val="11"/>
        <color rgb="FF000000"/>
        <rFont val="Calibri"/>
        <family val="2"/>
      </rPr>
      <t xml:space="preserve">"SH1" INSTALL PER ECO - TORQUE TO 5 IN LBS
</t>
    </r>
    <r>
      <rPr>
        <b/>
        <sz val="11"/>
        <color rgb="FF000000"/>
        <rFont val="Calibri"/>
        <family val="2"/>
      </rPr>
      <t>"H34 &amp; H22" INSTALL JUMPERS PER ECO
"C288, CBL2, &amp; REAXIAL" INSTALL CABLE PER ECO (KNOT &amp; SHRINK TUBE REQ)
XRAY &amp; SAVE IMAGES
DEPANEL &amp; SAND</t>
    </r>
  </si>
  <si>
    <t>7/28 - 7:00</t>
  </si>
  <si>
    <t>7/30 - 8:00</t>
  </si>
  <si>
    <t>7/31 - 7:00</t>
  </si>
  <si>
    <t>complete ECO labels
(1 board, 1 bag, matching)</t>
  </si>
  <si>
    <t>new reviewed</t>
  </si>
  <si>
    <t>see new ECO</t>
  </si>
  <si>
    <r>
      <t xml:space="preserve">CLEAR 7/30
</t>
    </r>
    <r>
      <rPr>
        <b/>
        <strike/>
        <sz val="11"/>
        <color rgb="FF000000"/>
        <rFont val="Calibri"/>
        <family val="2"/>
      </rPr>
      <t>short, due 7/29</t>
    </r>
  </si>
  <si>
    <r>
      <t>7/30 - kit clear 
7/25 - matl clear
7/25 -</t>
    </r>
    <r>
      <rPr>
        <b/>
        <strike/>
        <sz val="11"/>
        <color rgb="FF000000"/>
        <rFont val="Calibri"/>
        <family val="2"/>
      </rPr>
      <t xml:space="preserve"> short SMT: H1, no ETA</t>
    </r>
  </si>
  <si>
    <t>134453
NEW</t>
  </si>
  <si>
    <t>8/6
5D</t>
  </si>
  <si>
    <r>
      <rPr>
        <b/>
        <sz val="11"/>
        <color rgb="FF000000"/>
        <rFont val="Calibri"/>
        <family val="2"/>
      </rPr>
      <t xml:space="preserve">CLASS 3
LEAD PROCESS
</t>
    </r>
    <r>
      <rPr>
        <b/>
        <strike/>
        <sz val="11"/>
        <color rgb="FF000000"/>
        <rFont val="Calibri"/>
        <family val="2"/>
      </rPr>
      <t>"H1, H1C1" INSPECT BEFORE INSTALLING SHIELDS</t>
    </r>
    <r>
      <rPr>
        <b/>
        <sz val="11"/>
        <color rgb="FF000000"/>
        <rFont val="Calibri"/>
        <family val="2"/>
      </rPr>
      <t xml:space="preserve"> (DNI H1 &amp; Ship H1C1 w/ boards)
DEPANEL</t>
    </r>
  </si>
  <si>
    <t>8/2 - 12:30</t>
  </si>
  <si>
    <t>8/3 - 6:00</t>
  </si>
  <si>
    <r>
      <t xml:space="preserve">clear 7/30
</t>
    </r>
    <r>
      <rPr>
        <b/>
        <strike/>
        <sz val="11"/>
        <color rgb="FF000000"/>
        <rFont val="Calibri"/>
        <family val="2"/>
      </rPr>
      <t>short, due 7/29</t>
    </r>
  </si>
  <si>
    <t>7/30 - kit clear
7/23 - matl clear</t>
  </si>
  <si>
    <t>7/30 - waiting for board inspection before officially 'kit clear'</t>
  </si>
  <si>
    <t>134451
NEW</t>
  </si>
  <si>
    <t>8/2 - 7:30</t>
  </si>
  <si>
    <t>8/2 - 10:00</t>
  </si>
  <si>
    <r>
      <rPr>
        <b/>
        <sz val="11"/>
        <color rgb="FF000000"/>
        <rFont val="Calibri"/>
        <family val="2"/>
      </rPr>
      <t>7/9 clear</t>
    </r>
    <r>
      <rPr>
        <b/>
        <strike/>
        <sz val="11"/>
        <color rgb="FF000000"/>
        <rFont val="Calibri"/>
        <family val="2"/>
      </rPr>
      <t xml:space="preserve"> qty short 34 due 7/16
pcb ETA 7/16</t>
    </r>
  </si>
  <si>
    <r>
      <rPr>
        <b/>
        <sz val="11"/>
        <color rgb="FF000000"/>
        <rFont val="Calibri"/>
        <family val="2"/>
      </rPr>
      <t xml:space="preserve">7/9 - kit clear
7/3 - matl clear
</t>
    </r>
    <r>
      <rPr>
        <b/>
        <strike/>
        <sz val="11"/>
        <color rgb="FF000000"/>
        <rFont val="Calibri"/>
        <family val="2"/>
      </rPr>
      <t>6/23 - U49, no ETA; C74 &amp; C298 due 6/25 thru 6/27</t>
    </r>
  </si>
  <si>
    <r>
      <rPr>
        <b/>
        <sz val="11"/>
        <color rgb="FF000000"/>
        <rFont val="Calibri"/>
        <family val="2"/>
      </rPr>
      <t xml:space="preserve">8/1 - Line 3 (Tri) run next build
7/31 - new stencil
7/9 - off hold
</t>
    </r>
    <r>
      <rPr>
        <b/>
        <strike/>
        <sz val="11"/>
        <color rgb="FF000000"/>
        <rFont val="Calibri"/>
        <family val="2"/>
      </rPr>
      <t>7/9 - SHIP HOLD</t>
    </r>
  </si>
  <si>
    <t>133202
RONC 126414</t>
  </si>
  <si>
    <r>
      <rPr>
        <b/>
        <strike/>
        <u/>
        <sz val="11"/>
        <color rgb="FFFF0000"/>
        <rFont val="Calibri"/>
        <family val="2"/>
      </rPr>
      <t xml:space="preserve">* 7/9 - SHIP HOLD (OK TO RUN)
</t>
    </r>
    <r>
      <rPr>
        <b/>
        <sz val="11"/>
        <color rgb="FFFF0000"/>
        <rFont val="Calibri"/>
        <family val="2"/>
      </rPr>
      <t xml:space="preserve">*** SEE ALTA QUALITY ALERT
*** 100% INSP REQ - BOARDS MUST BE PERFECT!!!
*** SOLDER BRIDGE REQ @ "U14, U15, U20, U21, U26, U27, U32 and U33" @ PINS 22, 23 &amp; 24
</t>
    </r>
    <r>
      <rPr>
        <b/>
        <sz val="11"/>
        <color rgb="FF000000"/>
        <rFont val="Calibri"/>
        <family val="2"/>
      </rPr>
      <t xml:space="preserve">XRAY &amp; SAVE IMAGES
DEPANEL
*** </t>
    </r>
    <r>
      <rPr>
        <b/>
        <strike/>
        <sz val="11"/>
        <color rgb="FF000000"/>
        <rFont val="Calibri"/>
        <family val="2"/>
      </rPr>
      <t>dni "J4K" &amp; SHIP WITH ASSYS</t>
    </r>
    <r>
      <rPr>
        <b/>
        <sz val="11"/>
        <color rgb="FF000000"/>
        <rFont val="Calibri"/>
        <family val="2"/>
      </rPr>
      <t xml:space="preserve"> received no J4K 6/23/2025
B133202 &amp; B126414 share 
P/N EPM7512AETC144-12</t>
    </r>
  </si>
  <si>
    <t>7/31 - 5:00</t>
  </si>
  <si>
    <t>7/31 - 11:30</t>
  </si>
  <si>
    <t>8/1 - 10:00</t>
  </si>
  <si>
    <t>CHECK ECO
LINE 3 BUILD ONLY</t>
  </si>
  <si>
    <t>DOC REL 6/18</t>
  </si>
  <si>
    <t>ronc FA uploaded</t>
  </si>
  <si>
    <t>133493-FA
NEW</t>
  </si>
  <si>
    <r>
      <rPr>
        <b/>
        <sz val="14"/>
        <color rgb="FF000000"/>
        <rFont val="Calibri"/>
        <family val="2"/>
      </rPr>
      <t xml:space="preserve">8/6
5D
</t>
    </r>
    <r>
      <rPr>
        <b/>
        <strike/>
        <sz val="14"/>
        <color rgb="FF000000"/>
        <rFont val="Calibri"/>
        <family val="2"/>
      </rPr>
      <t>10D</t>
    </r>
  </si>
  <si>
    <t>DO NOT LOSE ANY L11
CLASS 3
balance remain 509
LEAD FREE NO CLEAN</t>
  </si>
  <si>
    <r>
      <t xml:space="preserve">clear 8/1
short, due 8/4 </t>
    </r>
    <r>
      <rPr>
        <b/>
        <strike/>
        <sz val="11"/>
        <color rgb="FF000000"/>
        <rFont val="Calibri"/>
        <family val="2"/>
      </rPr>
      <t>7/28</t>
    </r>
  </si>
  <si>
    <t>8/1 - kit clear
7/16 - matl clear</t>
  </si>
  <si>
    <t>134118
ROWC 121418</t>
  </si>
  <si>
    <r>
      <rPr>
        <b/>
        <sz val="11"/>
        <color rgb="FFFF0000"/>
        <rFont val="Calibri"/>
        <family val="2"/>
      </rPr>
      <t xml:space="preserve">DO NOT SHIP: INSTALL ON B133577
</t>
    </r>
    <r>
      <rPr>
        <b/>
        <sz val="11"/>
        <color rgb="FF000000"/>
        <rFont val="Calibri"/>
        <family val="2"/>
      </rPr>
      <t xml:space="preserve">CLASS 3
DEPANEL, SAND, TRIM PER IPC
</t>
    </r>
    <r>
      <rPr>
        <b/>
        <u/>
        <sz val="11"/>
        <color rgb="FF000000"/>
        <rFont val="Calibri"/>
        <family val="2"/>
      </rPr>
      <t>CARE! similar to B133581. DO NOT MIX</t>
    </r>
  </si>
  <si>
    <t>8/3 - 7:00</t>
  </si>
  <si>
    <r>
      <rPr>
        <b/>
        <sz val="11"/>
        <color rgb="FF000000"/>
        <rFont val="Calibri"/>
        <family val="2"/>
      </rPr>
      <t xml:space="preserve">clear 7/30
7/23 - </t>
    </r>
    <r>
      <rPr>
        <b/>
        <strike/>
        <sz val="11"/>
        <color rgb="FF000000"/>
        <rFont val="Calibri"/>
        <family val="2"/>
      </rPr>
      <t>MEASURE PCB SHIELD HOLE SIZE AS SOON AS PCB'S COME IN
short, no ETA 7/30</t>
    </r>
  </si>
  <si>
    <t>7/30 - kit clear
7/24 - matl clear</t>
  </si>
  <si>
    <t>134634-FA
RONC 133925</t>
  </si>
  <si>
    <r>
      <rPr>
        <b/>
        <sz val="11"/>
        <color rgb="FF000000"/>
        <rFont val="Calibri"/>
        <family val="2"/>
      </rPr>
      <t xml:space="preserve">* </t>
    </r>
    <r>
      <rPr>
        <b/>
        <sz val="11"/>
        <color rgb="FFFF0000"/>
        <rFont val="Calibri"/>
        <family val="2"/>
      </rPr>
      <t xml:space="preserve">MEASURE PCB SHIELD HOLES AS SOON AS PCB'S ARRIVE - TAD TO CONFIRM HOLE SIZE W/ CUST
</t>
    </r>
    <r>
      <rPr>
        <b/>
        <sz val="11"/>
        <color rgb="FF000000"/>
        <rFont val="Calibri"/>
        <family val="2"/>
      </rPr>
      <t>*** USE SILICON PLUGS FOR "U1" PRIOR TO REFLOW - RESEAL "U1" EXCESS AFTER SMT
tape U1 before reflow
balance remain qty 320
"U1" x-ray required
LEAD-FREE, NO CLEAN
"U1" SEE ECO
PRESS FIT SHIELD WITH CUST SUPPLIED JIG
DEPANEL
boards clean of flux before shipping</t>
    </r>
  </si>
  <si>
    <t>8/1 - 7:00</t>
  </si>
  <si>
    <t>ronc 
no photos</t>
  </si>
  <si>
    <r>
      <t xml:space="preserve">7/23 - kit clear
</t>
    </r>
    <r>
      <rPr>
        <b/>
        <strike/>
        <sz val="11"/>
        <color rgb="FF000000"/>
        <rFont val="Calibri"/>
        <family val="2"/>
      </rPr>
      <t>7/23 - short SMT: 40 pieces U4 (1x board), (should clear soon - Anne)</t>
    </r>
  </si>
  <si>
    <t>7/23 - setup top 1st</t>
  </si>
  <si>
    <t>134235
NEW</t>
  </si>
  <si>
    <t>8/6
10D</t>
  </si>
  <si>
    <t>LEAD FREE WASH
DEPANEL
BTD U4 &amp; U1 (qty 40 boards short)</t>
  </si>
  <si>
    <t>7/29 - 8:00</t>
  </si>
  <si>
    <t>7/29 - 12:00</t>
  </si>
  <si>
    <t xml:space="preserve">Non-Contact Technologies
</t>
  </si>
  <si>
    <t>clear 7/28</t>
  </si>
  <si>
    <r>
      <t xml:space="preserve">7/30 - kit clear 
</t>
    </r>
    <r>
      <rPr>
        <b/>
        <strike/>
        <sz val="11"/>
        <color rgb="FF000000"/>
        <rFont val="Calibri"/>
        <family val="2"/>
      </rPr>
      <t>7/28 - short SMT: C164 &amp; U4
short THM1, WSH1, HS1 &amp; SCR1, no ETA</t>
    </r>
  </si>
  <si>
    <t>7/29 - considered clear
7/28 - ok to skip SMT shortages</t>
  </si>
  <si>
    <t>134447
NEW</t>
  </si>
  <si>
    <t>8/5
5D</t>
  </si>
  <si>
    <r>
      <rPr>
        <b/>
        <sz val="11"/>
        <color rgb="FF000000"/>
        <rFont val="Calibri"/>
        <family val="2"/>
      </rPr>
      <t xml:space="preserve">CLASS 3
LEAD WASH
</t>
    </r>
    <r>
      <rPr>
        <b/>
        <u/>
        <sz val="11"/>
        <color rgb="FF000000"/>
        <rFont val="Calibri"/>
        <family val="2"/>
      </rPr>
      <t xml:space="preserve">"U35, U54" HEATSINK REQ PER ECO
</t>
    </r>
    <r>
      <rPr>
        <b/>
        <sz val="11"/>
        <color rgb="FF000000"/>
        <rFont val="Calibri"/>
        <family val="2"/>
      </rPr>
      <t>TAG ANY BTD/DNI BOARDS PER ECO</t>
    </r>
  </si>
  <si>
    <t>7/30 - 7:00</t>
  </si>
  <si>
    <t>7/30 - 2:00</t>
  </si>
  <si>
    <r>
      <t xml:space="preserve">clear, 7/18
</t>
    </r>
    <r>
      <rPr>
        <b/>
        <strike/>
        <sz val="11"/>
        <color rgb="FF000000"/>
        <rFont val="Calibri"/>
        <family val="2"/>
      </rPr>
      <t>received 7/16
short, due 7/28</t>
    </r>
  </si>
  <si>
    <r>
      <t xml:space="preserve">7/29 - kit clear
</t>
    </r>
    <r>
      <rPr>
        <b/>
        <strike/>
        <sz val="11"/>
        <color rgb="FF000000"/>
        <rFont val="Calibri"/>
        <family val="2"/>
      </rPr>
      <t>7/18 - SMT clear; THT shortage due 7/29
7/16 - short SMT: U7 &amp; U18 (no ETA due SOON)</t>
    </r>
    <r>
      <rPr>
        <b/>
        <sz val="11"/>
        <color rgb="FF000000"/>
        <rFont val="Calibri"/>
        <family val="2"/>
      </rPr>
      <t xml:space="preserve">; short THT, </t>
    </r>
    <r>
      <rPr>
        <b/>
        <strike/>
        <sz val="11"/>
        <color rgb="FF000000"/>
        <rFont val="Calibri"/>
        <family val="2"/>
      </rPr>
      <t>no  J3 ETA 7/23, J2 no ETA</t>
    </r>
  </si>
  <si>
    <t>7/22 - possible expedite, start ASAP
7/16 - SMT top side 1st</t>
  </si>
  <si>
    <t>134351
NEW</t>
  </si>
  <si>
    <t>HOT JOB
"C64" SOLDER ON TOP OF "R31" PER ECO
REMOVE ALL FLUX RESIDUE
DEPANEL</t>
  </si>
  <si>
    <t>7/24 - 9:30</t>
  </si>
  <si>
    <t>7/24 - 10:30</t>
  </si>
  <si>
    <t>7/25 - 12:00</t>
  </si>
  <si>
    <t xml:space="preserve">MOXTEK
</t>
  </si>
  <si>
    <r>
      <t xml:space="preserve">7/29 - kit clear, short attrition
</t>
    </r>
    <r>
      <rPr>
        <b/>
        <strike/>
        <sz val="11"/>
        <color rgb="FF000000"/>
        <rFont val="Calibri"/>
        <family val="2"/>
      </rPr>
      <t>7/28 - SMT: awt part conf Y1 &amp; Y2, and short U108 &amp; attrition (passives)
THT: awt part conf J3 &amp; P2</t>
    </r>
  </si>
  <si>
    <t>7/29 - new stencil requested</t>
  </si>
  <si>
    <t>133637
NEW</t>
  </si>
  <si>
    <t xml:space="preserve">LEAD WASH
"U101" DOUBLE CHECK ORIENTATION PER ECO
T/H MOUNT FLUSH </t>
  </si>
  <si>
    <t>8/1 - 5:00</t>
  </si>
  <si>
    <t>8/1 - 8:30</t>
  </si>
  <si>
    <t>8/1 - 2:30</t>
  </si>
  <si>
    <t xml:space="preserve">SUMMIT SANTA CLARA-STREAMLINE CIRCUTS
</t>
  </si>
  <si>
    <r>
      <t xml:space="preserve">clear 7/23
</t>
    </r>
    <r>
      <rPr>
        <b/>
        <strike/>
        <sz val="11"/>
        <color rgb="FF000000"/>
        <rFont val="Calibri"/>
        <family val="2"/>
      </rPr>
      <t>short, due 7/21</t>
    </r>
  </si>
  <si>
    <r>
      <rPr>
        <b/>
        <sz val="11"/>
        <color rgb="FF000000"/>
        <rFont val="Calibri"/>
        <family val="2"/>
      </rPr>
      <t>8/5 - 2 dmg boards
7/28 - changed ship date to 8/5 (Anne)
7/23 -</t>
    </r>
    <r>
      <rPr>
        <b/>
        <strike/>
        <sz val="11"/>
        <color rgb="FF000000"/>
        <rFont val="Calibri"/>
        <family val="2"/>
      </rPr>
      <t xml:space="preserve"> ok to ship partial - ask Tad/Anne if only shipping partial 8/7
7/23 - run partial after we receive more J1</t>
    </r>
  </si>
  <si>
    <t>133601-1
par
ROWC 132914</t>
  </si>
  <si>
    <r>
      <rPr>
        <b/>
        <sz val="14"/>
        <color rgb="FF000000"/>
        <rFont val="Calibri"/>
        <family val="2"/>
      </rPr>
      <t xml:space="preserve">8/5
</t>
    </r>
    <r>
      <rPr>
        <b/>
        <strike/>
        <sz val="14"/>
        <color rgb="FF000000"/>
        <rFont val="Calibri"/>
        <family val="2"/>
      </rPr>
      <t xml:space="preserve">8/7
</t>
    </r>
    <r>
      <rPr>
        <b/>
        <sz val="14"/>
        <color rgb="FF000000"/>
        <rFont val="Calibri"/>
        <family val="2"/>
      </rPr>
      <t>10D</t>
    </r>
  </si>
  <si>
    <r>
      <rPr>
        <b/>
        <sz val="11"/>
        <color rgb="FF074F69"/>
        <rFont val="Calibri"/>
        <family val="2"/>
      </rPr>
      <t xml:space="preserve">clear 7/30
</t>
    </r>
    <r>
      <rPr>
        <b/>
        <strike/>
        <sz val="11"/>
        <color rgb="FF074F69"/>
        <rFont val="Calibri"/>
        <family val="2"/>
      </rPr>
      <t xml:space="preserve">short, no ETA 7/29 7/28 7/10 7/29 </t>
    </r>
  </si>
  <si>
    <t>6/24 - short "J2...", no ETA (partial)</t>
  </si>
  <si>
    <r>
      <rPr>
        <b/>
        <sz val="11"/>
        <color rgb="FF074F69"/>
        <rFont val="Calibri"/>
        <family val="2"/>
      </rPr>
      <t xml:space="preserve">7/15 - </t>
    </r>
    <r>
      <rPr>
        <b/>
        <sz val="11"/>
        <color rgb="FFFF0000"/>
        <rFont val="Calibri"/>
        <family val="2"/>
      </rPr>
      <t xml:space="preserve">expedite </t>
    </r>
    <r>
      <rPr>
        <b/>
        <sz val="11"/>
        <color rgb="FF074F69"/>
        <rFont val="Calibri"/>
        <family val="2"/>
      </rPr>
      <t>(TALK TO TAD)</t>
    </r>
  </si>
  <si>
    <t>133551-FA
plus 55
NEW</t>
  </si>
  <si>
    <r>
      <rPr>
        <b/>
        <sz val="14"/>
        <color rgb="FF000000"/>
        <rFont val="Calibri"/>
        <family val="2"/>
      </rPr>
      <t xml:space="preserve">8/4
</t>
    </r>
    <r>
      <rPr>
        <b/>
        <sz val="14"/>
        <color rgb="FFFF0000"/>
        <rFont val="Calibri"/>
        <family val="2"/>
      </rPr>
      <t>3D</t>
    </r>
  </si>
  <si>
    <t>CLASS 3
balance remain qty 98
LEAD FREE WASH (ROL0 OR ROL1)
SEE ECO #3 FOR T/H SOLDER
DO NOT SKIP AOI
XRAY &amp; SAVE IMAGES
AS9102 FAIR REQ</t>
  </si>
  <si>
    <t>7/31 - 9:00</t>
  </si>
  <si>
    <t>6/24</t>
  </si>
  <si>
    <r>
      <t xml:space="preserve">clear 7/7
</t>
    </r>
    <r>
      <rPr>
        <b/>
        <strike/>
        <sz val="11"/>
        <color rgb="FF000000"/>
        <rFont val="Calibri"/>
        <family val="2"/>
      </rPr>
      <t>short, ETA 7/11</t>
    </r>
  </si>
  <si>
    <r>
      <rPr>
        <b/>
        <sz val="11"/>
        <color rgb="FF000000"/>
        <rFont val="Calibri"/>
        <family val="2"/>
      </rPr>
      <t xml:space="preserve">7/23 - kit clear
</t>
    </r>
    <r>
      <rPr>
        <b/>
        <strike/>
        <sz val="11"/>
        <color rgb="FF000000"/>
        <rFont val="Calibri"/>
        <family val="2"/>
      </rPr>
      <t>6/27 - SMT matl clear; short 1x THT due 7/1</t>
    </r>
  </si>
  <si>
    <t>7/21 - run and deliver partial (Anne)</t>
  </si>
  <si>
    <t>132903
NEW</t>
  </si>
  <si>
    <t>8/4
10D</t>
  </si>
  <si>
    <r>
      <rPr>
        <b/>
        <sz val="11"/>
        <color rgb="FF000000"/>
        <rFont val="Calibri"/>
        <family val="2"/>
      </rPr>
      <t xml:space="preserve">minimum 35 due 8/4
bal due 8/6
LEAD PROCESS
"PS" AFTER WASH
DEPANEL
</t>
    </r>
    <r>
      <rPr>
        <b/>
        <u/>
        <sz val="14"/>
        <color rgb="FF000000"/>
        <rFont val="Calibri"/>
        <family val="2"/>
      </rPr>
      <t xml:space="preserve">*** </t>
    </r>
    <r>
      <rPr>
        <b/>
        <u/>
        <sz val="14"/>
        <color rgb="FFFF0000"/>
        <rFont val="Calibri"/>
        <family val="2"/>
      </rPr>
      <t>TRIM LEADS AS LOW AS POSSIBLE WITHIN IPC STANDARDS - DO NOT CUT INTO THE SOLDER JOINT</t>
    </r>
  </si>
  <si>
    <t>7/29 - 7:00</t>
  </si>
  <si>
    <t>7/29 - 10:00</t>
  </si>
  <si>
    <t xml:space="preserve">Sigma Defense Systems LLC
</t>
  </si>
  <si>
    <t>6/27</t>
  </si>
  <si>
    <r>
      <t xml:space="preserve">clear qty 60, 7/30
</t>
    </r>
    <r>
      <rPr>
        <b/>
        <strike/>
        <sz val="11"/>
        <color rgb="FF000000"/>
        <rFont val="Calibri"/>
        <family val="2"/>
      </rPr>
      <t>SHORT 30 boards, NO ETA 7/30</t>
    </r>
  </si>
  <si>
    <r>
      <rPr>
        <b/>
        <sz val="11"/>
        <color rgb="FF000000"/>
        <rFont val="Calibri"/>
        <family val="2"/>
      </rPr>
      <t xml:space="preserve">7/30 - kit clear
7/28 - matl clear
</t>
    </r>
    <r>
      <rPr>
        <b/>
        <strike/>
        <sz val="11"/>
        <color rgb="FF000000"/>
        <rFont val="Calibri"/>
        <family val="2"/>
      </rPr>
      <t>7/24 - SMT item TJ5 due 7/25, remaining matl enough for 60 boards
7/8 SHORT C16, D1, U2, and TJ5 NO ETA *SPLIT SHIPMENT QTY.40 &amp; QTY.60, CAN RUN AT ONCE IF ALL CLEARED</t>
    </r>
  </si>
  <si>
    <r>
      <rPr>
        <b/>
        <sz val="11"/>
        <color rgb="FF000000"/>
        <rFont val="Calibri"/>
        <family val="2"/>
      </rPr>
      <t xml:space="preserve">7/30 - </t>
    </r>
    <r>
      <rPr>
        <b/>
        <sz val="11"/>
        <color rgb="FFFF0000"/>
        <rFont val="Calibri"/>
        <family val="2"/>
      </rPr>
      <t xml:space="preserve">expedite
</t>
    </r>
    <r>
      <rPr>
        <b/>
        <sz val="11"/>
        <color rgb="FF000000"/>
        <rFont val="Calibri"/>
        <family val="2"/>
      </rPr>
      <t xml:space="preserve">7/16 - </t>
    </r>
    <r>
      <rPr>
        <b/>
        <strike/>
        <sz val="11"/>
        <color rgb="FF000000"/>
        <rFont val="Calibri"/>
        <family val="2"/>
      </rPr>
      <t>ship 60 on 7/28 (Anne)</t>
    </r>
  </si>
  <si>
    <t>134205-1
par
NEW</t>
  </si>
  <si>
    <r>
      <rPr>
        <b/>
        <sz val="14"/>
        <color rgb="FF000000"/>
        <rFont val="Calibri"/>
        <family val="2"/>
      </rPr>
      <t xml:space="preserve">8/4
</t>
    </r>
    <r>
      <rPr>
        <b/>
        <strike/>
        <sz val="14"/>
        <color rgb="FF000000"/>
        <rFont val="Calibri"/>
        <family val="2"/>
      </rPr>
      <t xml:space="preserve">7/28
</t>
    </r>
    <r>
      <rPr>
        <b/>
        <sz val="14"/>
        <color rgb="FFFF0000"/>
        <rFont val="Calibri"/>
        <family val="2"/>
      </rPr>
      <t>3D</t>
    </r>
  </si>
  <si>
    <r>
      <rPr>
        <b/>
        <sz val="11"/>
        <color rgb="FFFF0000"/>
        <rFont val="Calibri"/>
        <family val="2"/>
      </rPr>
      <t xml:space="preserve">*** PAID EXPEDITE - QTY 60
</t>
    </r>
    <r>
      <rPr>
        <b/>
        <sz val="11"/>
        <color rgb="FF782170"/>
        <rFont val="Calibri"/>
        <family val="2"/>
      </rPr>
      <t xml:space="preserve">balance remaining 40
100% inspection
AOI, Xray &amp; Save Images Required
100% photos (front/back all)
</t>
    </r>
    <r>
      <rPr>
        <b/>
        <sz val="11"/>
        <color rgb="FFFF0000"/>
        <rFont val="Calibri"/>
        <family val="2"/>
      </rPr>
      <t>*** MUST INCLUDE PO 001500 ON SHIPPING LABEL PER PO EMAI</t>
    </r>
    <r>
      <rPr>
        <b/>
        <sz val="11"/>
        <color rgb="FF782170"/>
        <rFont val="Calibri"/>
        <family val="2"/>
      </rPr>
      <t xml:space="preserve">L
"F1, FH1, FH2" INSTALL PER ECO
"T1" TRIM PIN 1 PER ECO
</t>
    </r>
    <r>
      <rPr>
        <b/>
        <sz val="11"/>
        <color rgb="FFFF0000"/>
        <rFont val="Calibri"/>
        <family val="2"/>
      </rPr>
      <t xml:space="preserve">*** PACK WITH EXTRA CARE &amp; INSURE MOISTURE PROTECTION
</t>
    </r>
    <r>
      <rPr>
        <b/>
        <sz val="11"/>
        <color rgb="FF782170"/>
        <rFont val="Calibri"/>
        <family val="2"/>
      </rPr>
      <t>DEPANEL</t>
    </r>
  </si>
  <si>
    <t>7/30 - 12:00</t>
  </si>
  <si>
    <t>7/30 - 3:00</t>
  </si>
  <si>
    <t>7/30 - 5:00</t>
  </si>
  <si>
    <r>
      <t xml:space="preserve">7/18 - kit clear
</t>
    </r>
    <r>
      <rPr>
        <b/>
        <strike/>
        <sz val="11"/>
        <color rgb="FF000000"/>
        <rFont val="Calibri"/>
        <family val="2"/>
      </rPr>
      <t>7/17 - received 35 of 110
SHORT, NO ETA 7/21 7/18</t>
    </r>
  </si>
  <si>
    <r>
      <t xml:space="preserve">7/18 - kit clear
7/11- MATL CLEAR
</t>
    </r>
    <r>
      <rPr>
        <b/>
        <strike/>
        <sz val="11"/>
        <color rgb="FF000000"/>
        <rFont val="Calibri"/>
        <family val="2"/>
      </rPr>
      <t>7/8 SHORT PARTIAL OF U16 &amp; U18 NO ETA</t>
    </r>
    <r>
      <rPr>
        <b/>
        <sz val="11"/>
        <color rgb="FF000000"/>
        <rFont val="Calibri"/>
        <family val="2"/>
      </rPr>
      <t>. *SPLIT SHIP, CAN RUN AT ONCE IF ALL CLEAR</t>
    </r>
  </si>
  <si>
    <r>
      <rPr>
        <b/>
        <sz val="11"/>
        <color rgb="FF000000"/>
        <rFont val="Calibri"/>
        <family val="2"/>
      </rPr>
      <t xml:space="preserve">7/21 -
10 boards/hr (top side 1st)
7/16 - </t>
    </r>
    <r>
      <rPr>
        <b/>
        <strike/>
        <sz val="11"/>
        <color rgb="FF000000"/>
        <rFont val="Calibri"/>
        <family val="2"/>
      </rPr>
      <t xml:space="preserve">maybe </t>
    </r>
    <r>
      <rPr>
        <b/>
        <sz val="11"/>
        <color rgb="FF000000"/>
        <rFont val="Calibri"/>
        <family val="2"/>
      </rPr>
      <t>SHIP 70 on 7/25</t>
    </r>
  </si>
  <si>
    <t>134209-2
bal
NEW</t>
  </si>
  <si>
    <t>8/1
10D</t>
  </si>
  <si>
    <r>
      <rPr>
        <b/>
        <strike/>
        <sz val="11"/>
        <color rgb="FF000000"/>
        <rFont val="Calibri"/>
        <family val="2"/>
      </rPr>
      <t xml:space="preserve">EXPEDITE???
</t>
    </r>
    <r>
      <rPr>
        <b/>
        <sz val="11"/>
        <color rgb="FF000000"/>
        <rFont val="Calibri"/>
        <family val="2"/>
      </rPr>
      <t xml:space="preserve">100% inspection
AOI, Xray &amp; Save Images Required
100% photos (front/back all)
SPLIT SHIPMENT - </t>
    </r>
    <r>
      <rPr>
        <b/>
        <sz val="11"/>
        <color rgb="FF782170"/>
        <rFont val="Calibri"/>
        <family val="2"/>
      </rPr>
      <t xml:space="preserve">QTY 70/5D &amp; QTY 40//10D
</t>
    </r>
    <r>
      <rPr>
        <b/>
        <sz val="11"/>
        <color rgb="FF000000"/>
        <rFont val="Calibri"/>
        <family val="2"/>
      </rPr>
      <t xml:space="preserve">"C170" AFTER WASH
</t>
    </r>
    <r>
      <rPr>
        <b/>
        <sz val="12"/>
        <color rgb="FF000000"/>
        <rFont val="Calibri"/>
        <family val="2"/>
      </rPr>
      <t>*** MUST INCLUDE PO 001498 ON SHIPPING LABEL PER PO EMAIL
DEPANEL</t>
    </r>
  </si>
  <si>
    <t>7/28 - 6:00</t>
  </si>
  <si>
    <t>7/28 - 11:00</t>
  </si>
  <si>
    <t>Fedex - Super Saver</t>
  </si>
  <si>
    <t>rtv required?</t>
  </si>
  <si>
    <t>7/11-CLEAR</t>
  </si>
  <si>
    <r>
      <t>7/11-KIT CLEAR</t>
    </r>
    <r>
      <rPr>
        <b/>
        <strike/>
        <sz val="11"/>
        <color rgb="FF000000"/>
        <rFont val="Calibri"/>
        <family val="2"/>
      </rPr>
      <t xml:space="preserve"> IF U33 and U34 CONF OK TO USE</t>
    </r>
  </si>
  <si>
    <t>133778
NEW</t>
  </si>
  <si>
    <t>8/1
15D</t>
  </si>
  <si>
    <t>LEAD WASH
TAG ANY BTD AND/OR DNI BORDS PER ECO</t>
  </si>
  <si>
    <t>YES</t>
  </si>
  <si>
    <t>131636-2nd
2 PAR
ROWC 1st Article</t>
  </si>
  <si>
    <t>8/1
??D</t>
  </si>
  <si>
    <t>SPLIT SHIPMENTS (CAN BUILD ALL AT ONCE)
-	7/23 : qty 50
-	8/1    : qty 60
-	???     : qty ???
-	???     : qty BAL
*** SEE ECO FOR SOLDER &amp; CLEANING
AS9102 FAIR REQ
lead-free no-clean Aquanox
DO NOT SKIP AOI
XRAY &amp; SAVE IMAGES
DEPANEL</t>
  </si>
  <si>
    <t>top side 1st</t>
  </si>
  <si>
    <r>
      <rPr>
        <b/>
        <sz val="11"/>
        <color rgb="FF000000"/>
        <rFont val="Calibri"/>
        <family val="2"/>
      </rPr>
      <t xml:space="preserve">clear 6/27
</t>
    </r>
    <r>
      <rPr>
        <b/>
        <strike/>
        <u/>
        <sz val="11"/>
        <color rgb="FF000000"/>
        <rFont val="Calibri"/>
        <family val="2"/>
      </rPr>
      <t xml:space="preserve">NOT </t>
    </r>
    <r>
      <rPr>
        <b/>
        <strike/>
        <sz val="11"/>
        <color rgb="FF000000"/>
        <rFont val="Calibri"/>
        <family val="2"/>
      </rPr>
      <t>clear 6/23</t>
    </r>
  </si>
  <si>
    <t>6/23 - short 32 pieces of P1
6/23 - awt bare boards return from Laser Cutting</t>
  </si>
  <si>
    <t>6/23 - ok to run 156 of 188
6/23 - scheduled shipment qty 50 no later than 6/30</t>
  </si>
  <si>
    <t>131635-2nd
2Par
ROWC 1st Article</t>
  </si>
  <si>
    <t>8/1
5D</t>
  </si>
  <si>
    <r>
      <rPr>
        <b/>
        <sz val="11"/>
        <color rgb="FF000000"/>
        <rFont val="Calibri"/>
        <family val="2"/>
      </rPr>
      <t xml:space="preserve">SPLIT SHIPMENTS (CAN BUILD ALL AT ONCE)
BATCH 1 - 06/24 QTY 50 – How soon can you ship these?
BATCH 2 - 8/01 QTY 60
BATCH 3 - 9/01 QTY 50
BATCH 4 - 10/01 QTY 30
*** SEE ECO FOR SOLDER &amp; CLEANING
AS9102 FAIR REQUIRED
XRAY &amp; SAVE IMAGES
DO NOT SKIP AOI
MAKE SURE BOARDS ARE FREE AND CLEAN OF FLUX &amp; DEBRIS
</t>
    </r>
    <r>
      <rPr>
        <b/>
        <u/>
        <sz val="11"/>
        <color rgb="FF000000"/>
        <rFont val="Calibri"/>
        <family val="2"/>
      </rPr>
      <t>shipping: ensure nuts are installed</t>
    </r>
  </si>
  <si>
    <t>132028-2ND
2 PAR
RONC 1st Article</t>
  </si>
  <si>
    <r>
      <rPr>
        <b/>
        <sz val="14"/>
        <color rgb="FF000000"/>
        <rFont val="Calibri"/>
        <family val="2"/>
      </rPr>
      <t xml:space="preserve">8/1
</t>
    </r>
    <r>
      <rPr>
        <b/>
        <strike/>
        <sz val="14"/>
        <color rgb="FF000000"/>
        <rFont val="Calibri"/>
        <family val="2"/>
      </rPr>
      <t>5D</t>
    </r>
  </si>
  <si>
    <r>
      <rPr>
        <b/>
        <sz val="12"/>
        <color rgb="FFFF0000"/>
        <rFont val="Calibri"/>
        <family val="2"/>
      </rPr>
      <t xml:space="preserve">*** SEE ECO FOR SOLDER &amp; CLEANING
</t>
    </r>
    <r>
      <rPr>
        <b/>
        <strike/>
        <sz val="11"/>
        <color rgb="FF000000"/>
        <rFont val="Calibri"/>
        <family val="2"/>
      </rPr>
      <t xml:space="preserve">LEAD FREE WASH
</t>
    </r>
    <r>
      <rPr>
        <b/>
        <sz val="11"/>
        <color rgb="FF000000"/>
        <rFont val="Calibri"/>
        <family val="2"/>
      </rPr>
      <t xml:space="preserve">AS9102 FAIR REQ
DO NOT SKIP AOI
XRAY &amp; SAVE IMAGES
DEPANEL &amp; SAND
MAKE SURE BOARDS ARE FREE AND CLEAN OF DEBRIS &amp; FLUX
scheduled shipment:
</t>
    </r>
    <r>
      <rPr>
        <b/>
        <strike/>
        <sz val="11"/>
        <color rgb="FF000000"/>
        <rFont val="Calibri"/>
        <family val="2"/>
      </rPr>
      <t xml:space="preserve">BATCH 1 - 7/1 - QTY 60
</t>
    </r>
    <r>
      <rPr>
        <b/>
        <sz val="11"/>
        <color rgb="FF000000"/>
        <rFont val="Calibri"/>
        <family val="2"/>
      </rPr>
      <t>BATCH 2 - 08/01 - QTY 120
BATCH 3 - 9/01 - QTY 110
BATCH 4 - 10/01 - QTY 78</t>
    </r>
  </si>
  <si>
    <r>
      <t xml:space="preserve">clear 7/17
</t>
    </r>
    <r>
      <rPr>
        <b/>
        <strike/>
        <sz val="11"/>
        <color rgb="FF000000"/>
        <rFont val="Calibri"/>
        <family val="2"/>
      </rPr>
      <t>SHORT, ETA 7/23</t>
    </r>
  </si>
  <si>
    <r>
      <t xml:space="preserve">7/17 - kit clear
</t>
    </r>
    <r>
      <rPr>
        <b/>
        <strike/>
        <sz val="11"/>
        <color rgb="FF000000"/>
        <rFont val="Calibri"/>
        <family val="2"/>
      </rPr>
      <t>SHORT R1 (SMT) ETA 7/11</t>
    </r>
  </si>
  <si>
    <r>
      <rPr>
        <b/>
        <sz val="11"/>
        <color rgb="FF000000"/>
        <rFont val="Calibri"/>
        <family val="2"/>
      </rPr>
      <t xml:space="preserve">7/29 - OFF HOLD
</t>
    </r>
    <r>
      <rPr>
        <b/>
        <strike/>
        <sz val="11"/>
        <color rgb="FF000000"/>
        <rFont val="Calibri"/>
        <family val="2"/>
      </rPr>
      <t xml:space="preserve">7/21 - </t>
    </r>
    <r>
      <rPr>
        <b/>
        <strike/>
        <sz val="11"/>
        <color rgb="FFFF0000"/>
        <rFont val="Calibri"/>
        <family val="2"/>
      </rPr>
      <t>SHIPPING HOLD</t>
    </r>
  </si>
  <si>
    <t>134330
NEW</t>
  </si>
  <si>
    <t>7/31
10D</t>
  </si>
  <si>
    <r>
      <rPr>
        <b/>
        <strike/>
        <sz val="11"/>
        <color rgb="FF000000"/>
        <rFont val="Calibri"/>
        <family val="2"/>
      </rPr>
      <t xml:space="preserve">*** </t>
    </r>
    <r>
      <rPr>
        <b/>
        <strike/>
        <sz val="11"/>
        <color rgb="FFFF0000"/>
        <rFont val="Calibri"/>
        <family val="2"/>
      </rPr>
      <t>SHIP HOLD</t>
    </r>
    <r>
      <rPr>
        <b/>
        <strike/>
        <sz val="11"/>
        <color rgb="FF000000"/>
        <rFont val="Calibri"/>
        <family val="2"/>
      </rPr>
      <t xml:space="preserve"> (RUN BUT DO NOT SHIP)
</t>
    </r>
    <r>
      <rPr>
        <b/>
        <sz val="11"/>
        <color rgb="FF000000"/>
        <rFont val="Calibri"/>
        <family val="2"/>
      </rPr>
      <t>PRE BAKE REQ
DEPANEL</t>
    </r>
  </si>
  <si>
    <t>7/25 - 9:00</t>
  </si>
  <si>
    <t>7/25 - 2:30</t>
  </si>
  <si>
    <t>7/10</t>
  </si>
  <si>
    <t>mark rev complete</t>
  </si>
  <si>
    <r>
      <t xml:space="preserve">7/28 - kit clear
</t>
    </r>
    <r>
      <rPr>
        <b/>
        <strike/>
        <sz val="11"/>
        <color rgb="FF000000"/>
        <rFont val="Calibri"/>
        <family val="2"/>
      </rPr>
      <t xml:space="preserve">7/28 - U11 due date 7/29
7/17 - short SMT : U11 qty 310 due NO ETA 7/21; THT 2x line items
7/9 - SHORT U11 (no ETA), J4 (no ETA), J6 (no ETA), J3 (7/15), J16 (no ETA), and T1 (7/15) with no ETA </t>
    </r>
    <r>
      <rPr>
        <b/>
        <sz val="11"/>
        <color rgb="FF000000"/>
        <rFont val="Calibri"/>
        <family val="2"/>
      </rPr>
      <t>(customer supplied).
*Split shipment: QTY 70/5D, QTY 40/10D, Can run at once if all clear</t>
    </r>
  </si>
  <si>
    <t>134208-1
par
NEW</t>
  </si>
  <si>
    <r>
      <rPr>
        <b/>
        <sz val="14"/>
        <color rgb="FF000000"/>
        <rFont val="Calibri"/>
        <family val="2"/>
      </rPr>
      <t xml:space="preserve">7/31
</t>
    </r>
    <r>
      <rPr>
        <b/>
        <strike/>
        <sz val="14"/>
        <color rgb="FF000000"/>
        <rFont val="Calibri"/>
        <family val="2"/>
      </rPr>
      <t xml:space="preserve">7/28
</t>
    </r>
    <r>
      <rPr>
        <b/>
        <sz val="14"/>
        <color rgb="FFFF0000"/>
        <rFont val="Calibri"/>
        <family val="2"/>
      </rPr>
      <t xml:space="preserve">3D
</t>
    </r>
    <r>
      <rPr>
        <b/>
        <sz val="14"/>
        <color rgb="FF000000"/>
        <rFont val="Calibri"/>
        <family val="2"/>
      </rPr>
      <t>10D</t>
    </r>
  </si>
  <si>
    <r>
      <rPr>
        <b/>
        <sz val="11"/>
        <color rgb="FFFF0000"/>
        <rFont val="Calibri"/>
        <family val="2"/>
      </rPr>
      <t xml:space="preserve">*** PAID EXPEDITE - QTY 70
</t>
    </r>
    <r>
      <rPr>
        <b/>
        <sz val="11"/>
        <color rgb="FF000000"/>
        <rFont val="Calibri"/>
        <family val="2"/>
      </rPr>
      <t xml:space="preserve">balance remaining qty 40
100% inspection
AOI, Xray &amp; Save Images Required
100% photos (front/back all)
MUST PREBAKE PCB'S
"SW1-SW8" AFTER WASH
"SW9 &amp; J16" INSTALL PER ECO
DEPANEL
SPLIT SHIPMENT: QTY 70 / LT 5, qty 40 LT 10
</t>
    </r>
    <r>
      <rPr>
        <b/>
        <sz val="11"/>
        <color rgb="FFFF0000"/>
        <rFont val="Calibri"/>
        <family val="2"/>
      </rPr>
      <t>*** PACK WITH EXTRA CARE &amp; INSURE MOISTURE PROTECTION
*** MUST INCLUDE PO 001503 ON SHIPPING LABEL PER PO EMAIL</t>
    </r>
  </si>
  <si>
    <t>7/28 - 11:30</t>
  </si>
  <si>
    <t>7/29 - 7:30</t>
  </si>
  <si>
    <r>
      <rPr>
        <b/>
        <sz val="11"/>
        <color rgb="FF000000"/>
        <rFont val="Calibri"/>
        <family val="2"/>
      </rPr>
      <t xml:space="preserve">7/30 - </t>
    </r>
    <r>
      <rPr>
        <b/>
        <sz val="11"/>
        <color rgb="FFFF0000"/>
        <rFont val="Calibri"/>
        <family val="2"/>
      </rPr>
      <t>press fit issue</t>
    </r>
  </si>
  <si>
    <t>133583-1
par
ROWC 133072</t>
  </si>
  <si>
    <r>
      <rPr>
        <b/>
        <sz val="14"/>
        <color rgb="FF000000"/>
        <rFont val="Calibri"/>
        <family val="2"/>
      </rPr>
      <t xml:space="preserve">7/31
</t>
    </r>
    <r>
      <rPr>
        <b/>
        <strike/>
        <sz val="14"/>
        <color rgb="FF000000"/>
        <rFont val="Calibri"/>
        <family val="2"/>
      </rPr>
      <t xml:space="preserve">7/30
</t>
    </r>
    <r>
      <rPr>
        <b/>
        <sz val="14"/>
        <color rgb="FFFF0000"/>
        <rFont val="Calibri"/>
        <family val="2"/>
      </rPr>
      <t>3D</t>
    </r>
  </si>
  <si>
    <t>clear 7/15</t>
  </si>
  <si>
    <r>
      <t xml:space="preserve">7/16 - kit clear
</t>
    </r>
    <r>
      <rPr>
        <b/>
        <strike/>
        <sz val="11"/>
        <color rgb="FF000000"/>
        <rFont val="Calibri"/>
        <family val="2"/>
      </rPr>
      <t>7/16 - SMT: L2 due date</t>
    </r>
  </si>
  <si>
    <t>133998
NEW</t>
  </si>
  <si>
    <t>7/30
10D</t>
  </si>
  <si>
    <t xml:space="preserve">CLASS 3
LEAD FREE NO CLEAN
</t>
  </si>
  <si>
    <t>7/23 - 7:30</t>
  </si>
  <si>
    <t>7/15</t>
  </si>
  <si>
    <t xml:space="preserve">complete
ECO </t>
  </si>
  <si>
    <r>
      <t xml:space="preserve">clear 7/23
</t>
    </r>
    <r>
      <rPr>
        <b/>
        <strike/>
        <sz val="11"/>
        <color rgb="FF000000"/>
        <rFont val="Calibri"/>
        <family val="2"/>
      </rPr>
      <t>short, no ETA 7/24</t>
    </r>
  </si>
  <si>
    <r>
      <t xml:space="preserve">7/23 - kit clear
7/21 - matl clear
</t>
    </r>
    <r>
      <rPr>
        <b/>
        <strike/>
        <sz val="11"/>
        <color rgb="FF000000"/>
        <rFont val="Calibri"/>
        <family val="2"/>
      </rPr>
      <t>7/17 - short SMT: qty 105 C30 due week of 7/21</t>
    </r>
  </si>
  <si>
    <t>134466
NEW</t>
  </si>
  <si>
    <t>7/30
5D</t>
  </si>
  <si>
    <t>PREBAKE PCB'S</t>
  </si>
  <si>
    <t>7/28 - 9:30</t>
  </si>
  <si>
    <t xml:space="preserve">GPS NETWORKING
</t>
  </si>
  <si>
    <r>
      <t xml:space="preserve">clear 7/16
</t>
    </r>
    <r>
      <rPr>
        <b/>
        <strike/>
        <sz val="11"/>
        <color rgb="FF000000"/>
        <rFont val="Calibri"/>
        <family val="2"/>
      </rPr>
      <t>short, no ETA 7/15 7/18</t>
    </r>
  </si>
  <si>
    <r>
      <t xml:space="preserve">7/16 - kit clear
7/7 - matl clear
</t>
    </r>
    <r>
      <rPr>
        <b/>
        <strike/>
        <sz val="11"/>
        <color rgb="FF000000"/>
        <rFont val="Calibri"/>
        <family val="2"/>
      </rPr>
      <t>7/1 - short SMT #22 (U1) 18x/board ETA 7/2 or 7/3; short THT, no ETA</t>
    </r>
  </si>
  <si>
    <t>134156
ROWC 130906</t>
  </si>
  <si>
    <t>"SW3, SW4" AFTER WASH
MOUNT ALL T/H FLUSH
DEPANEL
EXTRA CARE FOR PACKAGING</t>
  </si>
  <si>
    <t>7/18 - 12:30</t>
  </si>
  <si>
    <t>7/21 - 8:00</t>
  </si>
  <si>
    <t>Biolog</t>
  </si>
  <si>
    <r>
      <t xml:space="preserve">clear 7/22
</t>
    </r>
    <r>
      <rPr>
        <b/>
        <strike/>
        <sz val="11"/>
        <color rgb="FF000000"/>
        <rFont val="Calibri"/>
        <family val="2"/>
      </rPr>
      <t>bal due 7/22 7/21
7/18 - received 24 of 28, no ETA bal</t>
    </r>
  </si>
  <si>
    <r>
      <t xml:space="preserve">7/22 - kit clear
7/21 - matl clear
</t>
    </r>
    <r>
      <rPr>
        <b/>
        <strike/>
        <sz val="11"/>
        <color rgb="FF000000"/>
        <rFont val="Calibri"/>
        <family val="2"/>
      </rPr>
      <t>7/18 - short SMT: U60 due week of 7/21</t>
    </r>
  </si>
  <si>
    <r>
      <rPr>
        <b/>
        <sz val="11"/>
        <color rgb="FF000000"/>
        <rFont val="Calibri"/>
        <family val="2"/>
      </rPr>
      <t>7/25 - SMT done bot 15
7/25 - rec'd more #6
7/24 - o</t>
    </r>
    <r>
      <rPr>
        <b/>
        <strike/>
        <sz val="11"/>
        <color rgb="FF000000"/>
        <rFont val="Calibri"/>
        <family val="2"/>
      </rPr>
      <t>n hold due to #6 tape spacing issue</t>
    </r>
  </si>
  <si>
    <t>134105
NEW</t>
  </si>
  <si>
    <t>7/29
5D</t>
  </si>
  <si>
    <t>7/24 - 9:00</t>
  </si>
  <si>
    <t>FEDEX p</t>
  </si>
  <si>
    <r>
      <t xml:space="preserve">clear 7/25
</t>
    </r>
    <r>
      <rPr>
        <b/>
        <strike/>
        <sz val="11"/>
        <color rgb="FF000000"/>
        <rFont val="Calibri"/>
        <family val="2"/>
      </rPr>
      <t>short, no ETA</t>
    </r>
  </si>
  <si>
    <t>7/22 - matl clear</t>
  </si>
  <si>
    <t>134602
NEW</t>
  </si>
  <si>
    <r>
      <rPr>
        <b/>
        <sz val="14"/>
        <color rgb="FF000000"/>
        <rFont val="Calibri"/>
        <family val="2"/>
      </rPr>
      <t xml:space="preserve">7/29
</t>
    </r>
    <r>
      <rPr>
        <b/>
        <sz val="14"/>
        <color rgb="FFFF0000"/>
        <rFont val="Calibri"/>
        <family val="2"/>
      </rPr>
      <t>2D</t>
    </r>
  </si>
  <si>
    <t>PREBAKE PCBS
DEPANEL</t>
  </si>
  <si>
    <t>Eyebot</t>
  </si>
  <si>
    <t>7/17 - matl clear</t>
  </si>
  <si>
    <t>134131
RWK</t>
  </si>
  <si>
    <t>Remove and replace J100, R908 and R910
100% photos required before ship</t>
  </si>
  <si>
    <t xml:space="preserve">Ultima Genomics, Inc.
</t>
  </si>
  <si>
    <t>rwk</t>
  </si>
  <si>
    <t>clear 7/17</t>
  </si>
  <si>
    <r>
      <t xml:space="preserve">7/18 - kit clear; DNI J3
7/17 - </t>
    </r>
    <r>
      <rPr>
        <b/>
        <strike/>
        <sz val="11"/>
        <color rgb="FF000000"/>
        <rFont val="Calibri"/>
        <family val="2"/>
      </rPr>
      <t>SMT matl clear; short J3, no ETA</t>
    </r>
  </si>
  <si>
    <r>
      <rPr>
        <b/>
        <sz val="11"/>
        <color rgb="FF000000"/>
        <rFont val="Calibri"/>
        <family val="2"/>
      </rPr>
      <t xml:space="preserve">7/25 - </t>
    </r>
    <r>
      <rPr>
        <b/>
        <sz val="11"/>
        <color rgb="FFFF0000"/>
        <rFont val="Calibri"/>
        <family val="2"/>
      </rPr>
      <t xml:space="preserve">shipped 7 of 8 (last board has bubble)
</t>
    </r>
    <r>
      <rPr>
        <b/>
        <sz val="11"/>
        <color rgb="FF000000"/>
        <rFont val="Calibri"/>
        <family val="2"/>
      </rPr>
      <t>7/22 - SMT bot comp 3</t>
    </r>
  </si>
  <si>
    <r>
      <rPr>
        <b/>
        <sz val="14"/>
        <color rgb="FF000000"/>
        <rFont val="Calibri"/>
        <family val="2"/>
      </rPr>
      <t xml:space="preserve">???
</t>
    </r>
    <r>
      <rPr>
        <b/>
        <strike/>
        <sz val="14"/>
        <color rgb="FF000000"/>
        <rFont val="Calibri"/>
        <family val="2"/>
      </rPr>
      <t xml:space="preserve">7/25
</t>
    </r>
    <r>
      <rPr>
        <b/>
        <sz val="14"/>
        <color rgb="FF000000"/>
        <rFont val="Calibri"/>
        <family val="2"/>
      </rPr>
      <t>5D</t>
    </r>
  </si>
  <si>
    <r>
      <rPr>
        <b/>
        <sz val="11"/>
        <color rgb="FFFF0000"/>
        <rFont val="Calibri"/>
        <family val="2"/>
        <scheme val="minor"/>
      </rPr>
      <t xml:space="preserve">*** DPAS RATING D0-A7 ***
CLASS 3
</t>
    </r>
    <r>
      <rPr>
        <b/>
        <sz val="11"/>
        <color rgb="FF000000"/>
        <rFont val="Calibri"/>
        <family val="2"/>
        <scheme val="minor"/>
      </rPr>
      <t xml:space="preserve">LEAD FREE NO CLEAN PROCESS
</t>
    </r>
    <r>
      <rPr>
        <b/>
        <sz val="11"/>
        <color rgb="FFFF0000"/>
        <rFont val="Calibri"/>
        <family val="2"/>
        <scheme val="minor"/>
      </rPr>
      <t xml:space="preserve">*** "U35.1-16, U38.1-16, U39.1-16" SEE ECO FOR QUALITY ALERT - INSUFFICIENT SOLDER
</t>
    </r>
    <r>
      <rPr>
        <b/>
        <u/>
        <sz val="11"/>
        <color rgb="FF000000"/>
        <rFont val="Calibri"/>
        <family val="2"/>
        <scheme val="minor"/>
      </rPr>
      <t xml:space="preserve">NO ADDITIONAL VERNDOR MARKS </t>
    </r>
    <r>
      <rPr>
        <b/>
        <sz val="11"/>
        <color rgb="FF000000"/>
        <rFont val="Calibri"/>
        <family val="2"/>
        <scheme val="minor"/>
      </rPr>
      <t xml:space="preserve">PERMITTED, QA/AOI STAMP ON FRAME AND RETAIN ONE FRAME FOR OUR RECORD
</t>
    </r>
    <r>
      <rPr>
        <b/>
        <sz val="11"/>
        <color rgb="FFFF0000"/>
        <rFont val="Calibri"/>
        <family val="2"/>
        <scheme val="minor"/>
      </rPr>
      <t xml:space="preserve">*** COMPLETE REMOVAL OF FLUX IS REQUIRED
</t>
    </r>
    <r>
      <rPr>
        <b/>
        <sz val="11"/>
        <color rgb="FF000000"/>
        <rFont val="Calibri"/>
        <family val="2"/>
        <scheme val="minor"/>
      </rPr>
      <t>DEPANEL &amp; SAND
PACK &amp; BOX WITH CARE
SHIP BOARDS AS IS (MISSING SCREWS AND ALL)
DNI #41 ( J3 )</t>
    </r>
  </si>
  <si>
    <t>7/22 - 12:00</t>
  </si>
  <si>
    <t>7/23 - 10:30</t>
  </si>
  <si>
    <t>7/23 - 2:30</t>
  </si>
  <si>
    <t>old build missing screw #41 (j3, j4, j7), ship as is
---
U35.1-16, U38.1-16, U39.1-16 -- INSUFFICIENT SOLDER (GOLD SHOWS THROUGH) (SEE EMAIL)</t>
  </si>
  <si>
    <r>
      <t xml:space="preserve">5/28 - clear
</t>
    </r>
    <r>
      <rPr>
        <b/>
        <strike/>
        <sz val="11"/>
        <color rgb="FF000000"/>
        <rFont val="Calibri"/>
        <family val="2"/>
      </rPr>
      <t>SHORT, NO ETA</t>
    </r>
  </si>
  <si>
    <r>
      <t xml:space="preserve">7/14 - kit clear
</t>
    </r>
    <r>
      <rPr>
        <b/>
        <strike/>
        <sz val="11"/>
        <color rgb="FF000000"/>
        <rFont val="Calibri"/>
        <family val="2"/>
      </rPr>
      <t>6/13 - Short SMT #2 (J1) qty 398
5/13 - SHORT SMT #2 (J1) qty 498, #3 (J3) NO ETA</t>
    </r>
  </si>
  <si>
    <t>6/25 - shipped partial
6/13 - partial ship (qty 102) 6/27</t>
  </si>
  <si>
    <t>132846-2
bal
RONC 130826</t>
  </si>
  <si>
    <t>7/28
10D</t>
  </si>
  <si>
    <t>partial ship 102 of 500 on 6/27
DEPANEL</t>
  </si>
  <si>
    <t>7/25 - 8:00</t>
  </si>
  <si>
    <t>DOC REL 5/13</t>
  </si>
  <si>
    <t>5/13</t>
  </si>
  <si>
    <t>DOUBLE CHECK complete
alta standard</t>
  </si>
  <si>
    <r>
      <t xml:space="preserve">clear 7/21
</t>
    </r>
    <r>
      <rPr>
        <b/>
        <strike/>
        <sz val="11"/>
        <color rgb="FF000000"/>
        <rFont val="Calibri"/>
        <family val="2"/>
      </rPr>
      <t>short, no ETA 7/21</t>
    </r>
  </si>
  <si>
    <r>
      <rPr>
        <b/>
        <sz val="11"/>
        <color rgb="FF000000"/>
        <rFont val="Calibri"/>
        <family val="2"/>
      </rPr>
      <t xml:space="preserve">7/21 - kit clear
</t>
    </r>
    <r>
      <rPr>
        <b/>
        <strike/>
        <sz val="11"/>
        <color rgb="FF000000"/>
        <rFont val="Calibri"/>
        <family val="2"/>
      </rPr>
      <t>7/16 - short many SMT, no ETA (most due 7/21 &amp; U7 due 7/18)</t>
    </r>
  </si>
  <si>
    <t>7/22 - awt fixture</t>
  </si>
  <si>
    <t>133879
NEW</t>
  </si>
  <si>
    <t>7/28
5D</t>
  </si>
  <si>
    <t>CLASS 3
LEAD PROCESS
"U1" QUALITY ALERT FROM AA - PAST SUPPLIER ISSUES
"U11" AFTER WASH</t>
  </si>
  <si>
    <t>7/24 - 6:00</t>
  </si>
  <si>
    <t>7/24 - 11:00</t>
  </si>
  <si>
    <t>DOC REL 7/14</t>
  </si>
  <si>
    <r>
      <t xml:space="preserve">clear 7/23
</t>
    </r>
    <r>
      <rPr>
        <b/>
        <strike/>
        <sz val="11"/>
        <color rgb="FF000000"/>
        <rFont val="Calibri"/>
        <family val="2"/>
      </rPr>
      <t>short, no ETA</t>
    </r>
  </si>
  <si>
    <r>
      <rPr>
        <b/>
        <sz val="11"/>
        <color rgb="FF000000"/>
        <rFont val="Calibri"/>
        <family val="2"/>
      </rPr>
      <t xml:space="preserve">7/23 - kit clear
</t>
    </r>
    <r>
      <rPr>
        <b/>
        <strike/>
        <sz val="11"/>
        <color rgb="FF000000"/>
        <rFont val="Calibri"/>
        <family val="2"/>
      </rPr>
      <t>7/16 - short SMT: S1 &amp; R2 (due 7/17), THT: J1 &amp; S1cover (due 7/17)</t>
    </r>
  </si>
  <si>
    <t>7/23 - possible expedite, start ASAP (when ready to ship, ask before shipping)</t>
  </si>
  <si>
    <t>134169
ROWC 132178</t>
  </si>
  <si>
    <r>
      <rPr>
        <b/>
        <sz val="14"/>
        <color rgb="FF000000"/>
        <rFont val="Calibri"/>
        <family val="2"/>
      </rPr>
      <t xml:space="preserve">7/28
</t>
    </r>
    <r>
      <rPr>
        <b/>
        <strike/>
        <sz val="14"/>
        <color rgb="FF000000"/>
        <rFont val="Calibri"/>
        <family val="2"/>
      </rPr>
      <t xml:space="preserve">7/30
</t>
    </r>
    <r>
      <rPr>
        <b/>
        <sz val="14"/>
        <color rgb="FF000000"/>
        <rFont val="Calibri"/>
        <family val="2"/>
      </rPr>
      <t>5D</t>
    </r>
  </si>
  <si>
    <r>
      <rPr>
        <b/>
        <sz val="12"/>
        <color rgb="FFFF0000"/>
        <rFont val="Calibri"/>
        <family val="2"/>
      </rPr>
      <t xml:space="preserve">*** PAID EXPEDITE - CANNOT BE LATE!!!
</t>
    </r>
    <r>
      <rPr>
        <b/>
        <sz val="11"/>
        <color rgb="FF000000"/>
        <rFont val="Calibri"/>
        <family val="2"/>
      </rPr>
      <t xml:space="preserve">"U2, 4, 6, 8" MASK PADS PER ECO
</t>
    </r>
    <r>
      <rPr>
        <b/>
        <sz val="14"/>
        <color rgb="FFFF0000"/>
        <rFont val="Calibri"/>
        <family val="2"/>
      </rPr>
      <t xml:space="preserve">*** KEEP GRID HOLES FREE OF SOLDER
</t>
    </r>
    <r>
      <rPr>
        <b/>
        <sz val="11"/>
        <color rgb="FF000000"/>
        <rFont val="Calibri"/>
        <family val="2"/>
      </rPr>
      <t>INSPECT PARTS BEFORE INSTALLING "S1" SHIELD
ENSURE BOARDS ARE FREE &amp; CLEAN OF DEBRIS</t>
    </r>
  </si>
  <si>
    <t>7/23 - 12:00</t>
  </si>
  <si>
    <t>Fedex - Early 8:30 am</t>
  </si>
  <si>
    <t>prev prev build: copper showing through board &amp; solder on</t>
  </si>
  <si>
    <t>dni standoffs
uploaded</t>
  </si>
  <si>
    <t>clear 5/1</t>
  </si>
  <si>
    <t>6/25 - kit clear</t>
  </si>
  <si>
    <r>
      <rPr>
        <b/>
        <sz val="11"/>
        <color rgb="FF000000"/>
        <rFont val="Calibri"/>
        <family val="2"/>
      </rPr>
      <t xml:space="preserve">7/24 - OFF HOLD
7/9 - </t>
    </r>
    <r>
      <rPr>
        <b/>
        <sz val="11"/>
        <color rgb="FFFF0000"/>
        <rFont val="Calibri"/>
        <family val="2"/>
      </rPr>
      <t xml:space="preserve">SHIP HOLD
</t>
    </r>
    <r>
      <rPr>
        <b/>
        <sz val="11"/>
        <color rgb="FF000000"/>
        <rFont val="Calibri"/>
        <family val="2"/>
      </rPr>
      <t>6/25 - SMT top side 1st</t>
    </r>
  </si>
  <si>
    <t>1 PREV TRI</t>
  </si>
  <si>
    <r>
      <rPr>
        <b/>
        <strike/>
        <u/>
        <sz val="11"/>
        <color rgb="FFFF0000"/>
        <rFont val="Calibri"/>
        <family val="2"/>
      </rPr>
      <t xml:space="preserve">* 7/9 - SHIP HOLD (OK TO RUN)
</t>
    </r>
    <r>
      <rPr>
        <b/>
        <sz val="11"/>
        <color rgb="FFFF0000"/>
        <rFont val="Calibri"/>
        <family val="2"/>
      </rPr>
      <t xml:space="preserve">*** 100% INSP REQ - BOARDS MUST BE PERFECT!!!
</t>
    </r>
    <r>
      <rPr>
        <b/>
        <sz val="11"/>
        <color rgb="FF000000"/>
        <rFont val="Calibri"/>
        <family val="2"/>
      </rPr>
      <t xml:space="preserve">LEAD FREE WASH
"L6 L10, L8 L9, L35 L59, L61" INSTALL UNIFORMLY (SAME DIRECTION)
100% AOI REQ
</t>
    </r>
    <r>
      <rPr>
        <b/>
        <u/>
        <sz val="11"/>
        <color rgb="FF000000"/>
        <rFont val="Calibri"/>
        <family val="2"/>
      </rPr>
      <t xml:space="preserve">RTV REQ
</t>
    </r>
    <r>
      <rPr>
        <b/>
        <sz val="11"/>
        <color rgb="FF000000"/>
        <rFont val="Calibri"/>
        <family val="2"/>
      </rPr>
      <t>XRAY &amp; SAVE IMAGES
"M37x93" SEE ECO FOR PLACEMENT
"C1341, 1342" SEE ECO FOR CABLE INSTALLATION
"SH1, SH2 + TY1, TY2" INSTALL SHIELDS PER ECO
DEPANEL</t>
    </r>
  </si>
  <si>
    <t>7/10 - 6:00</t>
  </si>
  <si>
    <t>7/11 - 7:00</t>
  </si>
  <si>
    <t>7/14 - 9:00</t>
  </si>
  <si>
    <t>yellow wire c794
---
check before cage (shipping)</t>
  </si>
  <si>
    <t>clear 5/6</t>
  </si>
  <si>
    <r>
      <rPr>
        <b/>
        <sz val="11"/>
        <color rgb="FF000000"/>
        <rFont val="Calibri"/>
        <family val="2"/>
      </rPr>
      <t xml:space="preserve">7/24 - OFF HOLD
7/9 - </t>
    </r>
    <r>
      <rPr>
        <b/>
        <sz val="11"/>
        <color rgb="FFFF0000"/>
        <rFont val="Calibri"/>
        <family val="2"/>
      </rPr>
      <t xml:space="preserve">SHIP HOLD
</t>
    </r>
    <r>
      <rPr>
        <b/>
        <sz val="11"/>
        <color rgb="FF000000"/>
        <rFont val="Calibri"/>
        <family val="2"/>
      </rPr>
      <t>6/25 - SMT bot done 13 (6 boards/hr [single])</t>
    </r>
  </si>
  <si>
    <r>
      <rPr>
        <b/>
        <strike/>
        <u/>
        <sz val="12"/>
        <color rgb="FFFF0000"/>
        <rFont val="Calibri"/>
        <family val="2"/>
      </rPr>
      <t xml:space="preserve">* 7/9 - SHIP HOLD (OK TO RUN)
</t>
    </r>
    <r>
      <rPr>
        <b/>
        <sz val="12"/>
        <color rgb="FFFF0000"/>
        <rFont val="Calibri"/>
        <family val="2"/>
      </rPr>
      <t xml:space="preserve">*** 100% INSP REQ - BOARDS MUST BE PERFECT!!!
</t>
    </r>
    <r>
      <rPr>
        <b/>
        <u/>
        <sz val="11"/>
        <color rgb="FF000000"/>
        <rFont val="Calibri"/>
        <family val="2"/>
      </rPr>
      <t xml:space="preserve">"C580" INSTALL BY HAND PER ECO
</t>
    </r>
    <r>
      <rPr>
        <b/>
        <sz val="11"/>
        <color rgb="FF000000"/>
        <rFont val="Calibri"/>
        <family val="2"/>
      </rPr>
      <t>DISREGARD REWORK INSTRUCTIONS PER ECO #6
DEPANEL
PACKAGE W/ EXTRA CARE</t>
    </r>
  </si>
  <si>
    <t>6/25 - 11:00
7/11 - 6:00</t>
  </si>
  <si>
    <t>7/11 - 1:30</t>
  </si>
  <si>
    <t>7/14 - 12:00</t>
  </si>
  <si>
    <t>u30 &amp; u18 issues</t>
  </si>
  <si>
    <t>clear 6/25</t>
  </si>
  <si>
    <r>
      <rPr>
        <b/>
        <sz val="11"/>
        <color rgb="FF000000"/>
        <rFont val="Calibri"/>
        <family val="2"/>
      </rPr>
      <t xml:space="preserve">7/24 - OFF HOLD
7/9 - </t>
    </r>
    <r>
      <rPr>
        <b/>
        <sz val="11"/>
        <color rgb="FFFF0000"/>
        <rFont val="Calibri"/>
        <family val="2"/>
      </rPr>
      <t>SHIP HOLD</t>
    </r>
  </si>
  <si>
    <r>
      <rPr>
        <b/>
        <strike/>
        <u/>
        <sz val="11"/>
        <color rgb="FF000000"/>
        <rFont val="Calibri"/>
        <family val="2"/>
      </rPr>
      <t xml:space="preserve">* 7/9 - SHIP HOLD (OK TO RUN)
</t>
    </r>
    <r>
      <rPr>
        <b/>
        <sz val="11"/>
        <color rgb="FF000000"/>
        <rFont val="Calibri"/>
        <family val="2"/>
      </rPr>
      <t xml:space="preserve">*** </t>
    </r>
    <r>
      <rPr>
        <b/>
        <sz val="11"/>
        <color rgb="FFFF0000"/>
        <rFont val="Calibri"/>
        <family val="2"/>
      </rPr>
      <t>100% INSP REQ - BOARDS MUST BE PERFECT!!!
Quality Alert!</t>
    </r>
    <r>
      <rPr>
        <b/>
        <sz val="11"/>
        <color rgb="FF000000"/>
        <rFont val="Calibri"/>
        <family val="2"/>
      </rPr>
      <t xml:space="preserve"> Open Solder J100
AOI, XRay &amp; Save Images
Press Fit
Depanel
</t>
    </r>
    <r>
      <rPr>
        <b/>
        <u/>
        <sz val="11"/>
        <color rgb="FF000000"/>
        <rFont val="Calibri"/>
        <family val="2"/>
      </rPr>
      <t>shipping: verify nuts &amp; washer installed</t>
    </r>
  </si>
  <si>
    <t xml:space="preserve">7/9 - </t>
  </si>
  <si>
    <t>7/10 - 2:00</t>
  </si>
  <si>
    <t>#27 (u79) BTD
---
quality alert</t>
  </si>
  <si>
    <t>7/17 - kit clear</t>
  </si>
  <si>
    <t>7/21 - day 1 (Anne)</t>
  </si>
  <si>
    <t>7/25
5D</t>
  </si>
  <si>
    <r>
      <rPr>
        <b/>
        <sz val="11"/>
        <color rgb="FF000000"/>
        <rFont val="Calibri"/>
        <family val="2"/>
      </rPr>
      <t xml:space="preserve">CLASS 3
LEAD PROCESS
</t>
    </r>
    <r>
      <rPr>
        <b/>
        <u/>
        <sz val="11"/>
        <color rgb="FF000000"/>
        <rFont val="Calibri"/>
        <family val="2"/>
      </rPr>
      <t>"CH1_U10x12" POST BAKE 30 MIN</t>
    </r>
    <r>
      <rPr>
        <b/>
        <sz val="11"/>
        <color rgb="FF000000"/>
        <rFont val="Calibri"/>
        <family val="2"/>
      </rPr>
      <t xml:space="preserve"> PER ECO
"SW1" AFTER WASH
"PA, PB, PC" PRESS FIT (DO NOT SOLDER)
</t>
    </r>
    <r>
      <rPr>
        <b/>
        <u/>
        <sz val="11"/>
        <color rgb="FF000000"/>
        <rFont val="Calibri"/>
        <family val="2"/>
      </rPr>
      <t>"LP_A, LP_B" INSTALL &amp; torque</t>
    </r>
    <r>
      <rPr>
        <b/>
        <sz val="11"/>
        <color rgb="FF000000"/>
        <rFont val="Calibri"/>
        <family val="2"/>
      </rPr>
      <t xml:space="preserve"> PER ECO
</t>
    </r>
    <r>
      <rPr>
        <b/>
        <u/>
        <sz val="11"/>
        <color rgb="FF000000"/>
        <rFont val="Calibri"/>
        <family val="2"/>
      </rPr>
      <t xml:space="preserve">Install nylon standoffs
</t>
    </r>
    <r>
      <rPr>
        <b/>
        <u/>
        <sz val="12"/>
        <color rgb="FFFF0000"/>
        <rFont val="Calibri"/>
        <family val="2"/>
      </rPr>
      <t xml:space="preserve">SHIP BACK DNI PARTS "J8, J9, CH1_U102 &amp; related x6" TO THE CUSTOMER (shipped w/ 1st article)
</t>
    </r>
    <r>
      <rPr>
        <b/>
        <sz val="11"/>
        <color rgb="FF000000"/>
        <rFont val="Calibri"/>
        <family val="2"/>
      </rPr>
      <t>DEPANEL &amp; SAND</t>
    </r>
  </si>
  <si>
    <t>7/22 - 8:00</t>
  </si>
  <si>
    <t>7/22 - 9:30</t>
  </si>
  <si>
    <t>7/22 - 11:30</t>
  </si>
  <si>
    <t>use customer labels</t>
  </si>
  <si>
    <t>complete
ECO label w/customer labels</t>
  </si>
  <si>
    <t>clear, 7/18</t>
  </si>
  <si>
    <t>7/18 - kit clear</t>
  </si>
  <si>
    <t>134275
ROWC 132041</t>
  </si>
  <si>
    <t>lead-free wash
depanel</t>
  </si>
  <si>
    <t>7/23 - 7:00</t>
  </si>
  <si>
    <t xml:space="preserve">TELEDYNE INSTRUMENTS
</t>
  </si>
  <si>
    <t>134209-1
par
NEW</t>
  </si>
  <si>
    <t>7/21 - 2:00</t>
  </si>
  <si>
    <t>7/22 - 10:00</t>
  </si>
  <si>
    <t>clear 6/24</t>
  </si>
  <si>
    <r>
      <t xml:space="preserve">7/3 - kit clear
6/26 - SMT clear
6/24 - </t>
    </r>
    <r>
      <rPr>
        <b/>
        <strike/>
        <sz val="11"/>
        <color rgb="FF000000"/>
        <rFont val="Calibri"/>
        <family val="2"/>
      </rPr>
      <t>short SMT U301.. (top side), no ETA; short THT 3x line items, no ETA 7/2</t>
    </r>
  </si>
  <si>
    <t>132953
NEW</t>
  </si>
  <si>
    <t>LEAD WASH
Sn63Pb37 SOLDER PASTE</t>
  </si>
  <si>
    <t>7/16 - 6:30</t>
  </si>
  <si>
    <t>7/16 - 8:00</t>
  </si>
  <si>
    <t xml:space="preserve">NASA CSC
</t>
  </si>
  <si>
    <t>DOC REL 6/23</t>
  </si>
  <si>
    <t>7/25 - shipped 7 of 8 (last board has bubble)
7/22 - SMT bot comp 3</t>
  </si>
  <si>
    <t>134297-par
RONC 129197</t>
  </si>
  <si>
    <r>
      <rPr>
        <b/>
        <sz val="11"/>
        <color rgb="FF000000"/>
        <rFont val="Calibri"/>
        <family val="2"/>
      </rPr>
      <t xml:space="preserve">clear 7/11
</t>
    </r>
    <r>
      <rPr>
        <b/>
        <strike/>
        <sz val="11"/>
        <color rgb="FF000000"/>
        <rFont val="Calibri"/>
        <family val="2"/>
      </rPr>
      <t>short, no ETA 7/17</t>
    </r>
  </si>
  <si>
    <t>7/11 - KIT CLEAR
6/27 - matl clear</t>
  </si>
  <si>
    <t>132905
NEW</t>
  </si>
  <si>
    <t>7/25
10D</t>
  </si>
  <si>
    <t>LEAD PROCESS
"POE" AFTER WASH
DEPANEL</t>
  </si>
  <si>
    <t>7/16 - 7:00</t>
  </si>
  <si>
    <t>7/16 - 10:00</t>
  </si>
  <si>
    <t xml:space="preserve">Sigma Defense Systems, LLC
</t>
  </si>
  <si>
    <t>7/11 - CLEAR</t>
  </si>
  <si>
    <t>7/11- KIT CLEAR</t>
  </si>
  <si>
    <t>7/16 - SMT done 60</t>
  </si>
  <si>
    <t>134251
ROWC 102485</t>
  </si>
  <si>
    <t>LEAD PROCESS
"T1" IS MOISTURE SENSITIVE PER ECO</t>
  </si>
  <si>
    <t>7/16 - 9:30</t>
  </si>
  <si>
    <t>7/22 - 7:30</t>
  </si>
  <si>
    <t>Avtron Power Solutions</t>
  </si>
  <si>
    <t>NO NOTES</t>
  </si>
  <si>
    <t>NO PHOTOS</t>
  </si>
  <si>
    <r>
      <rPr>
        <b/>
        <sz val="11"/>
        <color rgb="FF000000"/>
        <rFont val="Calibri"/>
        <family val="2"/>
      </rPr>
      <t xml:space="preserve">clear 7/10
</t>
    </r>
    <r>
      <rPr>
        <b/>
        <strike/>
        <sz val="11"/>
        <color rgb="FF000000"/>
        <rFont val="Calibri"/>
        <family val="2"/>
      </rPr>
      <t>short, no ETA 7/14</t>
    </r>
  </si>
  <si>
    <r>
      <t xml:space="preserve">7/10 - CLEAR </t>
    </r>
    <r>
      <rPr>
        <b/>
        <strike/>
        <sz val="11"/>
        <color rgb="FF000000"/>
        <rFont val="Calibri"/>
        <family val="2"/>
      </rPr>
      <t>7/3 - short SMT 1x line items (high qty); awt part conf 1 SMT line item</t>
    </r>
  </si>
  <si>
    <t>7/11 - ok to run
7/10 - PCB'S CHIPPED FROM ROUTING</t>
  </si>
  <si>
    <t>133600
NEW</t>
  </si>
  <si>
    <t>7/24
10D</t>
  </si>
  <si>
    <t>CLASS 3
LEAD, NO CLEAN
NE REWORK OR REPAIR ALLOWED
DEPANEL (w/ care) &amp; SAND</t>
  </si>
  <si>
    <t>7/15 - 10:30</t>
  </si>
  <si>
    <t>7/16 - 7:30</t>
  </si>
  <si>
    <t>standard with no serial complete</t>
  </si>
  <si>
    <t>clear 5/30</t>
  </si>
  <si>
    <t>7/7 - SMT comp 410
7/3 - SMT qty 30/hour (single)</t>
  </si>
  <si>
    <r>
      <rPr>
        <b/>
        <sz val="11"/>
        <color rgb="FF000000"/>
        <rFont val="Calibri"/>
        <family val="2"/>
      </rPr>
      <t xml:space="preserve">AS9102 FAIR required
"FL2, FL3" </t>
    </r>
    <r>
      <rPr>
        <b/>
        <u/>
        <sz val="11"/>
        <color rgb="FF000000"/>
        <rFont val="Calibri"/>
        <family val="2"/>
      </rPr>
      <t xml:space="preserve">inspect area before install Shields </t>
    </r>
    <r>
      <rPr>
        <b/>
        <sz val="11"/>
        <color rgb="FF000000"/>
        <rFont val="Calibri"/>
        <family val="2"/>
      </rPr>
      <t xml:space="preserve">(BOM = SMT part)
ADD SER #S TO CofC
</t>
    </r>
    <r>
      <rPr>
        <b/>
        <u/>
        <sz val="11"/>
        <color rgb="FF000000"/>
        <rFont val="Calibri"/>
        <family val="2"/>
      </rPr>
      <t>ADD REV TO THE PCB</t>
    </r>
  </si>
  <si>
    <t>7/3 - 9:30</t>
  </si>
  <si>
    <t>7/10 - 11:00</t>
  </si>
  <si>
    <t>REV C
complete alta stand labeled</t>
  </si>
  <si>
    <t>sanding time
L4</t>
  </si>
  <si>
    <t>L4 p/n change
uploaded</t>
  </si>
  <si>
    <r>
      <t xml:space="preserve">clear 7/15
</t>
    </r>
    <r>
      <rPr>
        <b/>
        <strike/>
        <sz val="11"/>
        <color rgb="FF000000"/>
        <rFont val="Calibri"/>
        <family val="2"/>
      </rPr>
      <t>short, due 8/1</t>
    </r>
  </si>
  <si>
    <r>
      <t xml:space="preserve">7/18 - kit clear
</t>
    </r>
    <r>
      <rPr>
        <b/>
        <strike/>
        <sz val="11"/>
        <color rgb="FF000000"/>
        <rFont val="Calibri"/>
        <family val="2"/>
      </rPr>
      <t>7/15 - short some SMT J9 (skip)
7/3 - short SMT L1 (qty high); partial short SMT 2x line items</t>
    </r>
  </si>
  <si>
    <r>
      <t xml:space="preserve">7/17 - req new stencil
7/9 - OFF HOLD
</t>
    </r>
    <r>
      <rPr>
        <b/>
        <strike/>
        <sz val="11"/>
        <color rgb="FF000000"/>
        <rFont val="Calibri"/>
        <family val="2"/>
      </rPr>
      <t>6/30 CUST HOLD</t>
    </r>
  </si>
  <si>
    <t>133673
ROWC 133672</t>
  </si>
  <si>
    <r>
      <rPr>
        <b/>
        <sz val="14"/>
        <color rgb="FF000000"/>
        <rFont val="Calibri"/>
        <family val="2"/>
      </rPr>
      <t xml:space="preserve">7/23
</t>
    </r>
    <r>
      <rPr>
        <b/>
        <sz val="14"/>
        <color rgb="FFFF0000"/>
        <rFont val="Calibri"/>
        <family val="2"/>
      </rPr>
      <t>3D</t>
    </r>
  </si>
  <si>
    <r>
      <rPr>
        <b/>
        <strike/>
        <sz val="11"/>
        <color rgb="FF000000"/>
        <rFont val="Calibri"/>
        <family val="2"/>
      </rPr>
      <t xml:space="preserve">*** 6/30 ON CUST HOLD
</t>
    </r>
    <r>
      <rPr>
        <b/>
        <sz val="11"/>
        <color rgb="FF000000"/>
        <rFont val="Calibri"/>
        <family val="2"/>
      </rPr>
      <t xml:space="preserve">LEAD WASH
</t>
    </r>
    <r>
      <rPr>
        <b/>
        <sz val="11"/>
        <color rgb="FFFF0000"/>
        <rFont val="Calibri"/>
        <family val="2"/>
      </rPr>
      <t>***  SN63PB37 SOLDER REQUIRE</t>
    </r>
    <r>
      <rPr>
        <b/>
        <sz val="11"/>
        <color rgb="FF000000"/>
        <rFont val="Calibri"/>
        <family val="2"/>
      </rPr>
      <t>D
DEPANEL</t>
    </r>
  </si>
  <si>
    <t>7/17 - 9:30</t>
  </si>
  <si>
    <t>7/21 - 7:00</t>
  </si>
  <si>
    <t>7/21 - 10:00</t>
  </si>
  <si>
    <t xml:space="preserve">HRL Laboratories
</t>
  </si>
  <si>
    <t>DOC REL 6/27</t>
  </si>
  <si>
    <t>dni to install &amp; install to dni
uploaded</t>
  </si>
  <si>
    <t>CLOSED SHORT
7/22/2025</t>
  </si>
  <si>
    <r>
      <t xml:space="preserve">clear 6/27
</t>
    </r>
    <r>
      <rPr>
        <b/>
        <strike/>
        <sz val="11"/>
        <color rgb="FF000000"/>
        <rFont val="Calibri"/>
        <family val="2"/>
      </rPr>
      <t>short ETA 6/27</t>
    </r>
  </si>
  <si>
    <r>
      <t xml:space="preserve">6/27 - kit clear
6/25 - matl clear
</t>
    </r>
    <r>
      <rPr>
        <b/>
        <strike/>
        <sz val="11"/>
        <color rgb="FF000000"/>
        <rFont val="Calibri"/>
        <family val="2"/>
      </rPr>
      <t>6/24 - short SMT "U1" &amp; THT "U3", ETA 6/25</t>
    </r>
  </si>
  <si>
    <t>7\/3 - ON HOLD DUE TO PRESS FIT NOT WORKING</t>
  </si>
  <si>
    <t>133925-FA
NEW</t>
  </si>
  <si>
    <r>
      <rPr>
        <b/>
        <sz val="14"/>
        <color rgb="FF000000"/>
        <rFont val="Calibri"/>
        <family val="2"/>
      </rPr>
      <t xml:space="preserve">*** </t>
    </r>
    <r>
      <rPr>
        <b/>
        <sz val="14"/>
        <color rgb="FFFF0000"/>
        <rFont val="Calibri"/>
        <family val="2"/>
      </rPr>
      <t>CUST HAVING ISSUES</t>
    </r>
    <r>
      <rPr>
        <b/>
        <sz val="14"/>
        <color rgb="FF000000"/>
        <rFont val="Calibri"/>
        <family val="2"/>
      </rPr>
      <t xml:space="preserve"> </t>
    </r>
    <r>
      <rPr>
        <b/>
        <sz val="14"/>
        <color rgb="FFFF0000"/>
        <rFont val="Calibri"/>
        <family val="2"/>
      </rPr>
      <t xml:space="preserve">W/ "U1" </t>
    </r>
    <r>
      <rPr>
        <b/>
        <sz val="14"/>
        <color rgb="FF000000"/>
        <rFont val="Calibri"/>
        <family val="2"/>
      </rPr>
      <t xml:space="preserve">PLEASE SEE TAD BEFORE STARTING
</t>
    </r>
    <r>
      <rPr>
        <b/>
        <sz val="12"/>
        <color rgb="FF000000"/>
        <rFont val="Calibri"/>
        <family val="2"/>
      </rPr>
      <t xml:space="preserve">*** </t>
    </r>
    <r>
      <rPr>
        <b/>
        <sz val="12"/>
        <color rgb="FFFF0000"/>
        <rFont val="Calibri"/>
        <family val="2"/>
      </rPr>
      <t xml:space="preserve">USE SILICON PLUGS FOR "U1" PRIOR TO REFLOW
</t>
    </r>
    <r>
      <rPr>
        <b/>
        <sz val="11"/>
        <color rgb="FF782170"/>
        <rFont val="Calibri"/>
        <family val="2"/>
      </rPr>
      <t xml:space="preserve">balance remain qty 320
</t>
    </r>
    <r>
      <rPr>
        <b/>
        <sz val="11"/>
        <color rgb="FF000000"/>
        <rFont val="Calibri"/>
        <family val="2"/>
      </rPr>
      <t>"U1" x-ray required
LEAD-FREE, NO CLEAN
"U1" SEE ECO
DEPANEL
boards clean of flux before shipping</t>
    </r>
  </si>
  <si>
    <t>6/30 - 10:30</t>
  </si>
  <si>
    <t>6/30 - 11:00</t>
  </si>
  <si>
    <t>6/30 - 12:00</t>
  </si>
  <si>
    <t>remind Gerry about not opening U1
---
label on package
--- 
plug U1</t>
  </si>
  <si>
    <t>eco printed
thrown away</t>
  </si>
  <si>
    <r>
      <rPr>
        <b/>
        <sz val="11"/>
        <color rgb="FF104861"/>
        <rFont val="Calibri"/>
        <family val="2"/>
      </rPr>
      <t xml:space="preserve">clear 7/15
</t>
    </r>
    <r>
      <rPr>
        <b/>
        <strike/>
        <sz val="11"/>
        <color rgb="FF104861"/>
        <rFont val="Calibri"/>
        <family val="2"/>
      </rPr>
      <t xml:space="preserve">balance due 7/15
</t>
    </r>
    <r>
      <rPr>
        <b/>
        <strike/>
        <sz val="11"/>
        <color rgb="FF000000"/>
        <rFont val="Calibri"/>
        <family val="2"/>
      </rPr>
      <t xml:space="preserve">CLEAR FOR QTY.50 </t>
    </r>
    <r>
      <rPr>
        <b/>
        <strike/>
        <sz val="11"/>
        <color rgb="FF156082"/>
        <rFont val="Calibri"/>
        <family val="2"/>
      </rPr>
      <t>/SHORT 11PCS ETA 7/14</t>
    </r>
  </si>
  <si>
    <t>7/15 - SMT top done 50
7/14 - SMT qty 20 comp
7/14 - top side 1st 
7/11 - JOB IS HOT!!! CUST NEEDS QTY 50 7/23 OR SOONER</t>
  </si>
  <si>
    <t>131636-2nd
1 PAR
ROWC 1st Article</t>
  </si>
  <si>
    <t>7/23
5D</t>
  </si>
  <si>
    <r>
      <rPr>
        <b/>
        <sz val="14"/>
        <color rgb="FFFF0000"/>
        <rFont val="Calibri"/>
        <family val="2"/>
      </rPr>
      <t xml:space="preserve">*** EXPEDITE - SHIP QTY 50 ON OR BEFORE 7/23 ***
</t>
    </r>
    <r>
      <rPr>
        <b/>
        <sz val="11"/>
        <color rgb="FF000000"/>
        <rFont val="Calibri"/>
        <family val="2"/>
      </rPr>
      <t xml:space="preserve"> 5 SPLIT SHIPMENTS (CAN BUILD ALL AT ONCE)
-	7/23 : qty 50
-	8/1    : qty 60
-	???   :  qty ???
-	???   :  qty BAL
*** SEE ECO FOR SOLDER &amp; CLEANING
AS9102 FAIR REQ
lead-free no-clean Aquanox
DO NOT SKIP AOI
XRAY &amp; SAVE IMAGES
DEPANEL</t>
    </r>
  </si>
  <si>
    <t>7/15 - 8:30</t>
  </si>
  <si>
    <t>7/15- 2:30</t>
  </si>
  <si>
    <r>
      <rPr>
        <b/>
        <sz val="11"/>
        <color rgb="FFFF0000"/>
        <rFont val="Calibri"/>
        <family val="2"/>
      </rPr>
      <t xml:space="preserve">6/30 - clear for 154 of 200
</t>
    </r>
    <r>
      <rPr>
        <b/>
        <sz val="11"/>
        <color rgb="FF156082"/>
        <rFont val="Calibri"/>
        <family val="2"/>
      </rPr>
      <t xml:space="preserve">6/16 - short 1 SMT #8 AC1 (high qty), </t>
    </r>
    <r>
      <rPr>
        <b/>
        <strike/>
        <sz val="11"/>
        <color rgb="FF156082"/>
        <rFont val="Calibri"/>
        <family val="2"/>
      </rPr>
      <t>no ETA
partial short some THT, no ETA</t>
    </r>
  </si>
  <si>
    <t>133770-par
RONC 125092</t>
  </si>
  <si>
    <r>
      <rPr>
        <b/>
        <sz val="11"/>
        <color rgb="FFFF0000"/>
        <rFont val="Calibri"/>
        <family val="2"/>
      </rPr>
      <t xml:space="preserve">QUALITY ALERT - leads not trimmed, bridging and bent
</t>
    </r>
    <r>
      <rPr>
        <b/>
        <sz val="11"/>
        <color rgb="FF7030A0"/>
        <rFont val="Calibri"/>
        <family val="2"/>
      </rPr>
      <t xml:space="preserve">partial clear: qty 154 of 200
</t>
    </r>
    <r>
      <rPr>
        <b/>
        <sz val="11"/>
        <color rgb="FF000000"/>
        <rFont val="Calibri"/>
        <family val="2"/>
      </rPr>
      <t>depanel</t>
    </r>
  </si>
  <si>
    <t>7/1 - 11:00</t>
  </si>
  <si>
    <t>7/1 - 10:00</t>
  </si>
  <si>
    <r>
      <rPr>
        <b/>
        <sz val="11"/>
        <color rgb="FF000000"/>
        <rFont val="Calibri"/>
        <family val="2"/>
      </rPr>
      <t xml:space="preserve">clear 7/14
</t>
    </r>
    <r>
      <rPr>
        <b/>
        <strike/>
        <sz val="11"/>
        <color rgb="FF000000"/>
        <rFont val="Calibri"/>
        <family val="2"/>
      </rPr>
      <t>SHORT, NO ETA 7/14</t>
    </r>
  </si>
  <si>
    <r>
      <rPr>
        <b/>
        <sz val="11"/>
        <color rgb="FF000000"/>
        <rFont val="Calibri"/>
        <family val="2"/>
      </rPr>
      <t xml:space="preserve">7/14 - kit clear
7/10- MATL CLEAR
</t>
    </r>
    <r>
      <rPr>
        <b/>
        <strike/>
        <sz val="11"/>
        <color rgb="FF000000"/>
        <rFont val="Calibri"/>
        <family val="2"/>
      </rPr>
      <t>7/9 - SHORT S1 NO ETA</t>
    </r>
  </si>
  <si>
    <t>134200
NEW</t>
  </si>
  <si>
    <t>7/21
5D</t>
  </si>
  <si>
    <t>"S1, S2, S3, LCD1" AFTER WASH
"LCD1" HEIGHT REQUIREMENT &amp; TROM LEADS 0.05" MAX PER ECO</t>
  </si>
  <si>
    <t>7/15 - 9:00</t>
  </si>
  <si>
    <t>7/15 - 11:00</t>
  </si>
  <si>
    <t>UPS GND</t>
  </si>
  <si>
    <t>LCD SCREENS</t>
  </si>
  <si>
    <r>
      <t xml:space="preserve">clear 7/17
</t>
    </r>
    <r>
      <rPr>
        <b/>
        <strike/>
        <sz val="11"/>
        <color rgb="FF000000"/>
        <rFont val="Calibri"/>
        <family val="2"/>
      </rPr>
      <t>short, no ETA 7/17</t>
    </r>
  </si>
  <si>
    <t>7/17 - kit clear
7/16 - matl clear</t>
  </si>
  <si>
    <t>134242-FA
NEW</t>
  </si>
  <si>
    <r>
      <rPr>
        <b/>
        <sz val="14"/>
        <color rgb="FF000000"/>
        <rFont val="Calibri"/>
        <family val="2"/>
      </rPr>
      <t xml:space="preserve">7/21
</t>
    </r>
    <r>
      <rPr>
        <b/>
        <sz val="14"/>
        <color rgb="FFFF0000"/>
        <rFont val="Calibri"/>
        <family val="2"/>
      </rPr>
      <t>2D</t>
    </r>
  </si>
  <si>
    <t>MUST PRE BAKE PCB'S
balance remaining: qty 200
CLASS 3
DEPANEL, SAND, TRIM PER IPC</t>
  </si>
  <si>
    <t>7/18 - 10:00</t>
  </si>
  <si>
    <r>
      <t xml:space="preserve">clear 7/14
</t>
    </r>
    <r>
      <rPr>
        <b/>
        <strike/>
        <sz val="11"/>
        <color rgb="FF000000"/>
        <rFont val="Calibri"/>
        <family val="2"/>
      </rPr>
      <t>SHORT, ETA 7/15</t>
    </r>
  </si>
  <si>
    <t>7/14 - kit clear
7/10 - MATL CLEAR</t>
  </si>
  <si>
    <t>134263
ROWC 132600</t>
  </si>
  <si>
    <t>NO CLEAN PROCESS
"BZ1" AFTER WASH
MAKE SURE BOARDS ARE FREE AND CLEAN OF DEBRIS
CofC MUST STATE ROHS &amp; REACH PER ECO
depanel &amp; sand</t>
  </si>
  <si>
    <t>7/15 - 7:00</t>
  </si>
  <si>
    <t>7/15 - 8:00</t>
  </si>
  <si>
    <t>7/15 - 9:30</t>
  </si>
  <si>
    <t xml:space="preserve">NEXTERN INC
</t>
  </si>
  <si>
    <r>
      <rPr>
        <b/>
        <strike/>
        <sz val="11"/>
        <color rgb="FF000000"/>
        <rFont val="Calibri"/>
        <family val="2"/>
      </rPr>
      <t xml:space="preserve">short, ETA 7/10
</t>
    </r>
    <r>
      <rPr>
        <b/>
        <sz val="11"/>
        <color rgb="FF000000"/>
        <rFont val="Calibri"/>
        <family val="2"/>
      </rPr>
      <t>7/9 recvd</t>
    </r>
  </si>
  <si>
    <r>
      <t xml:space="preserve">7/14 - kit clear
</t>
    </r>
    <r>
      <rPr>
        <b/>
        <strike/>
        <sz val="11"/>
        <color rgb="FF000000"/>
        <rFont val="Calibri"/>
        <family val="2"/>
      </rPr>
      <t>7/11-short C9 (ETA 7/14) /7/3 - many short due week 7/7</t>
    </r>
    <r>
      <rPr>
        <b/>
        <sz val="11"/>
        <color rgb="FF000000"/>
        <rFont val="Calibri"/>
        <family val="2"/>
      </rPr>
      <t xml:space="preserve"> | 7/9 - ,</t>
    </r>
    <r>
      <rPr>
        <b/>
        <strike/>
        <sz val="11"/>
        <color rgb="FF000000"/>
        <rFont val="Calibri"/>
        <family val="2"/>
      </rPr>
      <t>U1 (ETA 7/11), NB1 (ETA 7/11-7/14), L2 &amp; L18 SMT</t>
    </r>
  </si>
  <si>
    <t>7/10 - HOT!!!
ALSO NEED FEEDERS SO RUN ASAP &amp; TEAR DOWN</t>
  </si>
  <si>
    <t>133552-FA
NEW</t>
  </si>
  <si>
    <t xml:space="preserve">LEAD-FREE NO CLEAN
DO NOT SKIP AOI
XRAY &amp; SAVE IMAGES
AS9102 FAIR REQ
</t>
  </si>
  <si>
    <t>7/14 - 11:00</t>
  </si>
  <si>
    <t>7/14 - 1:30</t>
  </si>
  <si>
    <r>
      <t xml:space="preserve">clear
</t>
    </r>
    <r>
      <rPr>
        <b/>
        <strike/>
        <sz val="11"/>
        <color rgb="FF000000"/>
        <rFont val="Calibri"/>
        <family val="2"/>
      </rPr>
      <t>short 1 pcb due</t>
    </r>
    <r>
      <rPr>
        <b/>
        <sz val="11"/>
        <color rgb="FF000000"/>
        <rFont val="Calibri"/>
        <family val="2"/>
      </rPr>
      <t xml:space="preserve"> </t>
    </r>
    <r>
      <rPr>
        <b/>
        <strike/>
        <sz val="11"/>
        <color rgb="FF000000"/>
        <rFont val="Calibri"/>
        <family val="2"/>
      </rPr>
      <t>6/20
short due 6/16</t>
    </r>
  </si>
  <si>
    <t>6/23 - close short (build qty 112 of 113)
6/11 - matl clear</t>
  </si>
  <si>
    <r>
      <rPr>
        <b/>
        <sz val="11"/>
        <color rgb="FF000000"/>
        <rFont val="Calibri"/>
        <family val="2"/>
      </rPr>
      <t>7/16 - off hold
7/9 -</t>
    </r>
    <r>
      <rPr>
        <b/>
        <strike/>
        <sz val="11"/>
        <color rgb="FF000000"/>
        <rFont val="Calibri"/>
        <family val="2"/>
      </rPr>
      <t xml:space="preserve"> </t>
    </r>
    <r>
      <rPr>
        <b/>
        <strike/>
        <sz val="11"/>
        <color rgb="FFFF0000"/>
        <rFont val="Calibri"/>
        <family val="2"/>
      </rPr>
      <t xml:space="preserve">SHIP HOLD
</t>
    </r>
    <r>
      <rPr>
        <b/>
        <sz val="11"/>
        <color rgb="FF000000"/>
        <rFont val="Calibri"/>
        <family val="2"/>
      </rPr>
      <t>6/20 - SMT top side 1st</t>
    </r>
  </si>
  <si>
    <t>130018
NEW</t>
  </si>
  <si>
    <r>
      <rPr>
        <b/>
        <strike/>
        <u/>
        <sz val="11"/>
        <color rgb="FFFF0000"/>
        <rFont val="Calibri"/>
        <family val="2"/>
      </rPr>
      <t xml:space="preserve">* 7/9 - SHIP HOLD (OK TO RUN)
</t>
    </r>
    <r>
      <rPr>
        <b/>
        <sz val="11"/>
        <color rgb="FFFF0000"/>
        <rFont val="Calibri"/>
        <family val="2"/>
      </rPr>
      <t xml:space="preserve">*** 100% INSP REQ - BOARDS MUST BE PERFECT!!!
</t>
    </r>
    <r>
      <rPr>
        <b/>
        <sz val="11"/>
        <color rgb="FF000000"/>
        <rFont val="Calibri"/>
        <family val="2"/>
      </rPr>
      <t xml:space="preserve">100% AOI REQ
LEAD-FREE WASH
</t>
    </r>
    <r>
      <rPr>
        <b/>
        <u/>
        <sz val="11"/>
        <color rgb="FF000000"/>
        <rFont val="Calibri"/>
        <family val="2"/>
      </rPr>
      <t xml:space="preserve">"HS1, U1_THRU_U4 &amp; U1-U4" install together (thermal tape)
</t>
    </r>
    <r>
      <rPr>
        <b/>
        <sz val="11"/>
        <color rgb="FF000000"/>
        <rFont val="Calibri"/>
        <family val="2"/>
      </rPr>
      <t>flying probe waived
depanel</t>
    </r>
  </si>
  <si>
    <t>6/20 - 11:30</t>
  </si>
  <si>
    <t>6/23 - 11:30</t>
  </si>
  <si>
    <t>6/24 - 8:00</t>
  </si>
  <si>
    <t>DOC REL 6/10</t>
  </si>
  <si>
    <t>6/11</t>
  </si>
  <si>
    <t>datasheets galore</t>
  </si>
  <si>
    <t>clear 6/3</t>
  </si>
  <si>
    <r>
      <rPr>
        <b/>
        <sz val="11"/>
        <color rgb="FF000000"/>
        <rFont val="Calibri"/>
        <family val="2"/>
      </rPr>
      <t xml:space="preserve">6/25 - </t>
    </r>
    <r>
      <rPr>
        <b/>
        <sz val="11"/>
        <color rgb="FFFF0000"/>
        <rFont val="Calibri"/>
        <family val="2"/>
      </rPr>
      <t>prev run Shields were H/S</t>
    </r>
  </si>
  <si>
    <r>
      <rPr>
        <b/>
        <sz val="11"/>
        <color rgb="FF000000"/>
        <rFont val="Calibri"/>
        <family val="2"/>
      </rPr>
      <t xml:space="preserve">AS9102 FAIR REQ
"FL1, FL2" INSPECT BEFORE INSTALLING SHIELD
DEPANEL &amp; SAND
ADD SER #S TO CofC
</t>
    </r>
    <r>
      <rPr>
        <b/>
        <u/>
        <sz val="11"/>
        <color rgb="FF000000"/>
        <rFont val="Calibri"/>
        <family val="2"/>
      </rPr>
      <t>ADD REV TO THE PCB</t>
    </r>
  </si>
  <si>
    <t>6/26 - 6:00</t>
  </si>
  <si>
    <t>6/27 - 2:00</t>
  </si>
  <si>
    <r>
      <t xml:space="preserve">clear 7/14
</t>
    </r>
    <r>
      <rPr>
        <b/>
        <strike/>
        <sz val="11"/>
        <color rgb="FF000000"/>
        <rFont val="Calibri"/>
        <family val="2"/>
      </rPr>
      <t>SHORT, NO ETA 7/14</t>
    </r>
  </si>
  <si>
    <t>7/14 - kit clear
7/11 - MATL CLEAR</t>
  </si>
  <si>
    <t>134277
RONC 133115</t>
  </si>
  <si>
    <r>
      <rPr>
        <b/>
        <sz val="14"/>
        <color rgb="FF000000"/>
        <rFont val="Calibri"/>
        <family val="2"/>
      </rPr>
      <t xml:space="preserve">7/17
</t>
    </r>
    <r>
      <rPr>
        <b/>
        <sz val="14"/>
        <color rgb="FFFF0000"/>
        <rFont val="Calibri"/>
        <family val="2"/>
      </rPr>
      <t>2D</t>
    </r>
  </si>
  <si>
    <t>DEPANEL &amp; SAND</t>
  </si>
  <si>
    <t>7/14 - 12:30</t>
  </si>
  <si>
    <t xml:space="preserve">TEAL DRONES INC
</t>
  </si>
  <si>
    <t xml:space="preserve">short, no ETA 8/1 6/26 </t>
  </si>
  <si>
    <r>
      <t xml:space="preserve">7/10 - KIT CLEAR
</t>
    </r>
    <r>
      <rPr>
        <b/>
        <strike/>
        <sz val="11"/>
        <color rgb="FF000000"/>
        <rFont val="Calibri"/>
        <family val="2"/>
      </rPr>
      <t xml:space="preserve">6/24 - short #12 </t>
    </r>
    <r>
      <rPr>
        <b/>
        <sz val="11"/>
        <color rgb="FF000000"/>
        <rFont val="Calibri"/>
        <family val="2"/>
      </rPr>
      <t>(RTD1) DNI, no ETA</t>
    </r>
  </si>
  <si>
    <r>
      <t xml:space="preserve">7/9 - OFF HOLD
</t>
    </r>
    <r>
      <rPr>
        <b/>
        <strike/>
        <sz val="11"/>
        <color rgb="FF000000"/>
        <rFont val="Calibri"/>
        <family val="2"/>
      </rPr>
      <t>6/30 - ON HOLD</t>
    </r>
  </si>
  <si>
    <t>133672
NEW</t>
  </si>
  <si>
    <t>7/15
3D</t>
  </si>
  <si>
    <t>LEAD WASH PROCESS
SN63PB37 SOLDER REQ
depanel
dni RTD1</t>
  </si>
  <si>
    <t>7/11 - 6:00</t>
  </si>
  <si>
    <t>7/11 - 8:00</t>
  </si>
  <si>
    <t>7/11 - 10:00</t>
  </si>
  <si>
    <t>two labels</t>
  </si>
  <si>
    <t>yes
filled</t>
  </si>
  <si>
    <t>clear 6/13</t>
  </si>
  <si>
    <r>
      <t xml:space="preserve">6/23 - kit clear
</t>
    </r>
    <r>
      <rPr>
        <b/>
        <strike/>
        <sz val="11"/>
        <color rgb="FF000000"/>
        <rFont val="Calibri"/>
        <family val="2"/>
      </rPr>
      <t>6/19 - short SMT (high qty), no ETA; U7 - ok to use</t>
    </r>
  </si>
  <si>
    <t>6/24 - SMT comp qty 60</t>
  </si>
  <si>
    <t>133617-3
BAL
NEW</t>
  </si>
  <si>
    <r>
      <rPr>
        <b/>
        <strike/>
        <sz val="11"/>
        <color rgb="FF000000"/>
        <rFont val="Calibri"/>
        <family val="2"/>
      </rPr>
      <t xml:space="preserve">Qty 30 on 5 day turn 6/30
Qty 60 on 10 day turn 7/8h
</t>
    </r>
    <r>
      <rPr>
        <b/>
        <sz val="11"/>
        <color rgb="FF000000"/>
        <rFont val="Calibri"/>
        <family val="2"/>
      </rPr>
      <t xml:space="preserve">Qty 40 on 15 day turn 7/15h
DEPANEL
LABEL WAIVED
</t>
    </r>
    <r>
      <rPr>
        <b/>
        <sz val="11"/>
        <color rgb="FF782170"/>
        <rFont val="Calibri"/>
        <family val="2"/>
      </rPr>
      <t xml:space="preserve">100% photos (front/back/all)
</t>
    </r>
    <r>
      <rPr>
        <b/>
        <sz val="11"/>
        <color rgb="FF000000"/>
        <rFont val="Calibri"/>
        <family val="2"/>
      </rPr>
      <t>SEE ECO #3 FOR PACKAGING</t>
    </r>
  </si>
  <si>
    <t>6/23 - 12:00</t>
  </si>
  <si>
    <t>6/24 - 9:00</t>
  </si>
  <si>
    <t>6/25 - 10:00</t>
  </si>
  <si>
    <t>DOC REL 6/6</t>
  </si>
  <si>
    <t>6/19</t>
  </si>
  <si>
    <t>label waived</t>
  </si>
  <si>
    <r>
      <rPr>
        <b/>
        <sz val="11"/>
        <color rgb="FF000000"/>
        <rFont val="Calibri"/>
        <family val="2"/>
      </rPr>
      <t xml:space="preserve">clear 7/7
</t>
    </r>
    <r>
      <rPr>
        <b/>
        <strike/>
        <sz val="11"/>
        <color rgb="FF000000"/>
        <rFont val="Calibri"/>
        <family val="2"/>
      </rPr>
      <t>short, no ETA 7/7</t>
    </r>
  </si>
  <si>
    <r>
      <rPr>
        <b/>
        <sz val="11"/>
        <color rgb="FF000000"/>
        <rFont val="Calibri"/>
        <family val="2"/>
      </rPr>
      <t xml:space="preserve">7/7 - kit clear
6/30 - matl clear
</t>
    </r>
    <r>
      <rPr>
        <b/>
        <strike/>
        <sz val="11"/>
        <color rgb="FF000000"/>
        <rFont val="Calibri"/>
        <family val="2"/>
      </rPr>
      <t>6/27 - Short: SMT U23 Eta 6/30. SMT U3_1 ETA next week. THT F4 ETA next week</t>
    </r>
  </si>
  <si>
    <t>7/7 - new BOM changes</t>
  </si>
  <si>
    <t>134122
NEW</t>
  </si>
  <si>
    <t>7/14
5D</t>
  </si>
  <si>
    <r>
      <rPr>
        <b/>
        <sz val="11"/>
        <color rgb="FF000000"/>
        <rFont val="Calibri"/>
        <family val="2"/>
      </rPr>
      <t xml:space="preserve">7/7 - NEW BOM W/ SEVERAL DNI LOCATIONS
MUST PRE BAKE PCBS
"U1" INSTALL ON "J18, J19" - INSPECT PARTS UNDERNEATH BEFORE INSTALLATION
</t>
    </r>
    <r>
      <rPr>
        <b/>
        <u/>
        <sz val="11"/>
        <color rgb="FF000000"/>
        <rFont val="Calibri"/>
        <family val="2"/>
      </rPr>
      <t xml:space="preserve">INSTALL FUSES
</t>
    </r>
    <r>
      <rPr>
        <b/>
        <sz val="11"/>
        <color rgb="FF000000"/>
        <rFont val="Calibri"/>
        <family val="2"/>
      </rPr>
      <t xml:space="preserve">DEPANEL
</t>
    </r>
    <r>
      <rPr>
        <b/>
        <u/>
        <sz val="14"/>
        <color rgb="FFFF0000"/>
        <rFont val="Calibri"/>
        <family val="2"/>
      </rPr>
      <t>*** "C75" SILKSCREEN IS REVERSED. CUST SAID FOLLOW SILKSCREEN ***</t>
    </r>
  </si>
  <si>
    <t>7/9 - 1:00</t>
  </si>
  <si>
    <t>7/10 - 1:30</t>
  </si>
  <si>
    <t xml:space="preserve">Vecna Robotics
</t>
  </si>
  <si>
    <t>clear 7/1</t>
  </si>
  <si>
    <r>
      <t xml:space="preserve">7/7 - kit clear
</t>
    </r>
    <r>
      <rPr>
        <b/>
        <strike/>
        <sz val="11"/>
        <color rgb="FF000000"/>
        <rFont val="Calibri"/>
        <family val="2"/>
      </rPr>
      <t>7/1 - short #15 (U7) 1/board, no ETA 7/2 EOD 7/7</t>
    </r>
  </si>
  <si>
    <t>133257
RONC 125261</t>
  </si>
  <si>
    <t>LEAD WASH PROCESS</t>
  </si>
  <si>
    <t>7/9 - 6:00</t>
  </si>
  <si>
    <t>7/9 - 8:00</t>
  </si>
  <si>
    <t>7/9 - 10:00</t>
  </si>
  <si>
    <t>clear 7/3</t>
  </si>
  <si>
    <r>
      <t xml:space="preserve">7/7 - kit clear
</t>
    </r>
    <r>
      <rPr>
        <b/>
        <strike/>
        <sz val="11"/>
        <color rgb="FF000000"/>
        <rFont val="Calibri"/>
        <family val="2"/>
      </rPr>
      <t xml:space="preserve">7/3 - Short SMT #119 (Z4) - ok to skip; AWT SMT part confirm #79 (J10) </t>
    </r>
  </si>
  <si>
    <t>134170
NEW</t>
  </si>
  <si>
    <r>
      <rPr>
        <b/>
        <sz val="12"/>
        <color rgb="FFFF0000"/>
        <rFont val="Calibri"/>
        <family val="2"/>
      </rPr>
      <t xml:space="preserve">*** "L19, L80, L81" INSTALL MARKING SIDE UP ***
"U27" &amp; "BZ1" AFTER WASH
</t>
    </r>
    <r>
      <rPr>
        <b/>
        <u/>
        <sz val="11"/>
        <color rgb="FF000000"/>
        <rFont val="Calibri"/>
        <family val="2"/>
      </rPr>
      <t xml:space="preserve">"J46 &amp; T2: DNI &amp; SHIP PARTS W. BOARDS
</t>
    </r>
    <r>
      <rPr>
        <b/>
        <sz val="11"/>
        <color rgb="FF000000"/>
        <rFont val="Calibri"/>
        <family val="2"/>
      </rPr>
      <t>DEPPANEL</t>
    </r>
  </si>
  <si>
    <t>7/8 - 6:00</t>
  </si>
  <si>
    <t>7/9
8:00</t>
  </si>
  <si>
    <t xml:space="preserve">Delsys, Inc.
</t>
  </si>
  <si>
    <t>7/1 - kit clear</t>
  </si>
  <si>
    <t>131747
ROWC 128984</t>
  </si>
  <si>
    <t>LEADED WASH
depanel</t>
  </si>
  <si>
    <t>7/3 - 8:00</t>
  </si>
  <si>
    <t>7/3 - 11:00</t>
  </si>
  <si>
    <t>clear 6/20</t>
  </si>
  <si>
    <r>
      <rPr>
        <b/>
        <sz val="11"/>
        <color rgb="FF000000"/>
        <rFont val="Calibri"/>
        <family val="2"/>
      </rPr>
      <t xml:space="preserve">6/26 - kit clear
</t>
    </r>
    <r>
      <rPr>
        <b/>
        <strike/>
        <sz val="11"/>
        <color rgb="FF000000"/>
        <rFont val="Calibri"/>
        <family val="2"/>
      </rPr>
      <t>6/23 - smt clear
6/20 - SMT short U1 (qty 25); THT short XF1, no ETA</t>
    </r>
  </si>
  <si>
    <t>132713
NEW</t>
  </si>
  <si>
    <r>
      <rPr>
        <b/>
        <sz val="11"/>
        <color rgb="FF000000"/>
        <rFont val="Calibri"/>
        <family val="2"/>
      </rPr>
      <t xml:space="preserve">LEAD PROCESS
</t>
    </r>
    <r>
      <rPr>
        <b/>
        <u/>
        <sz val="11"/>
        <color rgb="FF000000"/>
        <rFont val="Calibri"/>
        <family val="2"/>
      </rPr>
      <t xml:space="preserve">"F1 &amp; XF1" INSTALL TOGETHER
</t>
    </r>
    <r>
      <rPr>
        <b/>
        <sz val="11"/>
        <color rgb="FF000000"/>
        <rFont val="Calibri"/>
        <family val="2"/>
      </rPr>
      <t>THERMAL GREASE REQUIRED PER ECO</t>
    </r>
  </si>
  <si>
    <t>6/25 - 9:30</t>
  </si>
  <si>
    <t>6/25 - 11:00</t>
  </si>
  <si>
    <t>Baron Weather, Inc.</t>
  </si>
  <si>
    <t>6/20</t>
  </si>
  <si>
    <r>
      <t xml:space="preserve">clear
</t>
    </r>
    <r>
      <rPr>
        <b/>
        <strike/>
        <sz val="11"/>
        <color rgb="FF000000"/>
        <rFont val="Calibri"/>
        <family val="2"/>
      </rPr>
      <t>short, no ETA 7/2</t>
    </r>
  </si>
  <si>
    <r>
      <t xml:space="preserve">7/3 - kit clear
6/25 - matl clear
</t>
    </r>
    <r>
      <rPr>
        <b/>
        <strike/>
        <sz val="11"/>
        <color rgb="FF000000"/>
        <rFont val="Calibri"/>
        <family val="2"/>
      </rPr>
      <t>6/24 - short many SMT line items</t>
    </r>
  </si>
  <si>
    <r>
      <rPr>
        <b/>
        <sz val="11"/>
        <color rgb="FF000000"/>
        <rFont val="Calibri"/>
        <family val="2"/>
      </rPr>
      <t xml:space="preserve">7/3 - </t>
    </r>
    <r>
      <rPr>
        <b/>
        <sz val="11"/>
        <color rgb="FFFF0000"/>
        <rFont val="Calibri"/>
        <family val="2"/>
      </rPr>
      <t xml:space="preserve">set ship date to 7/10 (Anne)
</t>
    </r>
    <r>
      <rPr>
        <b/>
        <sz val="11"/>
        <color rgb="FF000000"/>
        <rFont val="Calibri"/>
        <family val="2"/>
      </rPr>
      <t xml:space="preserve">7/1 - </t>
    </r>
    <r>
      <rPr>
        <b/>
        <strike/>
        <sz val="11"/>
        <color rgb="FF000000"/>
        <rFont val="Calibri"/>
        <family val="2"/>
      </rPr>
      <t>maybe expedite</t>
    </r>
  </si>
  <si>
    <t>133821
NEW</t>
  </si>
  <si>
    <t>CLASS 3
LEAD WASH</t>
  </si>
  <si>
    <t>7/7 - 10:30</t>
  </si>
  <si>
    <t>7/7 - 1:30</t>
  </si>
  <si>
    <t>7/8 - 2:00</t>
  </si>
  <si>
    <t xml:space="preserve">Amplified Space
</t>
  </si>
  <si>
    <t>DOC REL 6/17</t>
  </si>
  <si>
    <t>7/1 - 6min/panel (2x)</t>
  </si>
  <si>
    <t>134018
NEW</t>
  </si>
  <si>
    <t>"S1-S4" AFTER WASH
"T1" INSPECT BEFORE INSTALLING SHIELD</t>
  </si>
  <si>
    <t>6/30 - 11:30</t>
  </si>
  <si>
    <t>7/1 - 1:30</t>
  </si>
  <si>
    <t>7/2 - 1:00</t>
  </si>
  <si>
    <r>
      <t xml:space="preserve">clear 6/30
</t>
    </r>
    <r>
      <rPr>
        <b/>
        <strike/>
        <sz val="11"/>
        <color rgb="FF000000"/>
        <rFont val="Calibri"/>
        <family val="2"/>
      </rPr>
      <t>short, no ETA 7/2</t>
    </r>
  </si>
  <si>
    <r>
      <t xml:space="preserve">7/1 - kit clear (awt board inspection before ship date)
6/27 - matl clear
</t>
    </r>
    <r>
      <rPr>
        <b/>
        <strike/>
        <sz val="11"/>
        <color rgb="FF000000"/>
        <rFont val="Calibri"/>
        <family val="2"/>
      </rPr>
      <t>6/26 - SMT matl clear; short THT (no ETA)</t>
    </r>
  </si>
  <si>
    <t>134112
NEW</t>
  </si>
  <si>
    <t>PCB'S MUST BE PRE-BAKED
"BT1" AFTER WASH
DEPANEL</t>
  </si>
  <si>
    <t>7/2 - 12:30</t>
  </si>
  <si>
    <r>
      <rPr>
        <b/>
        <sz val="11"/>
        <color rgb="FF782170"/>
        <rFont val="Calibri"/>
        <family val="2"/>
      </rPr>
      <t xml:space="preserve">7/1 - received 80 of 130
</t>
    </r>
    <r>
      <rPr>
        <b/>
        <strike/>
        <sz val="11"/>
        <color rgb="FF000000"/>
        <rFont val="Calibri"/>
        <family val="2"/>
      </rPr>
      <t>short, ETA 7/3</t>
    </r>
  </si>
  <si>
    <r>
      <rPr>
        <b/>
        <sz val="11"/>
        <color rgb="FF000000"/>
        <rFont val="Calibri"/>
        <family val="2"/>
      </rPr>
      <t xml:space="preserve">7/1 - </t>
    </r>
    <r>
      <rPr>
        <b/>
        <sz val="11"/>
        <color rgb="FFFF0000"/>
        <rFont val="Calibri"/>
        <family val="2"/>
      </rPr>
      <t xml:space="preserve">kit clear (qty 30 of 130)
</t>
    </r>
    <r>
      <rPr>
        <b/>
        <sz val="11"/>
        <color rgb="FF000000"/>
        <rFont val="Calibri"/>
        <family val="2"/>
      </rPr>
      <t>6/26 - matl clear; 5x line items cust conf (see BOM)</t>
    </r>
  </si>
  <si>
    <t>7/3 - SMT comp 35 of 80 (bottom)</t>
  </si>
  <si>
    <t>133759-1
par
NEW</t>
  </si>
  <si>
    <r>
      <rPr>
        <b/>
        <sz val="14"/>
        <color rgb="FF000000"/>
        <rFont val="Calibri"/>
        <family val="2"/>
      </rPr>
      <t xml:space="preserve">7/9
</t>
    </r>
    <r>
      <rPr>
        <b/>
        <sz val="14"/>
        <color rgb="FFFF0000"/>
        <rFont val="Calibri"/>
        <family val="2"/>
      </rPr>
      <t>3D</t>
    </r>
  </si>
  <si>
    <r>
      <rPr>
        <b/>
        <sz val="14"/>
        <color rgb="FFFF0000"/>
        <rFont val="Calibri"/>
        <family val="2"/>
      </rPr>
      <t xml:space="preserve">*** PAID EXPEDITE ***
</t>
    </r>
    <r>
      <rPr>
        <b/>
        <sz val="11"/>
        <color rgb="FF782170"/>
        <rFont val="Calibri"/>
        <family val="2"/>
      </rPr>
      <t xml:space="preserve">balance remaining qty 100
100% inspection
AOI, Xray &amp; Save Images Required
100% photos (front/back all)
</t>
    </r>
    <r>
      <rPr>
        <b/>
        <sz val="11"/>
        <color rgb="FF000000"/>
        <rFont val="Calibri"/>
        <family val="2"/>
      </rPr>
      <t xml:space="preserve">"PF1, C789, C83" AFTER WASH
"THPAD1-3" INSTALL PER ECO
DEPANEL
</t>
    </r>
    <r>
      <rPr>
        <b/>
        <u/>
        <sz val="11"/>
        <color rgb="FF000000"/>
        <rFont val="Calibri"/>
        <family val="2"/>
      </rPr>
      <t>waived: RTV &amp; Conformal Coating</t>
    </r>
  </si>
  <si>
    <t>7/3 - 6:00</t>
  </si>
  <si>
    <t>7/3 - 9:00</t>
  </si>
  <si>
    <t>7/3 - 2:30</t>
  </si>
  <si>
    <t>rtv waived</t>
  </si>
  <si>
    <t>eco printed</t>
  </si>
  <si>
    <r>
      <rPr>
        <b/>
        <sz val="11"/>
        <color rgb="FF000000"/>
        <rFont val="Calibri"/>
        <family val="2"/>
      </rPr>
      <t xml:space="preserve">clear 6/30
</t>
    </r>
    <r>
      <rPr>
        <b/>
        <strike/>
        <sz val="11"/>
        <color rgb="FF000000"/>
        <rFont val="Calibri"/>
        <family val="2"/>
      </rPr>
      <t>short ETA 6/30</t>
    </r>
  </si>
  <si>
    <r>
      <t xml:space="preserve">6/30 - kit clear
6/27 - matl clear
</t>
    </r>
    <r>
      <rPr>
        <b/>
        <strike/>
        <sz val="11"/>
        <color rgb="FF000000"/>
        <rFont val="Calibri"/>
        <family val="2"/>
      </rPr>
      <t>6/24 - Short SMT D1-D6, no ETA; Short THT 2x line items, no ETA &amp; #14 (C9) ok to use</t>
    </r>
  </si>
  <si>
    <r>
      <rPr>
        <b/>
        <sz val="11"/>
        <color rgb="FF000000"/>
        <rFont val="Calibri"/>
        <family val="2"/>
      </rPr>
      <t xml:space="preserve">6/25 - </t>
    </r>
    <r>
      <rPr>
        <b/>
        <sz val="11"/>
        <color rgb="FFFF0000"/>
        <rFont val="Calibri"/>
        <family val="2"/>
      </rPr>
      <t>expedite ship date (Anne)</t>
    </r>
  </si>
  <si>
    <t>133736
NEW</t>
  </si>
  <si>
    <t>7/9
10D</t>
  </si>
  <si>
    <r>
      <rPr>
        <b/>
        <sz val="11"/>
        <color rgb="FFFF0000"/>
        <rFont val="Calibri"/>
        <family val="2"/>
      </rPr>
      <t xml:space="preserve">Expedite
</t>
    </r>
    <r>
      <rPr>
        <b/>
        <sz val="11"/>
        <color rgb="FF782170"/>
        <rFont val="Calibri"/>
        <family val="2"/>
      </rPr>
      <t xml:space="preserve">100% inspection
AOI, Xray &amp; Save Images Required
100% photos (front/back all)
</t>
    </r>
    <r>
      <rPr>
        <b/>
        <sz val="11"/>
        <color rgb="FF000000"/>
        <rFont val="Calibri"/>
        <family val="2"/>
      </rPr>
      <t xml:space="preserve">"FH1, FH1, F1" INSTALL PER ECO
</t>
    </r>
    <r>
      <rPr>
        <b/>
        <sz val="12"/>
        <color rgb="FFFF0000"/>
        <rFont val="Calibri"/>
        <family val="2"/>
      </rPr>
      <t xml:space="preserve">*** "T1" SEE ECO FOR TRIMMING
</t>
    </r>
    <r>
      <rPr>
        <b/>
        <sz val="11"/>
        <color rgb="FF000000"/>
        <rFont val="Calibri"/>
        <family val="2"/>
      </rPr>
      <t>DEPANEL
BTD D1</t>
    </r>
    <r>
      <rPr>
        <b/>
        <u/>
        <sz val="11"/>
        <color rgb="FF000000"/>
        <rFont val="Calibri"/>
        <family val="2"/>
      </rPr>
      <t xml:space="preserve"> (red arrows on boards D1 not installed)</t>
    </r>
  </si>
  <si>
    <t>7/1 - 7:30</t>
  </si>
  <si>
    <t>7/1 - 9:30</t>
  </si>
  <si>
    <t>cofc requirement PO# 001408</t>
  </si>
  <si>
    <t>10D</t>
  </si>
  <si>
    <t xml:space="preserve">ABB, Inc.
</t>
  </si>
  <si>
    <r>
      <t xml:space="preserve">clear 6/27
</t>
    </r>
    <r>
      <rPr>
        <b/>
        <strike/>
        <sz val="11"/>
        <color rgb="FF000000"/>
        <rFont val="Calibri"/>
        <family val="2"/>
      </rPr>
      <t>short, no ETA (FAB HOLD) 6/27</t>
    </r>
  </si>
  <si>
    <t>6/27 - kit clear
6/10 - matl clear</t>
  </si>
  <si>
    <t>133078
NEW</t>
  </si>
  <si>
    <t>lead-free no-clean
MIC1FLX_L MIC2FLX_L  FOLLOW DATA SHEET PER ECO #1 - RUN AS NO CLEAN</t>
  </si>
  <si>
    <t>7/2 - 2:30</t>
  </si>
  <si>
    <t xml:space="preserve">Applied Research Associates, Inc.
</t>
  </si>
  <si>
    <t>DOC REL 6/9</t>
  </si>
  <si>
    <t>6/10</t>
  </si>
  <si>
    <t>bag alta stand printed</t>
  </si>
  <si>
    <t>part docs</t>
  </si>
  <si>
    <t>6/27 - kit clear
6/12 - matl clear</t>
  </si>
  <si>
    <t>133077
NEW</t>
  </si>
  <si>
    <t>"MIC1FLX_R MIC2FLX_R " RUN AS NO CLEAN PER ECO
lead-free no-clean</t>
  </si>
  <si>
    <t>7/2 - 11:00</t>
  </si>
  <si>
    <t>Applied Research Assoc., Inc.</t>
  </si>
  <si>
    <t>DOC REL 6/11</t>
  </si>
  <si>
    <t>6/12</t>
  </si>
  <si>
    <r>
      <t xml:space="preserve">clear 6/30
</t>
    </r>
    <r>
      <rPr>
        <b/>
        <strike/>
        <sz val="11"/>
        <color rgb="FF000000"/>
        <rFont val="Calibri"/>
        <family val="2"/>
      </rPr>
      <t>short, no ETA 7/1</t>
    </r>
  </si>
  <si>
    <r>
      <t xml:space="preserve">6/30 - kit clear
6/27 - matl clear
</t>
    </r>
    <r>
      <rPr>
        <b/>
        <strike/>
        <sz val="11"/>
        <color rgb="FF000000"/>
        <rFont val="Calibri"/>
        <family val="2"/>
      </rPr>
      <t>6/25 - short U69 &amp; P1 (qty 8 each), no ETA</t>
    </r>
  </si>
  <si>
    <t>133464
NEW</t>
  </si>
  <si>
    <t>"SW2, 3, 4" AFTER WASH &amp; SEE ECO FOR POLARITY
"P1, J3" MOUNT FLUSH IF POSSIBLE
DEPANEL</t>
  </si>
  <si>
    <t>133617-2
PAR
NEW</t>
  </si>
  <si>
    <r>
      <rPr>
        <b/>
        <strike/>
        <sz val="11"/>
        <color rgb="FF000000"/>
        <rFont val="Calibri"/>
        <family val="2"/>
      </rPr>
      <t xml:space="preserve">Qty 30 on 5 day turn 6/30
</t>
    </r>
    <r>
      <rPr>
        <b/>
        <sz val="11"/>
        <color rgb="FF000000"/>
        <rFont val="Calibri"/>
        <family val="2"/>
      </rPr>
      <t xml:space="preserve">Qty 60 on 10 day turn 7/8h
Qty 40 on 15 day turn 7/15h
DEPANEL
LABEL WAIVED
</t>
    </r>
    <r>
      <rPr>
        <b/>
        <sz val="11"/>
        <color rgb="FF782170"/>
        <rFont val="Calibri"/>
        <family val="2"/>
      </rPr>
      <t xml:space="preserve">100% photos (front/back/all)
</t>
    </r>
    <r>
      <rPr>
        <b/>
        <sz val="11"/>
        <color rgb="FF000000"/>
        <rFont val="Calibri"/>
        <family val="2"/>
      </rPr>
      <t>SEE ECO #3 FOR PACKAGING</t>
    </r>
  </si>
  <si>
    <t>clear 4/3</t>
  </si>
  <si>
    <r>
      <t xml:space="preserve">6/23 - kit clear
</t>
    </r>
    <r>
      <rPr>
        <b/>
        <strike/>
        <sz val="11"/>
        <color rgb="FF000000"/>
        <rFont val="Calibri"/>
        <family val="2"/>
      </rPr>
      <t>6/20 - short SMT: J8-J15 (can't skip)</t>
    </r>
  </si>
  <si>
    <t>6/25 - SMT comp qty 23
6/24 - SMT comp top qty 25</t>
  </si>
  <si>
    <r>
      <rPr>
        <b/>
        <sz val="11"/>
        <color rgb="FFFF0000"/>
        <rFont val="Calibri"/>
        <family val="2"/>
      </rPr>
      <t xml:space="preserve">*** QUALITY ALERT - SEE ECO
*** 100% INSP REQ - BOARDS MUST BE PERFECT!!!
*** SOLDER BRIDGE REQ @ "U14, U15, U20, U21, U26, U27, U32 and U33" @ PINS 22, 23 &amp; 24
</t>
    </r>
    <r>
      <rPr>
        <b/>
        <sz val="11"/>
        <color rgb="FF000000"/>
        <rFont val="Calibri"/>
        <family val="2"/>
      </rPr>
      <t xml:space="preserve">XRAY &amp; SAVE IMAGES
DEPANEL
*** </t>
    </r>
    <r>
      <rPr>
        <b/>
        <u/>
        <sz val="11"/>
        <color rgb="FF000000"/>
        <rFont val="Calibri"/>
        <family val="2"/>
      </rPr>
      <t xml:space="preserve">dni "J4K" &amp; SHIP WITH ASSYS
do not ship excess matl
</t>
    </r>
    <r>
      <rPr>
        <b/>
        <sz val="11"/>
        <color rgb="FF000000"/>
        <rFont val="Calibri"/>
        <family val="2"/>
      </rPr>
      <t>photos of all boards (specifically Quality affected areas)</t>
    </r>
  </si>
  <si>
    <t>6/24 - 11:30</t>
  </si>
  <si>
    <t>quality alert (new ECO)
---
do not ship excess</t>
  </si>
  <si>
    <t>6/18</t>
  </si>
  <si>
    <r>
      <t xml:space="preserve">clear 7/1
</t>
    </r>
    <r>
      <rPr>
        <b/>
        <strike/>
        <sz val="11"/>
        <color rgb="FF000000"/>
        <rFont val="Calibri"/>
        <family val="2"/>
      </rPr>
      <t>SHORT, NO ETA 6/13 6/27 6/30</t>
    </r>
  </si>
  <si>
    <t>7/1 - kit clear
5/19 - matl clear</t>
  </si>
  <si>
    <t>133035
NEW</t>
  </si>
  <si>
    <r>
      <rPr>
        <b/>
        <sz val="14"/>
        <color rgb="FF000000"/>
        <rFont val="Calibri"/>
        <family val="2"/>
      </rPr>
      <t xml:space="preserve">7/3
</t>
    </r>
    <r>
      <rPr>
        <b/>
        <sz val="14"/>
        <color rgb="FFFF0000"/>
        <rFont val="Calibri"/>
        <family val="2"/>
      </rPr>
      <t>2D</t>
    </r>
  </si>
  <si>
    <t>7/2 - 10:00</t>
  </si>
  <si>
    <t>7/2 - 11:30</t>
  </si>
  <si>
    <t xml:space="preserve">Teal Drones, Inc
</t>
  </si>
  <si>
    <t>DOC REL 5/16</t>
  </si>
  <si>
    <t>5/19</t>
  </si>
  <si>
    <t>complete
ECO label</t>
  </si>
  <si>
    <r>
      <t xml:space="preserve">clear 6/26
</t>
    </r>
    <r>
      <rPr>
        <b/>
        <strike/>
        <sz val="11"/>
        <color rgb="FF000000"/>
        <rFont val="Calibri"/>
        <family val="2"/>
      </rPr>
      <t>short, no ETA 6/25 6/26</t>
    </r>
  </si>
  <si>
    <r>
      <t xml:space="preserve">6/26 - kit clear
6/19 - matl clear
6/16 - </t>
    </r>
    <r>
      <rPr>
        <b/>
        <strike/>
        <sz val="11"/>
        <color rgb="FF000000"/>
        <rFont val="Calibri"/>
        <family val="2"/>
      </rPr>
      <t>short U17 -- skippable
5/28 - short SMT 2 line itms: #52 (U27) qty 1 &amp; #140 (R26) qty 4 --- skippable</t>
    </r>
  </si>
  <si>
    <t>6/26 - SMT top side 1st</t>
  </si>
  <si>
    <t>131636-FA
NEW</t>
  </si>
  <si>
    <t>7/3
5D</t>
  </si>
  <si>
    <r>
      <rPr>
        <b/>
        <sz val="12"/>
        <color rgb="FFFF0000"/>
        <rFont val="Calibri"/>
        <family val="2"/>
      </rPr>
      <t xml:space="preserve">*** SHIP ON OR BEFORE ??? ***
*** SEE ECO FOR SOLDER &amp; CLEANING
</t>
    </r>
    <r>
      <rPr>
        <b/>
        <sz val="12"/>
        <color rgb="FF782170"/>
        <rFont val="Calibri"/>
        <family val="2"/>
      </rPr>
      <t xml:space="preserve">balance remain qty 188
</t>
    </r>
    <r>
      <rPr>
        <b/>
        <sz val="12"/>
        <color rgb="FF000000"/>
        <rFont val="Calibri"/>
        <family val="2"/>
      </rPr>
      <t>AS9102 FAIR REQ
DO NOT SKIP AOI
XRAY &amp; SAVE IMAGES
DEPANEL</t>
    </r>
  </si>
  <si>
    <t>6/27 - 9:00</t>
  </si>
  <si>
    <t>6/27 - 10:30</t>
  </si>
  <si>
    <t>6/27 - 1:30</t>
  </si>
  <si>
    <t>DOC REL 6/13</t>
  </si>
  <si>
    <t>5/28</t>
  </si>
  <si>
    <t>clear 4/23</t>
  </si>
  <si>
    <r>
      <rPr>
        <b/>
        <sz val="11"/>
        <color rgb="FF000000"/>
        <rFont val="Calibri"/>
        <family val="2"/>
      </rPr>
      <t xml:space="preserve">6/26 - kit clear
6/11 - epoxy received
6/10 - </t>
    </r>
    <r>
      <rPr>
        <b/>
        <strike/>
        <sz val="11"/>
        <color rgb="FF000000"/>
        <rFont val="Calibri"/>
        <family val="2"/>
      </rPr>
      <t xml:space="preserve">SMT clear; </t>
    </r>
    <r>
      <rPr>
        <b/>
        <strike/>
        <sz val="11"/>
        <color rgb="FF104861"/>
        <rFont val="Calibri"/>
        <family val="2"/>
      </rPr>
      <t>short THT BT1, no ETA 6/24 or 6/25</t>
    </r>
  </si>
  <si>
    <r>
      <rPr>
        <b/>
        <sz val="11"/>
        <color rgb="FF000000"/>
        <rFont val="Calibri"/>
        <family val="2"/>
      </rPr>
      <t xml:space="preserve">6/13 - SMT comp qty 100
</t>
    </r>
    <r>
      <rPr>
        <b/>
        <sz val="11"/>
        <color rgb="FF104861"/>
        <rFont val="Calibri"/>
        <family val="2"/>
      </rPr>
      <t xml:space="preserve">6/12 - </t>
    </r>
    <r>
      <rPr>
        <b/>
        <sz val="11"/>
        <color rgb="FFFF0000"/>
        <rFont val="Calibri"/>
        <family val="2"/>
      </rPr>
      <t>SMT top side 1st</t>
    </r>
  </si>
  <si>
    <r>
      <rPr>
        <b/>
        <sz val="11"/>
        <color rgb="FF000000"/>
        <rFont val="Calibri"/>
        <family val="2"/>
      </rPr>
      <t xml:space="preserve">LEADED NO-CLEAN
"U27"MUST USE NO CLEAN SOLDER PASTE 
</t>
    </r>
    <r>
      <rPr>
        <b/>
        <u/>
        <sz val="11"/>
        <color rgb="FF000000"/>
        <rFont val="Calibri"/>
        <family val="2"/>
      </rPr>
      <t xml:space="preserve">BT1 STAKING REQ (HUNTSMAN ARATHANE 5753 + CAB-O-SIL) - CAN USE DP100 under BT1
</t>
    </r>
    <r>
      <rPr>
        <b/>
        <sz val="11"/>
        <color rgb="FF000000"/>
        <rFont val="Calibri"/>
        <family val="2"/>
      </rPr>
      <t>DEPANEL</t>
    </r>
  </si>
  <si>
    <t>6/11 - 1:00</t>
  </si>
  <si>
    <t>6/11 - 1:30</t>
  </si>
  <si>
    <t>6/19 - 12:00</t>
  </si>
  <si>
    <t>FEDEX  P</t>
  </si>
  <si>
    <t xml:space="preserve">Industrialex Manufacturing
</t>
  </si>
  <si>
    <t>staking required</t>
  </si>
  <si>
    <r>
      <t xml:space="preserve">clear 6/27
</t>
    </r>
    <r>
      <rPr>
        <b/>
        <strike/>
        <sz val="11"/>
        <color rgb="FF000000"/>
        <rFont val="Calibri"/>
        <family val="2"/>
      </rPr>
      <t>short ETA 6/30</t>
    </r>
  </si>
  <si>
    <r>
      <t xml:space="preserve">6/30 - kit clear
</t>
    </r>
    <r>
      <rPr>
        <b/>
        <strike/>
        <sz val="11"/>
        <color rgb="FF000000"/>
        <rFont val="Calibri"/>
        <family val="2"/>
      </rPr>
      <t>6/24 - Short SMT J1 &amp; U45 due 6/27 thru</t>
    </r>
    <r>
      <rPr>
        <b/>
        <sz val="11"/>
        <color rgb="FF000000"/>
        <rFont val="Calibri"/>
        <family val="2"/>
      </rPr>
      <t xml:space="preserve"> 7/1, </t>
    </r>
    <r>
      <rPr>
        <b/>
        <strike/>
        <sz val="11"/>
        <color rgb="FF000000"/>
        <rFont val="Calibri"/>
        <family val="2"/>
      </rPr>
      <t>SMT D2 no ETA</t>
    </r>
  </si>
  <si>
    <r>
      <rPr>
        <b/>
        <sz val="11"/>
        <color rgb="FF000000"/>
        <rFont val="Calibri"/>
        <family val="2"/>
      </rPr>
      <t xml:space="preserve">6/24 - </t>
    </r>
    <r>
      <rPr>
        <b/>
        <sz val="11"/>
        <color rgb="FFFF0000"/>
        <rFont val="Calibri"/>
        <family val="2"/>
      </rPr>
      <t>Hot Job (Anne)</t>
    </r>
  </si>
  <si>
    <t>133917
NEW</t>
  </si>
  <si>
    <r>
      <rPr>
        <b/>
        <sz val="14"/>
        <color rgb="FF000000"/>
        <rFont val="Calibri"/>
        <family val="2"/>
      </rPr>
      <t xml:space="preserve">7/2
</t>
    </r>
    <r>
      <rPr>
        <b/>
        <sz val="14"/>
        <color rgb="FFFF0000"/>
        <rFont val="Calibri"/>
        <family val="2"/>
      </rPr>
      <t>2D</t>
    </r>
  </si>
  <si>
    <r>
      <rPr>
        <b/>
        <sz val="11"/>
        <color rgb="FFFF0000"/>
        <rFont val="Calibri"/>
        <family val="2"/>
      </rPr>
      <t xml:space="preserve">*** HOT JOB ***
</t>
    </r>
    <r>
      <rPr>
        <b/>
        <sz val="11"/>
        <color rgb="FF000000"/>
        <rFont val="Calibri"/>
        <family val="2"/>
      </rPr>
      <t>CLASS 2
LEAD WASH</t>
    </r>
  </si>
  <si>
    <t>6/30 - 1:30</t>
  </si>
  <si>
    <t>7/1 - 8:00</t>
  </si>
  <si>
    <t>yes 
filled</t>
  </si>
  <si>
    <r>
      <t xml:space="preserve">6/27 - kit clear
</t>
    </r>
    <r>
      <rPr>
        <b/>
        <strike/>
        <sz val="11"/>
        <color rgb="FF000000"/>
        <rFont val="Calibri"/>
        <family val="2"/>
      </rPr>
      <t>6/20 - short SMT 2 1 items U11 (high qty 120) due 6/27; short THT 2 items, no ETA 6/25</t>
    </r>
  </si>
  <si>
    <t>6/20 - SMT top side 1st</t>
  </si>
  <si>
    <t>133723
NEW</t>
  </si>
  <si>
    <r>
      <rPr>
        <b/>
        <sz val="14"/>
        <color rgb="FF000000"/>
        <rFont val="Calibri"/>
        <family val="2"/>
      </rPr>
      <t xml:space="preserve">7/2
</t>
    </r>
    <r>
      <rPr>
        <b/>
        <sz val="14"/>
        <color rgb="FFFF0000"/>
        <rFont val="Calibri"/>
        <family val="2"/>
      </rPr>
      <t>3D</t>
    </r>
  </si>
  <si>
    <r>
      <rPr>
        <b/>
        <sz val="11"/>
        <color rgb="FF000000"/>
        <rFont val="Calibri"/>
        <family val="2"/>
      </rPr>
      <t>"SW1-8, L2" AFTER WASH
"J16, SW9" SEE ECO FOR INSTALL (</t>
    </r>
    <r>
      <rPr>
        <b/>
        <u/>
        <sz val="11"/>
        <color rgb="FF000000"/>
        <rFont val="Calibri"/>
        <family val="2"/>
      </rPr>
      <t>shunts</t>
    </r>
    <r>
      <rPr>
        <b/>
        <sz val="11"/>
        <color rgb="FF000000"/>
        <rFont val="Calibri"/>
        <family val="2"/>
      </rPr>
      <t>)
DEPANEL
EXTRA CARE FOR PACKAGING</t>
    </r>
  </si>
  <si>
    <t>6/30 - 9:30</t>
  </si>
  <si>
    <t>6/30 - scheduled ship: qty 60 on 7/1</t>
  </si>
  <si>
    <t>132028-2ND
1 PAR
RONC 1st Article</t>
  </si>
  <si>
    <t>7/1
5D</t>
  </si>
  <si>
    <r>
      <rPr>
        <b/>
        <sz val="12"/>
        <color rgb="FFFF0000"/>
        <rFont val="Calibri"/>
        <family val="2"/>
      </rPr>
      <t xml:space="preserve">*** SEE ECO FOR SOLDER &amp; CLEANING
</t>
    </r>
    <r>
      <rPr>
        <b/>
        <strike/>
        <sz val="11"/>
        <color rgb="FF000000"/>
        <rFont val="Calibri"/>
        <family val="2"/>
      </rPr>
      <t xml:space="preserve">LEAD FREE WASH
</t>
    </r>
    <r>
      <rPr>
        <b/>
        <sz val="11"/>
        <color rgb="FF000000"/>
        <rFont val="Calibri"/>
        <family val="2"/>
      </rPr>
      <t xml:space="preserve">AS9102 FAIR REQ
DO NOT SKIP AOI
XRAY &amp; SAVE IMAGES
DEPANEL &amp; SAND
MAKE SURE BOARDS ARE FREE AND CLEAN OF DEBRIS &amp; FLUX
</t>
    </r>
    <r>
      <rPr>
        <b/>
        <sz val="11"/>
        <color rgb="FF7030A0"/>
        <rFont val="Calibri"/>
        <family val="2"/>
      </rPr>
      <t>scheduled shipment:
BATCH 1 - 7/1 - QTY 60
BATCH 2 - 08/01 - QTY 120
BATCH 3 - 9/01 - QTY 110
BATCH 4 - 10/01 - QTY 78</t>
    </r>
  </si>
  <si>
    <t>6/30 - 2:30</t>
  </si>
  <si>
    <t>clear 6/10</t>
  </si>
  <si>
    <t>6/12 - Kit clear</t>
  </si>
  <si>
    <t>133177
RONC 132344</t>
  </si>
  <si>
    <t>7/3
15D</t>
  </si>
  <si>
    <t>XRAY &amp; SAVE IMAGES
DEPANEL</t>
  </si>
  <si>
    <t>6/13 - 6:00</t>
  </si>
  <si>
    <t>6/13 - 7:30</t>
  </si>
  <si>
    <t>6/13 - 9:00</t>
  </si>
  <si>
    <r>
      <rPr>
        <b/>
        <sz val="11"/>
        <color rgb="FF000000"/>
        <rFont val="Calibri"/>
        <family val="2"/>
      </rPr>
      <t xml:space="preserve">6/23 - short 32 pieces of P1
6/23 - </t>
    </r>
    <r>
      <rPr>
        <b/>
        <sz val="11"/>
        <color rgb="FFFF0000"/>
        <rFont val="Calibri"/>
        <family val="2"/>
      </rPr>
      <t>awt bare boards return from Laser Cutting</t>
    </r>
  </si>
  <si>
    <t>131635-2nd
 1Par
ROWC 1st Article</t>
  </si>
  <si>
    <t>6/30
5D</t>
  </si>
  <si>
    <r>
      <rPr>
        <b/>
        <sz val="11"/>
        <color rgb="FF000000"/>
        <rFont val="Calibri"/>
        <family val="2"/>
      </rPr>
      <t xml:space="preserve"> 5 SPLIT SHIPMENTS (CAN BUILD ALL AT ONCE)
*** SEE ECO FOR SOLDER &amp; CLEANING
AS9102 FAIR REQUIRED
XRAY &amp; SAVE IMAGES
DO NOT SKIP AOI
MAKE SURE BOARDS ARE FREE AND CLEAN OF FLUX &amp; DEBRIS
</t>
    </r>
    <r>
      <rPr>
        <b/>
        <u/>
        <sz val="11"/>
        <color rgb="FF000000"/>
        <rFont val="Calibri"/>
        <family val="2"/>
      </rPr>
      <t>shipping: ensure nuts are installed</t>
    </r>
    <r>
      <rPr>
        <b/>
        <sz val="11"/>
        <color rgb="FF000000"/>
        <rFont val="Calibri"/>
        <family val="2"/>
      </rPr>
      <t>"</t>
    </r>
  </si>
  <si>
    <t>clear 6/23</t>
  </si>
  <si>
    <r>
      <t xml:space="preserve">6/25 - kit clear
</t>
    </r>
    <r>
      <rPr>
        <b/>
        <strike/>
        <sz val="11"/>
        <color rgb="FF000000"/>
        <rFont val="Calibri"/>
        <family val="2"/>
      </rPr>
      <t>6/23 - Short 6x SMT line items; Short 2x THT line items, noETA</t>
    </r>
  </si>
  <si>
    <t>start setup (at least one side) ASAP</t>
  </si>
  <si>
    <t>133767
ROWC 130445</t>
  </si>
  <si>
    <r>
      <rPr>
        <b/>
        <sz val="14"/>
        <color rgb="FF000000"/>
        <rFont val="Calibri"/>
        <family val="2"/>
      </rPr>
      <t xml:space="preserve">6/30
</t>
    </r>
    <r>
      <rPr>
        <b/>
        <sz val="14"/>
        <color rgb="FFFF0000"/>
        <rFont val="Calibri"/>
        <family val="2"/>
      </rPr>
      <t>3D</t>
    </r>
  </si>
  <si>
    <r>
      <rPr>
        <b/>
        <sz val="11"/>
        <color rgb="FFFF0000"/>
        <rFont val="Calibri"/>
        <family val="2"/>
      </rPr>
      <t xml:space="preserve">DPAS Rating: DO-A7
</t>
    </r>
    <r>
      <rPr>
        <b/>
        <sz val="11"/>
        <color rgb="FF000000"/>
        <rFont val="Calibri"/>
        <family val="2"/>
      </rPr>
      <t xml:space="preserve">CLASS 3
no additional vendor markings
SAC305 WITH NO CLEAN FLUX
REQUIRED
LEAD FREE </t>
    </r>
    <r>
      <rPr>
        <b/>
        <strike/>
        <sz val="11"/>
        <color rgb="FF000000"/>
        <rFont val="Calibri"/>
        <family val="2"/>
      </rPr>
      <t xml:space="preserve">WASH PROCESS </t>
    </r>
    <r>
      <rPr>
        <b/>
        <sz val="11"/>
        <color rgb="FF000000"/>
        <rFont val="Calibri"/>
        <family val="2"/>
      </rPr>
      <t xml:space="preserve">no clean
Aquanox A4639 clean process (Robert)
WILL NEED TO USE CHEMICAL WASH FOR NO CLEAN
</t>
    </r>
    <r>
      <rPr>
        <b/>
        <sz val="11"/>
        <color rgb="FFFF0000"/>
        <rFont val="Calibri"/>
        <family val="2"/>
      </rPr>
      <t xml:space="preserve">SEE ECO ALTA NOTE PRIOR TO RUNNING - NEED TO MAKE SURE THERE IS ENOUGH ATTRITION FOR "TP6 &amp; RELATED"
</t>
    </r>
    <r>
      <rPr>
        <b/>
        <u/>
        <sz val="11"/>
        <color rgb="FF000000"/>
        <rFont val="Calibri"/>
        <family val="2"/>
      </rPr>
      <t xml:space="preserve">STAKING REQ PER ECO NOTE 11 (Cure schedule, @ 100.0 °C	30.0 min.)
"J2, J6" HARDWARE AND TORQUE REQ PER ECO
COPIES OF CofC'S REQUIRED IN EACH SHIPPING BOX
</t>
    </r>
    <r>
      <rPr>
        <b/>
        <sz val="11"/>
        <color rgb="FF000000"/>
        <rFont val="Calibri"/>
        <family val="2"/>
      </rPr>
      <t>***BAG &amp; BOX WITH EXTRA CARE - USE MULTIPLE BOXES</t>
    </r>
  </si>
  <si>
    <t>6/26 - 10:00</t>
  </si>
  <si>
    <t>C51 SMT placement issue (needs fixture)</t>
  </si>
  <si>
    <t>dni q5, q8
p/n changes
uploaded</t>
  </si>
  <si>
    <t>133617-1
PAR
NEW</t>
  </si>
  <si>
    <t>Qty 30 on 5 day turn 6/30
Qty 60 on 10 day turn 7/8h
Qty 40 on 15 day turn 7/15h
DEPANEL
LABEL WAIVED
SEE ECO #3 FOR PACKAGING</t>
  </si>
  <si>
    <r>
      <t xml:space="preserve">clear
</t>
    </r>
    <r>
      <rPr>
        <b/>
        <strike/>
        <sz val="11"/>
        <color rgb="FF000000"/>
        <rFont val="Calibri"/>
        <family val="2"/>
      </rPr>
      <t>pcb due 6/11</t>
    </r>
  </si>
  <si>
    <r>
      <t xml:space="preserve">6/16 - kit clear
6/12 </t>
    </r>
    <r>
      <rPr>
        <b/>
        <strike/>
        <sz val="11"/>
        <color rgb="FF000000"/>
        <rFont val="Calibri"/>
        <family val="2"/>
      </rPr>
      <t>- Awt part conf for 98 pieces of D1
6/5 - short SMT 3 line items (total qty short is 152) : 6/12</t>
    </r>
  </si>
  <si>
    <r>
      <rPr>
        <b/>
        <sz val="11"/>
        <color rgb="FF000000"/>
        <rFont val="Calibri"/>
        <family val="2"/>
      </rPr>
      <t xml:space="preserve">6/18 - rec'vd new C12
6/17 - </t>
    </r>
    <r>
      <rPr>
        <b/>
        <sz val="11"/>
        <color rgb="FFFF0000"/>
        <rFont val="Calibri"/>
        <family val="2"/>
      </rPr>
      <t>don't skip (Trinh)</t>
    </r>
    <r>
      <rPr>
        <b/>
        <sz val="11"/>
        <color rgb="FF000000"/>
        <rFont val="Calibri"/>
        <family val="2"/>
      </rPr>
      <t xml:space="preserve"> incorrect pF #5 (C12) </t>
    </r>
  </si>
  <si>
    <t>133231
RONC 126757</t>
  </si>
  <si>
    <t>6/30
10D</t>
  </si>
  <si>
    <t>6/13 - 8:30</t>
  </si>
  <si>
    <t>6/13 - 1:00</t>
  </si>
  <si>
    <t>6/19 - 2:30</t>
  </si>
  <si>
    <t>DOC REL 5/29</t>
  </si>
  <si>
    <t>6/5</t>
  </si>
  <si>
    <r>
      <rPr>
        <b/>
        <sz val="11"/>
        <color rgb="FF000000"/>
        <rFont val="Calibri"/>
        <family val="2"/>
      </rPr>
      <t xml:space="preserve">clear 6/20
</t>
    </r>
    <r>
      <rPr>
        <b/>
        <strike/>
        <sz val="11"/>
        <color rgb="FF000000"/>
        <rFont val="Calibri"/>
        <family val="2"/>
      </rPr>
      <t>short, no ETA 6/19</t>
    </r>
  </si>
  <si>
    <r>
      <t xml:space="preserve">6/20 - kit clear
6/6 - matl clear
</t>
    </r>
    <r>
      <rPr>
        <b/>
        <strike/>
        <sz val="11"/>
        <color rgb="FF000000"/>
        <rFont val="Calibri"/>
        <family val="2"/>
      </rPr>
      <t>5/30 - SMT itm #19 (Y3) due date</t>
    </r>
  </si>
  <si>
    <t>132847-FA
NEW</t>
  </si>
  <si>
    <t>6/27
5D</t>
  </si>
  <si>
    <r>
      <rPr>
        <b/>
        <sz val="11"/>
        <color rgb="FF000000"/>
        <rFont val="Calibri"/>
        <family val="2"/>
      </rPr>
      <t xml:space="preserve">CLASS 3
LEAD PROCESS
</t>
    </r>
    <r>
      <rPr>
        <b/>
        <sz val="11"/>
        <color rgb="FF782170"/>
        <rFont val="Calibri"/>
        <family val="2"/>
      </rPr>
      <t xml:space="preserve">balance remaining qty 3
</t>
    </r>
    <r>
      <rPr>
        <b/>
        <u/>
        <sz val="11"/>
        <color rgb="FF000000"/>
        <rFont val="Calibri"/>
        <family val="2"/>
      </rPr>
      <t>"CH1_U10x12" POST BAKE 30 MIN</t>
    </r>
    <r>
      <rPr>
        <b/>
        <sz val="11"/>
        <color rgb="FF000000"/>
        <rFont val="Calibri"/>
        <family val="2"/>
      </rPr>
      <t xml:space="preserve"> PER ECO
"SW1" AFTER WASH
"PA, PB, PC" PRESS FIT (DO NOT SOLDER)
</t>
    </r>
    <r>
      <rPr>
        <b/>
        <u/>
        <sz val="11"/>
        <color rgb="FF000000"/>
        <rFont val="Calibri"/>
        <family val="2"/>
      </rPr>
      <t>"LP_A, LP_B" INSTALL &amp; torque</t>
    </r>
    <r>
      <rPr>
        <b/>
        <sz val="11"/>
        <color rgb="FF000000"/>
        <rFont val="Calibri"/>
        <family val="2"/>
      </rPr>
      <t xml:space="preserve"> PER ECO
</t>
    </r>
    <r>
      <rPr>
        <b/>
        <u/>
        <sz val="11"/>
        <color rgb="FF000000"/>
        <rFont val="Calibri"/>
        <family val="2"/>
      </rPr>
      <t xml:space="preserve">Install nylon standoffs
</t>
    </r>
    <r>
      <rPr>
        <b/>
        <u/>
        <sz val="12"/>
        <color rgb="FFFF0000"/>
        <rFont val="Calibri"/>
        <family val="2"/>
      </rPr>
      <t xml:space="preserve">SHIP BACK DNI PARTS "J8, J9, CH1_U102 &amp; related x6" TO THE CUSTOMER
</t>
    </r>
    <r>
      <rPr>
        <b/>
        <sz val="11"/>
        <color rgb="FF000000"/>
        <rFont val="Calibri"/>
        <family val="2"/>
      </rPr>
      <t>DEPANEL &amp; SAND</t>
    </r>
  </si>
  <si>
    <t>6/24 - 7:30</t>
  </si>
  <si>
    <t>5/21</t>
  </si>
  <si>
    <r>
      <t xml:space="preserve">clear
</t>
    </r>
    <r>
      <rPr>
        <b/>
        <strike/>
        <sz val="11"/>
        <color rgb="FF000000"/>
        <rFont val="Calibri"/>
        <family val="2"/>
      </rPr>
      <t>short, no ETA 6/18</t>
    </r>
  </si>
  <si>
    <r>
      <t xml:space="preserve">6/19 - kit clear
</t>
    </r>
    <r>
      <rPr>
        <b/>
        <strike/>
        <sz val="11"/>
        <color rgb="FF000000"/>
        <rFont val="Calibri"/>
        <family val="2"/>
      </rPr>
      <t xml:space="preserve">6/18 - shortage (no skip) U8, no ETA
</t>
    </r>
    <r>
      <rPr>
        <b/>
        <sz val="11"/>
        <color rgb="FF000000"/>
        <rFont val="Calibri"/>
        <family val="2"/>
      </rPr>
      <t xml:space="preserve">6/16 - </t>
    </r>
    <r>
      <rPr>
        <b/>
        <strike/>
        <sz val="11"/>
        <color rgb="FF000000"/>
        <rFont val="Calibri"/>
        <family val="2"/>
      </rPr>
      <t>short 1 SMT item (can't skip) &amp; 1 SMT part conf "IC1"
6/12 - short 3 SMT line items (can't skip); awt part conf #32 (Y2A..)</t>
    </r>
  </si>
  <si>
    <t>133722
NEW</t>
  </si>
  <si>
    <t>6/26
5D</t>
  </si>
  <si>
    <r>
      <rPr>
        <b/>
        <sz val="11"/>
        <color rgb="FF000000"/>
        <rFont val="Calibri"/>
        <family val="2"/>
      </rPr>
      <t xml:space="preserve">"C179" AFTER WASH
DEPANEL
EXTRA CARE FOR PACKAGING
see packing ECO #3
</t>
    </r>
    <r>
      <rPr>
        <b/>
        <u/>
        <sz val="11"/>
        <color rgb="FF000000"/>
        <rFont val="Calibri"/>
        <family val="2"/>
      </rPr>
      <t>assembly drawing specs waived: labels/RTV/conformal coating</t>
    </r>
  </si>
  <si>
    <t>6/20 - 1:00</t>
  </si>
  <si>
    <t>6/23 - 9:00</t>
  </si>
  <si>
    <t>6/23 - 12:30</t>
  </si>
  <si>
    <r>
      <t xml:space="preserve">clear
</t>
    </r>
    <r>
      <rPr>
        <b/>
        <strike/>
        <sz val="11"/>
        <color rgb="FF000000"/>
        <rFont val="Calibri"/>
        <family val="2"/>
      </rPr>
      <t>pcb due 6/9</t>
    </r>
  </si>
  <si>
    <r>
      <t xml:space="preserve">6/12 - kit clear
</t>
    </r>
    <r>
      <rPr>
        <b/>
        <strike/>
        <sz val="11"/>
        <color rgb="FF000000"/>
        <rFont val="Calibri"/>
        <family val="2"/>
      </rPr>
      <t xml:space="preserve">6/9 - SMT clear; thermal comp due 6/11
6/4 - short SMT 1 line item (qty 40), no ETA; THT 1 line item, no ETA
6/3 - Ordered Thermal comp: Wakefield – Vette type 120-2 OR 120-5 (or equivalent) </t>
    </r>
  </si>
  <si>
    <r>
      <rPr>
        <b/>
        <sz val="11"/>
        <color rgb="FF000000"/>
        <rFont val="Calibri"/>
        <family val="2"/>
      </rPr>
      <t>6/12 -</t>
    </r>
    <r>
      <rPr>
        <b/>
        <sz val="11"/>
        <color rgb="FFFF0000"/>
        <rFont val="Calibri"/>
        <family val="2"/>
      </rPr>
      <t xml:space="preserve"> HAND TIGHT (NO TORQUE) ROBERT
</t>
    </r>
    <r>
      <rPr>
        <b/>
        <strike/>
        <sz val="11"/>
        <color rgb="FF000000"/>
        <rFont val="Calibri"/>
        <family val="2"/>
      </rPr>
      <t xml:space="preserve">6/9 - awt stencil
</t>
    </r>
    <r>
      <rPr>
        <b/>
        <sz val="11"/>
        <color rgb="FF000000"/>
        <rFont val="Calibri"/>
        <family val="2"/>
      </rPr>
      <t>6/9 - shared #73 (R57) with B132682</t>
    </r>
  </si>
  <si>
    <t>133509
NEW</t>
  </si>
  <si>
    <t>6/26
10D</t>
  </si>
  <si>
    <r>
      <rPr>
        <b/>
        <sz val="11"/>
        <color rgb="FF000000"/>
        <rFont val="Calibri"/>
        <family val="2"/>
      </rPr>
      <t xml:space="preserve">"C29, C30" AFTER WASH
TRIM LEADS "0.04" MAX
</t>
    </r>
    <r>
      <rPr>
        <b/>
        <u/>
        <sz val="11"/>
        <color rgb="FF000000"/>
        <rFont val="Calibri"/>
        <family val="2"/>
      </rPr>
      <t xml:space="preserve">"F1, 2, 3" INSTALL FUSES
"HS1" THERMAL COMPOUND, nuts, washers, screws &amp; torque REQ PER ECO
</t>
    </r>
    <r>
      <rPr>
        <b/>
        <sz val="11"/>
        <color rgb="FF000000"/>
        <rFont val="Calibri"/>
        <family val="2"/>
      </rPr>
      <t xml:space="preserve">DEPANEL
</t>
    </r>
    <r>
      <rPr>
        <b/>
        <u/>
        <sz val="11"/>
        <color rgb="FF000000"/>
        <rFont val="Calibri"/>
        <family val="2"/>
      </rPr>
      <t>shipping: RoHS stamp &amp; post-bake required (30 min)</t>
    </r>
  </si>
  <si>
    <t>6/10 - 7:00</t>
  </si>
  <si>
    <t>6/11 - 10:00</t>
  </si>
  <si>
    <t>UPS BLUE</t>
  </si>
  <si>
    <t xml:space="preserve">ALTA ROHS STAMP IN THT KIT
---
ask Tad who is in charge of stamp </t>
  </si>
  <si>
    <t>DOC REL 6/2</t>
  </si>
  <si>
    <t>6/4</t>
  </si>
  <si>
    <r>
      <rPr>
        <b/>
        <sz val="11"/>
        <color rgb="FF000000"/>
        <rFont val="Calibri"/>
        <family val="2"/>
      </rPr>
      <t xml:space="preserve">6/13 - cleared
6/13 - Short SMT #2 (J1) qty 398
</t>
    </r>
    <r>
      <rPr>
        <b/>
        <strike/>
        <sz val="11"/>
        <color rgb="FF000000"/>
        <rFont val="Calibri"/>
        <family val="2"/>
      </rPr>
      <t>5/13 - SHORT SMT #2 (J1) qty 498, #3 (J3) NO ETA</t>
    </r>
  </si>
  <si>
    <t>6/17 - SMT comp 42
6/13 - partial ship (qty 102) 6/27</t>
  </si>
  <si>
    <t>132846-1
par
RONC 130826</t>
  </si>
  <si>
    <t>6/27
10D</t>
  </si>
  <si>
    <t>6/17 - 10:30</t>
  </si>
  <si>
    <t>6/18- 9:30</t>
  </si>
  <si>
    <r>
      <t xml:space="preserve">clear
</t>
    </r>
    <r>
      <rPr>
        <b/>
        <strike/>
        <sz val="11"/>
        <color rgb="FF000000"/>
        <rFont val="Calibri"/>
        <family val="2"/>
      </rPr>
      <t>recv'd 13 of 26 - 6/9
pcb due 6/12</t>
    </r>
  </si>
  <si>
    <r>
      <t xml:space="preserve">6/13 - kit clear
6/4 - matl clear
</t>
    </r>
    <r>
      <rPr>
        <b/>
        <strike/>
        <sz val="11"/>
        <color rgb="FF000000"/>
        <rFont val="Calibri"/>
        <family val="2"/>
      </rPr>
      <t>6/3 - SMT part conf 6 line items</t>
    </r>
  </si>
  <si>
    <t>132376
NEW</t>
  </si>
  <si>
    <t>lead-free no-clean
"R99. 100, 101, 102" JUMPER PER ECO #4
DEPANEL
NO RESIDUE FROM NO CLEAN PROCESS ALLOWED - SEE ECO</t>
  </si>
  <si>
    <t>6/17 - 8:30</t>
  </si>
  <si>
    <t>6/3</t>
  </si>
  <si>
    <r>
      <t xml:space="preserve">clear
</t>
    </r>
    <r>
      <rPr>
        <b/>
        <strike/>
        <sz val="11"/>
        <color rgb="FF000000"/>
        <rFont val="Calibri"/>
        <family val="2"/>
      </rPr>
      <t>short, no ETA 6/12</t>
    </r>
  </si>
  <si>
    <r>
      <t xml:space="preserve">6/11 - kit clear
6/3 - matl clear
</t>
    </r>
    <r>
      <rPr>
        <b/>
        <strike/>
        <sz val="11"/>
        <color rgb="FF000000"/>
        <rFont val="Calibri"/>
        <family val="2"/>
      </rPr>
      <t>6/2 - awt part conf: THT #3 (J5)</t>
    </r>
  </si>
  <si>
    <t>133329
ROWC 123880</t>
  </si>
  <si>
    <t>6/25
10D</t>
  </si>
  <si>
    <r>
      <rPr>
        <b/>
        <u/>
        <sz val="11"/>
        <color rgb="FF000000"/>
        <rFont val="Calibri"/>
        <family val="2"/>
      </rPr>
      <t xml:space="preserve">"J1-4" SHUNTS/JUMPERS REQUIRED PER ECO
</t>
    </r>
    <r>
      <rPr>
        <b/>
        <sz val="11"/>
        <color rgb="FF000000"/>
        <rFont val="Calibri"/>
        <family val="2"/>
      </rPr>
      <t>"TB1,-TB10" READ ECO FOR INSTALLATION
DEPANEL</t>
    </r>
  </si>
  <si>
    <t>6/12 - 8:00</t>
  </si>
  <si>
    <t>6/12 - 11:00</t>
  </si>
  <si>
    <t>DOC REL 5/30</t>
  </si>
  <si>
    <t>6/2</t>
  </si>
  <si>
    <t>bom: p/n change uploaded</t>
  </si>
  <si>
    <r>
      <t xml:space="preserve">clear
</t>
    </r>
    <r>
      <rPr>
        <b/>
        <strike/>
        <sz val="11"/>
        <color rgb="FF000000"/>
        <rFont val="Calibri"/>
        <family val="2"/>
      </rPr>
      <t>short due 6/12</t>
    </r>
  </si>
  <si>
    <r>
      <t xml:space="preserve">6/18 - kit clear
</t>
    </r>
    <r>
      <rPr>
        <b/>
        <strike/>
        <sz val="11"/>
        <color rgb="FF000000"/>
        <rFont val="Calibri"/>
        <family val="2"/>
      </rPr>
      <t>6/13 - short most parts, no ETA</t>
    </r>
  </si>
  <si>
    <t>6/19 - SMT comp qty 12</t>
  </si>
  <si>
    <t>133367
NEW</t>
  </si>
  <si>
    <t>6/25
5D</t>
  </si>
  <si>
    <r>
      <rPr>
        <b/>
        <sz val="11"/>
        <color rgb="FF000000"/>
        <rFont val="Calibri"/>
        <family val="2"/>
      </rPr>
      <t xml:space="preserve">"U9" AFTER WASH
DEPANEL
</t>
    </r>
    <r>
      <rPr>
        <b/>
        <u/>
        <sz val="11"/>
        <color rgb="FF000000"/>
        <rFont val="Calibri"/>
        <family val="2"/>
      </rPr>
      <t>post-bake 30-min</t>
    </r>
  </si>
  <si>
    <t>6/19 - 11:00</t>
  </si>
  <si>
    <t>6/20 - 10:00</t>
  </si>
  <si>
    <t>UPS gnd on PO</t>
  </si>
  <si>
    <t>6/13</t>
  </si>
  <si>
    <r>
      <t xml:space="preserve">clear
</t>
    </r>
    <r>
      <rPr>
        <b/>
        <strike/>
        <sz val="11"/>
        <color rgb="FF000000"/>
        <rFont val="Calibri"/>
        <family val="2"/>
      </rPr>
      <t>SHORT, NO ETA 5/28</t>
    </r>
  </si>
  <si>
    <r>
      <t xml:space="preserve">5/27 - kit clear
</t>
    </r>
    <r>
      <rPr>
        <b/>
        <strike/>
        <sz val="11"/>
        <color rgb="FF000000"/>
        <rFont val="Calibri"/>
        <family val="2"/>
      </rPr>
      <t>5/10 - U29 DUE DATE
4/30 - U29, J3 (SMT) | CBL2, and RES_AXIAL (THT) WITH NO ETA</t>
    </r>
  </si>
  <si>
    <t>5/7 - shipping hold</t>
  </si>
  <si>
    <t>130017-FA
NEW</t>
  </si>
  <si>
    <r>
      <rPr>
        <b/>
        <sz val="12"/>
        <color rgb="FFFF0000"/>
        <rFont val="Calibri"/>
        <family val="2"/>
      </rPr>
      <t xml:space="preserve">*** 100% INSP REQ - BOARDS MUST BE PERFECT!!!
100% AOI REQ
</t>
    </r>
    <r>
      <rPr>
        <b/>
        <u/>
        <sz val="11"/>
        <color rgb="FF000000"/>
        <rFont val="Calibri"/>
        <family val="2"/>
      </rPr>
      <t xml:space="preserve">"C580" INSTALL BY HAND PER ECO
</t>
    </r>
    <r>
      <rPr>
        <b/>
        <sz val="11"/>
        <color rgb="FF000000"/>
        <rFont val="Calibri"/>
        <family val="2"/>
      </rPr>
      <t>XRAY &amp; SA"CBL1" INSTALL UMC CABLE BETWEEN "J5 &amp; J8" PER ECO
"SH1" INSTALL PER ECO - TORQUE TO 5 IN LBS
"H34 &amp; H22" INSTALL JUMPERS PER ECO
"C288, CBL2, &amp; REAXIAL" INSTALL CABLE PER ECO (KNOT &amp; SHRINK TUBE REQ)
XRAY &amp; SAVE IMAGES
DEPANEL &amp; SAND</t>
    </r>
  </si>
  <si>
    <t>5/28 - 8:30</t>
  </si>
  <si>
    <t>5/28 - 12:30</t>
  </si>
  <si>
    <t>5/29 - 9:00</t>
  </si>
  <si>
    <t>DOC REL 4/21</t>
  </si>
  <si>
    <t>4/30</t>
  </si>
  <si>
    <t>complete
ECO label (semi-followed xtra doc)</t>
  </si>
  <si>
    <t>different label req</t>
  </si>
  <si>
    <r>
      <t xml:space="preserve">clear
</t>
    </r>
    <r>
      <rPr>
        <b/>
        <strike/>
        <sz val="11"/>
        <color rgb="FF000000"/>
        <rFont val="Calibri"/>
        <family val="2"/>
      </rPr>
      <t>short, no ETA 6/20</t>
    </r>
  </si>
  <si>
    <r>
      <t xml:space="preserve">6/16 - kit clear
6/9 - matl clear
</t>
    </r>
    <r>
      <rPr>
        <b/>
        <strike/>
        <sz val="11"/>
        <color rgb="FF000000"/>
        <rFont val="Calibri"/>
        <family val="2"/>
      </rPr>
      <t>6/9 - THT part #18 (A1_JA..) due date</t>
    </r>
  </si>
  <si>
    <t>133072
ROWC 129818</t>
  </si>
  <si>
    <t>6/23
5D</t>
  </si>
  <si>
    <r>
      <rPr>
        <b/>
        <sz val="12"/>
        <color rgb="FFFF0000"/>
        <rFont val="Calibri"/>
        <family val="2"/>
      </rPr>
      <t xml:space="preserve">*** QUALITY ALERT - CUST REPORTED POSSIBLE TRACE CRAKING FROM PRESS FIT OR MAYBE A DESIGN ISSUE - USE CAUTION FOR PRESS FIT AND TORQUING HARDWARE ***
</t>
    </r>
    <r>
      <rPr>
        <b/>
        <sz val="11"/>
        <color rgb="FF000000"/>
        <rFont val="Calibri"/>
        <family val="2"/>
      </rPr>
      <t xml:space="preserve">CLASS 3
MIX POP - QTY 3 DNI "A7_JA, A7_JB, A7_JC, A8_JA, A8_JB, A8_JC" PER ECO - POPULATE ON  REAMINING 3 BOARDS
"A7_JAx25" PRESS FIT
</t>
    </r>
    <r>
      <rPr>
        <b/>
        <u/>
        <sz val="11"/>
        <color rgb="FF000000"/>
        <rFont val="Calibri"/>
        <family val="2"/>
      </rPr>
      <t xml:space="preserve">HARDWARE &amp; TORQUING REQ (see Robert before Torque)
</t>
    </r>
    <r>
      <rPr>
        <b/>
        <sz val="11"/>
        <color rgb="FF000000"/>
        <rFont val="Calibri"/>
        <family val="2"/>
      </rPr>
      <t>DEPANEL</t>
    </r>
  </si>
  <si>
    <t>6/17 - 6:00</t>
  </si>
  <si>
    <t>6/17 - 7:30</t>
  </si>
  <si>
    <t>6/17 - 9:00</t>
  </si>
  <si>
    <t>work with Robert during the tightening phase of the job
---
PO SHIPPING METHOD CHANGE FROM GND TO RED</t>
  </si>
  <si>
    <t>DOC REL 6/3</t>
  </si>
  <si>
    <t>6/6</t>
  </si>
  <si>
    <t>ok to follow ECO - Tad
--
complete</t>
  </si>
  <si>
    <t>bom: dni to install
no photos</t>
  </si>
  <si>
    <r>
      <t xml:space="preserve">clear
</t>
    </r>
    <r>
      <rPr>
        <b/>
        <strike/>
        <sz val="11"/>
        <color rgb="FF000000"/>
        <rFont val="Calibri"/>
        <family val="2"/>
      </rPr>
      <t>short, no ETA 6/11</t>
    </r>
  </si>
  <si>
    <t>6/11 - kit clear
6/2 - material clear</t>
  </si>
  <si>
    <t>133507
NEW</t>
  </si>
  <si>
    <t>NO CLEAN BUILD
DEPANEL</t>
  </si>
  <si>
    <t>6/12 - 11:30</t>
  </si>
  <si>
    <t>6/12 - 2:30</t>
  </si>
  <si>
    <t xml:space="preserve">Blueline Sensors LLC
</t>
  </si>
  <si>
    <t>alta stand printed for bag</t>
  </si>
  <si>
    <t>SHORT, ETA 5/2  5/7</t>
  </si>
  <si>
    <r>
      <rPr>
        <b/>
        <sz val="11"/>
        <color rgb="FF000000"/>
        <rFont val="Calibri"/>
        <family val="2"/>
      </rPr>
      <t xml:space="preserve">6/20 - off shipping hold
5/2 - KIT CLEAR
5/1 - MATERIAL CLEAR
</t>
    </r>
    <r>
      <rPr>
        <b/>
        <strike/>
        <sz val="11"/>
        <color rgb="FF000000"/>
        <rFont val="Calibri"/>
        <family val="2"/>
      </rPr>
      <t>4/9 - SHORT J1 (SMT) WITH NO ETA</t>
    </r>
  </si>
  <si>
    <r>
      <rPr>
        <b/>
        <sz val="10"/>
        <color rgb="FF000000"/>
        <rFont val="Calibri"/>
        <family val="2"/>
      </rPr>
      <t xml:space="preserve">5/5 - SMT bot comp
</t>
    </r>
    <r>
      <rPr>
        <b/>
        <sz val="10"/>
        <color rgb="FFFF0000"/>
        <rFont val="Calibri"/>
        <family val="2"/>
      </rPr>
      <t>4/14 - SHIPPING HOLD PENDING APPROVAL - OK TO RUN BUT NOT SHIP W/O APPROVAL</t>
    </r>
  </si>
  <si>
    <t>130670
RONC 125478</t>
  </si>
  <si>
    <r>
      <rPr>
        <b/>
        <sz val="11"/>
        <color rgb="FFFF0000"/>
        <rFont val="Calibri"/>
        <family val="2"/>
      </rPr>
      <t xml:space="preserve">*** 100% INSP REQ - BOARDS MUST BE PERFECT!!!
</t>
    </r>
    <r>
      <rPr>
        <b/>
        <sz val="11"/>
        <color rgb="FF782170"/>
        <rFont val="Calibri"/>
        <family val="2"/>
      </rPr>
      <t>LEAD-FREE WASH
J1.. PLACE AS IS
DEPANEL</t>
    </r>
  </si>
  <si>
    <t>5/5 - 11:30
5/5 - pause 1:30</t>
  </si>
  <si>
    <t>5/8 - 11:00</t>
  </si>
  <si>
    <t>5/8 - 2:00</t>
  </si>
  <si>
    <t>DOC REL 4/8</t>
  </si>
  <si>
    <t>4/9</t>
  </si>
  <si>
    <r>
      <t xml:space="preserve">clear
</t>
    </r>
    <r>
      <rPr>
        <b/>
        <strike/>
        <sz val="11"/>
        <color rgb="FF000000"/>
        <rFont val="Calibri"/>
        <family val="2"/>
      </rPr>
      <t>pcb due 6/11 6/16</t>
    </r>
  </si>
  <si>
    <r>
      <t xml:space="preserve">6/18 - kit clear
</t>
    </r>
    <r>
      <rPr>
        <b/>
        <strike/>
        <sz val="11"/>
        <color rgb="FF000000"/>
        <rFont val="Calibri"/>
        <family val="2"/>
      </rPr>
      <t>5/23 - J1 short, no ETA</t>
    </r>
  </si>
  <si>
    <r>
      <rPr>
        <b/>
        <sz val="11"/>
        <color rgb="FF000000"/>
        <rFont val="Calibri"/>
        <family val="2"/>
      </rPr>
      <t xml:space="preserve">6/19 - </t>
    </r>
    <r>
      <rPr>
        <b/>
        <sz val="11"/>
        <color rgb="FFFF0000"/>
        <rFont val="Calibri"/>
        <family val="2"/>
      </rPr>
      <t xml:space="preserve">expedite (Anne)
</t>
    </r>
    <r>
      <rPr>
        <b/>
        <sz val="11"/>
        <color rgb="FF000000"/>
        <rFont val="Calibri"/>
        <family val="2"/>
      </rPr>
      <t xml:space="preserve">6/18 - </t>
    </r>
    <r>
      <rPr>
        <b/>
        <sz val="11"/>
        <color rgb="FFFF0000"/>
        <rFont val="Calibri"/>
        <family val="2"/>
      </rPr>
      <t>mousebite issue</t>
    </r>
  </si>
  <si>
    <t>132028-FA
NEW</t>
  </si>
  <si>
    <r>
      <rPr>
        <b/>
        <sz val="14"/>
        <color rgb="FF000000"/>
        <rFont val="Calibri"/>
        <family val="2"/>
      </rPr>
      <t xml:space="preserve">6/20
</t>
    </r>
    <r>
      <rPr>
        <b/>
        <strike/>
        <sz val="14"/>
        <color rgb="FF000000"/>
        <rFont val="Calibri"/>
        <family val="2"/>
      </rPr>
      <t>6/25
5D</t>
    </r>
  </si>
  <si>
    <r>
      <rPr>
        <b/>
        <sz val="12"/>
        <color rgb="FFFF0000"/>
        <rFont val="Calibri"/>
        <family val="2"/>
      </rPr>
      <t xml:space="preserve">EXPEDITE
*** SEE ECO FOR SOLDER &amp; CLEANING
</t>
    </r>
    <r>
      <rPr>
        <b/>
        <strike/>
        <sz val="11"/>
        <color rgb="FF000000"/>
        <rFont val="Calibri"/>
        <family val="2"/>
      </rPr>
      <t xml:space="preserve">LEAD FREE WASH
</t>
    </r>
    <r>
      <rPr>
        <b/>
        <sz val="11"/>
        <color rgb="FF000000"/>
        <rFont val="Calibri"/>
        <family val="2"/>
      </rPr>
      <t>AS9102 FAIR REQ
DO NOT SKIP AOI
XRAY &amp; SAVE IMAGES
DEPANEL &amp; SAND
MAKE SURE BOARDS ARE FREE AND CLEAN OF DEBRIS &amp; FLUX</t>
    </r>
  </si>
  <si>
    <t>6/19 - 6:00</t>
  </si>
  <si>
    <t>6/19 - 7:00</t>
  </si>
  <si>
    <t>DOC REL 5/14</t>
  </si>
  <si>
    <t>5/23</t>
  </si>
  <si>
    <t>6/17 - kit clear</t>
  </si>
  <si>
    <r>
      <rPr>
        <b/>
        <sz val="11"/>
        <color rgb="FF000000"/>
        <rFont val="Calibri"/>
        <family val="2"/>
      </rPr>
      <t xml:space="preserve">6/18 - split shipment (customer)
6/18 - </t>
    </r>
    <r>
      <rPr>
        <b/>
        <sz val="11"/>
        <color rgb="FFFF0000"/>
        <rFont val="Calibri"/>
        <family val="2"/>
      </rPr>
      <t>THT only (Robert &amp; Trinh)</t>
    </r>
  </si>
  <si>
    <r>
      <rPr>
        <b/>
        <sz val="14"/>
        <color rgb="FF000000"/>
        <rFont val="Calibri"/>
        <family val="2"/>
      </rPr>
      <t xml:space="preserve">6/20
</t>
    </r>
    <r>
      <rPr>
        <b/>
        <sz val="14"/>
        <color rgb="FFFF0000"/>
        <rFont val="Calibri"/>
        <family val="2"/>
      </rPr>
      <t>3D</t>
    </r>
  </si>
  <si>
    <t>CLASS 3
DEPANEL &amp; SAND
FAIR REQ: AS9102</t>
  </si>
  <si>
    <t>THT ONLY (Trinh &amp; Robert)</t>
  </si>
  <si>
    <t>6/17</t>
  </si>
  <si>
    <t>labels on bags per prev job
complete</t>
  </si>
  <si>
    <t>ignore customer drawing label req</t>
  </si>
  <si>
    <r>
      <t xml:space="preserve">CLEAR
</t>
    </r>
    <r>
      <rPr>
        <b/>
        <strike/>
        <sz val="11"/>
        <color rgb="FF000000"/>
        <rFont val="Calibri"/>
        <family val="2"/>
      </rPr>
      <t>short, no ETA</t>
    </r>
  </si>
  <si>
    <t>6/16 - kit clear
5/29 - short SMT 2 line itms (qty high); short THT 2 (qty high)</t>
  </si>
  <si>
    <t>6/17 - SMT top side 1st</t>
  </si>
  <si>
    <r>
      <rPr>
        <b/>
        <sz val="14"/>
        <color rgb="FF000000"/>
        <rFont val="Calibri"/>
        <family val="2"/>
      </rPr>
      <t xml:space="preserve">6/20
</t>
    </r>
    <r>
      <rPr>
        <b/>
        <strike/>
        <sz val="14"/>
        <color rgb="FF000000"/>
        <rFont val="Calibri"/>
        <family val="2"/>
      </rPr>
      <t xml:space="preserve">6/19
</t>
    </r>
    <r>
      <rPr>
        <b/>
        <sz val="14"/>
        <color rgb="FFFF0000"/>
        <rFont val="Calibri"/>
        <family val="2"/>
      </rPr>
      <t>3D</t>
    </r>
  </si>
  <si>
    <r>
      <rPr>
        <b/>
        <sz val="14"/>
        <color rgb="FFFF0000"/>
        <rFont val="Calibri"/>
        <family val="2"/>
      </rPr>
      <t>*** WARNING - TEMP NOT TO EXCEED 220</t>
    </r>
    <r>
      <rPr>
        <b/>
        <sz val="11"/>
        <color rgb="FF000000"/>
        <rFont val="Calibri"/>
        <family val="2"/>
      </rPr>
      <t xml:space="preserve">C - CAPACITORS </t>
    </r>
    <r>
      <rPr>
        <b/>
        <u/>
        <sz val="11"/>
        <color rgb="FF000000"/>
        <rFont val="Calibri"/>
        <family val="2"/>
      </rPr>
      <t>"C139 &amp; RELATED x13" AND "C7 &amp; RELATED x31"</t>
    </r>
    <r>
      <rPr>
        <b/>
        <sz val="11"/>
        <color rgb="FF000000"/>
        <rFont val="Calibri"/>
        <family val="2"/>
      </rPr>
      <t xml:space="preserve"> WILL CRACK @ ABOVE 220C - FOLLOW SAME PROFILE AND PROCESS AS LAST TIME (B124127)
</t>
    </r>
    <r>
      <rPr>
        <b/>
        <sz val="14"/>
        <color rgb="FFFF0000"/>
        <rFont val="Calibri"/>
        <family val="2"/>
      </rPr>
      <t xml:space="preserve">*** MUST INSPECT EACH LOCATION ABOVE FOR CRACKS/DAMAGE
</t>
    </r>
    <r>
      <rPr>
        <b/>
        <sz val="11"/>
        <color rgb="FF000000"/>
        <rFont val="Calibri"/>
        <family val="2"/>
      </rPr>
      <t xml:space="preserve">LEAD PROCESS
"U3" AFTER WASH
"J3 &amp; J11" MAKE SURE TABS ARE FULLY SOLDERED PER ECO
</t>
    </r>
    <r>
      <rPr>
        <b/>
        <strike/>
        <u/>
        <sz val="11"/>
        <color rgb="FF000000"/>
        <rFont val="Calibri"/>
        <family val="2"/>
      </rPr>
      <t xml:space="preserve">"C106, 107" STAKE UNDER PER ECO
other Caps req staking (see drawing)
</t>
    </r>
    <r>
      <rPr>
        <b/>
        <sz val="11"/>
        <color rgb="FF000000"/>
        <rFont val="Calibri"/>
        <family val="2"/>
      </rPr>
      <t>DEPANEL</t>
    </r>
  </si>
  <si>
    <t>6/18 - 9:30</t>
  </si>
  <si>
    <t>6/19 - 11:30</t>
  </si>
  <si>
    <t>DOC REL 5/28</t>
  </si>
  <si>
    <t>5/29</t>
  </si>
  <si>
    <r>
      <rPr>
        <b/>
        <sz val="11"/>
        <color rgb="FF000000"/>
        <rFont val="Calibri"/>
        <family val="2"/>
      </rPr>
      <t xml:space="preserve">clear
</t>
    </r>
    <r>
      <rPr>
        <b/>
        <strike/>
        <sz val="11"/>
        <color rgb="FF000000"/>
        <rFont val="Calibri"/>
        <family val="2"/>
      </rPr>
      <t>short, no eta 6/10 6/16 6/17</t>
    </r>
  </si>
  <si>
    <t>6/17 - kit clear
5/19 - matl clear</t>
  </si>
  <si>
    <r>
      <rPr>
        <b/>
        <sz val="11"/>
        <color rgb="FF000000"/>
        <rFont val="Calibri"/>
        <family val="2"/>
      </rPr>
      <t xml:space="preserve">6/18 - </t>
    </r>
    <r>
      <rPr>
        <b/>
        <sz val="11"/>
        <color rgb="FFFF0000"/>
        <rFont val="Calibri"/>
        <family val="2"/>
      </rPr>
      <t xml:space="preserve">mousebite issue
</t>
    </r>
    <r>
      <rPr>
        <b/>
        <sz val="11"/>
        <color rgb="FF000000"/>
        <rFont val="Calibri"/>
        <family val="2"/>
      </rPr>
      <t xml:space="preserve">6/17 - </t>
    </r>
    <r>
      <rPr>
        <b/>
        <sz val="11"/>
        <color rgb="FFFF0000"/>
        <rFont val="Calibri"/>
        <family val="2"/>
      </rPr>
      <t>expedite (Anne)</t>
    </r>
  </si>
  <si>
    <t>131635-FA
NEW</t>
  </si>
  <si>
    <r>
      <rPr>
        <b/>
        <sz val="14"/>
        <color rgb="FF000000"/>
        <rFont val="Calibri"/>
        <family val="2"/>
      </rPr>
      <t xml:space="preserve">6/19
</t>
    </r>
    <r>
      <rPr>
        <b/>
        <strike/>
        <sz val="14"/>
        <color rgb="FF000000"/>
        <rFont val="Calibri"/>
        <family val="2"/>
      </rPr>
      <t xml:space="preserve">6/24
</t>
    </r>
    <r>
      <rPr>
        <b/>
        <sz val="14"/>
        <color rgb="FF000000"/>
        <rFont val="Calibri"/>
        <family val="2"/>
      </rPr>
      <t>5D</t>
    </r>
  </si>
  <si>
    <r>
      <rPr>
        <b/>
        <sz val="11"/>
        <color rgb="FFFF0000"/>
        <rFont val="Calibri"/>
        <family val="2"/>
      </rPr>
      <t xml:space="preserve">EXPEDITE
*** SEE ECO FOR SOLDER &amp; CLEANING
</t>
    </r>
    <r>
      <rPr>
        <b/>
        <sz val="11"/>
        <color rgb="FF000000"/>
        <rFont val="Calibri"/>
        <family val="2"/>
      </rPr>
      <t xml:space="preserve">AS9102 FAIR REQUIRED
XRAY &amp; SAVE IMAGES
DO NOT SKIP AOI
MAKE SURE BOARDS ARE FREE AND CLEAN OF FLUX &amp; DEBRIS
</t>
    </r>
    <r>
      <rPr>
        <b/>
        <u/>
        <sz val="11"/>
        <color rgb="FF000000"/>
        <rFont val="Calibri"/>
        <family val="2"/>
      </rPr>
      <t>shipping: ensure nuts are installed</t>
    </r>
  </si>
  <si>
    <t>6/18 - 1:00</t>
  </si>
  <si>
    <t>6/18 - 2:30</t>
  </si>
  <si>
    <t>SMT #45 
--
Flex board</t>
  </si>
  <si>
    <t>DOC REL 5/9</t>
  </si>
  <si>
    <r>
      <t xml:space="preserve">clear
</t>
    </r>
    <r>
      <rPr>
        <b/>
        <strike/>
        <sz val="11"/>
        <color rgb="FF000000"/>
        <rFont val="Calibri"/>
        <family val="2"/>
      </rPr>
      <t>SHORT, NO ETA 5/27 5/28 5/29</t>
    </r>
  </si>
  <si>
    <r>
      <t xml:space="preserve">5/29 - kit clear
4/25 - </t>
    </r>
    <r>
      <rPr>
        <b/>
        <strike/>
        <sz val="11"/>
        <color rgb="FF000000"/>
        <rFont val="Calibri"/>
        <family val="2"/>
      </rPr>
      <t>C168, U10 &amp; U28 (SMT) WITH NO ETA</t>
    </r>
  </si>
  <si>
    <t>132706
NEW</t>
  </si>
  <si>
    <t>6/19
15D</t>
  </si>
  <si>
    <r>
      <rPr>
        <b/>
        <sz val="12"/>
        <color rgb="FFFF0000"/>
        <rFont val="Calibri"/>
        <family val="2"/>
      </rPr>
      <t xml:space="preserve">*** 100% INSP REQ - BOARDS MUST BE PERFECT!!!
</t>
    </r>
    <r>
      <rPr>
        <b/>
        <sz val="11"/>
        <color rgb="FF000000"/>
        <rFont val="Calibri"/>
        <family val="2"/>
      </rPr>
      <t xml:space="preserve">"LS1" AFTER WASH (REMOVE SMT PICK &amp; PLACE STICKER)
"BT1, S1, S2, U6" AFTER WASH
</t>
    </r>
    <r>
      <rPr>
        <b/>
        <u/>
        <sz val="11"/>
        <color rgb="FF000000"/>
        <rFont val="Calibri"/>
        <family val="2"/>
      </rPr>
      <t xml:space="preserve">"C2" ADD DP100 EPOXY (CLEAR)
</t>
    </r>
    <r>
      <rPr>
        <b/>
        <sz val="11"/>
        <color rgb="FF000000"/>
        <rFont val="Calibri"/>
        <family val="2"/>
      </rPr>
      <t>DEPANEL</t>
    </r>
  </si>
  <si>
    <t>6/2 - 8:00</t>
  </si>
  <si>
    <t>6/2 - 2:30</t>
  </si>
  <si>
    <t>6/4 - 11:30</t>
  </si>
  <si>
    <t>DOC REL 4/23</t>
  </si>
  <si>
    <t>4/25</t>
  </si>
  <si>
    <t>6/16 - kit clear</t>
  </si>
  <si>
    <t>6/16 - identified via holes</t>
  </si>
  <si>
    <t>133858
NEW</t>
  </si>
  <si>
    <r>
      <rPr>
        <b/>
        <sz val="14"/>
        <color rgb="FF000000"/>
        <rFont val="Calibri"/>
        <family val="2"/>
      </rPr>
      <t xml:space="preserve">6/19
</t>
    </r>
    <r>
      <rPr>
        <b/>
        <sz val="14"/>
        <color rgb="FFFF0000"/>
        <rFont val="Calibri"/>
        <family val="2"/>
      </rPr>
      <t>3D</t>
    </r>
  </si>
  <si>
    <r>
      <rPr>
        <b/>
        <sz val="11"/>
        <color rgb="FF000000"/>
        <rFont val="Calibri"/>
        <family val="2"/>
      </rPr>
      <t xml:space="preserve">LEAD PROCESS
"U6" AFTER WASH
"U3" SEE ECO FOR INSTALLATION
</t>
    </r>
    <r>
      <rPr>
        <b/>
        <u/>
        <sz val="11"/>
        <color rgb="FF000000"/>
        <rFont val="Calibri"/>
        <family val="2"/>
      </rPr>
      <t>post-bake 30 min req</t>
    </r>
  </si>
  <si>
    <t>6/17 - 8:00</t>
  </si>
  <si>
    <t>6/17 - 2:30</t>
  </si>
  <si>
    <t>6/18 - 8:00</t>
  </si>
  <si>
    <r>
      <t xml:space="preserve">clear
</t>
    </r>
    <r>
      <rPr>
        <b/>
        <strike/>
        <sz val="11"/>
        <color rgb="FF000000"/>
        <rFont val="Calibri"/>
        <family val="2"/>
      </rPr>
      <t>6/10 - pcb due</t>
    </r>
  </si>
  <si>
    <r>
      <t xml:space="preserve">6/4 - kit clear
6/2 - matl clear
</t>
    </r>
    <r>
      <rPr>
        <b/>
        <strike/>
        <sz val="11"/>
        <color rgb="FF000000"/>
        <rFont val="Calibri"/>
        <family val="2"/>
      </rPr>
      <t>5/30 - 6/2: SMT shortages 2 line items --- skippable</t>
    </r>
  </si>
  <si>
    <t>6/5 - #81 bag from B133509
6/5 - missing SMT part bags: #47 &amp; #81</t>
  </si>
  <si>
    <t>132682
ROWC 130829</t>
  </si>
  <si>
    <t>6/18
10D</t>
  </si>
  <si>
    <r>
      <rPr>
        <b/>
        <sz val="11"/>
        <color rgb="FF000000"/>
        <rFont val="Calibri"/>
        <family val="2"/>
      </rPr>
      <t xml:space="preserve">LEAD PROCESS
</t>
    </r>
    <r>
      <rPr>
        <b/>
        <sz val="12"/>
        <color rgb="FFFF0000"/>
        <rFont val="Calibri"/>
        <family val="2"/>
      </rPr>
      <t xml:space="preserve">*** "U801" IS MOISTURE SENSITIVE - READ ECORECOMMENDED TO KAPTON TAPE THE HOLE DUSSINR ASSY
</t>
    </r>
    <r>
      <rPr>
        <b/>
        <sz val="11"/>
        <color rgb="FF000000"/>
        <rFont val="Calibri"/>
        <family val="2"/>
      </rPr>
      <t>DEPANEL</t>
    </r>
  </si>
  <si>
    <t>6/5 - 8:00</t>
  </si>
  <si>
    <t>6/9 - 8:30</t>
  </si>
  <si>
    <t>6/9 - 12:00</t>
  </si>
  <si>
    <t>used kapton tape to cover U801 after reflow</t>
  </si>
  <si>
    <t>DOC REL 5/27</t>
  </si>
  <si>
    <t>bom: p/n change
uploaded</t>
  </si>
  <si>
    <r>
      <rPr>
        <b/>
        <sz val="11"/>
        <color rgb="FF000000"/>
        <rFont val="Calibri"/>
        <family val="2"/>
      </rPr>
      <t xml:space="preserve">clear
</t>
    </r>
    <r>
      <rPr>
        <b/>
        <strike/>
        <sz val="11"/>
        <color rgb="FF000000"/>
        <rFont val="Calibri"/>
        <family val="2"/>
      </rPr>
      <t>short, no ETA 6/13</t>
    </r>
  </si>
  <si>
    <r>
      <rPr>
        <b/>
        <sz val="11"/>
        <color rgb="FF000000"/>
        <rFont val="Calibri"/>
        <family val="2"/>
      </rPr>
      <t xml:space="preserve">6/13 - kit clear
6/10 - matl clear
</t>
    </r>
    <r>
      <rPr>
        <b/>
        <strike/>
        <sz val="11"/>
        <color rgb="FF000000"/>
        <rFont val="Calibri"/>
        <family val="2"/>
      </rPr>
      <t>6/6 - short SMT 2 line item (can skip), no ETA</t>
    </r>
  </si>
  <si>
    <t>6/16 - SMT top FA comp
6/16 - rec'vd correct #38
6/13 - #38 (C174_1) incorrect pF</t>
  </si>
  <si>
    <t>133430
NEW</t>
  </si>
  <si>
    <r>
      <rPr>
        <b/>
        <sz val="14"/>
        <color rgb="FF000000"/>
        <rFont val="Calibri"/>
        <family val="2"/>
      </rPr>
      <t xml:space="preserve">6/18
</t>
    </r>
    <r>
      <rPr>
        <b/>
        <sz val="14"/>
        <color rgb="FFFF0000"/>
        <rFont val="Calibri"/>
        <family val="2"/>
      </rPr>
      <t>3D</t>
    </r>
  </si>
  <si>
    <t>"SW1x13" AFTER WASH
DEPANEL</t>
  </si>
  <si>
    <t>6/13 - 12:30</t>
  </si>
  <si>
    <t>6/16 - 10:30</t>
  </si>
  <si>
    <t>IMAX</t>
  </si>
  <si>
    <t>DOC REL 6/5</t>
  </si>
  <si>
    <r>
      <rPr>
        <b/>
        <sz val="11"/>
        <color rgb="FF000000"/>
        <rFont val="Calibri"/>
        <family val="2"/>
      </rPr>
      <t xml:space="preserve">clear
</t>
    </r>
    <r>
      <rPr>
        <b/>
        <strike/>
        <sz val="11"/>
        <color rgb="FF000000"/>
        <rFont val="Calibri"/>
        <family val="2"/>
      </rPr>
      <t>pcb due 6/6
6/3 - pcb due 6/4</t>
    </r>
  </si>
  <si>
    <r>
      <rPr>
        <b/>
        <sz val="11"/>
        <color rgb="FF000000"/>
        <rFont val="Calibri"/>
        <family val="2"/>
      </rPr>
      <t xml:space="preserve">6/9 - kit clear
6/4 - matl clear
</t>
    </r>
    <r>
      <rPr>
        <b/>
        <strike/>
        <sz val="11"/>
        <color rgb="FF000000"/>
        <rFont val="Calibri"/>
        <family val="2"/>
      </rPr>
      <t>6/2 - short THT #31 (RT1), no ETA; SMT #44 (R48), no ETA -- can skip</t>
    </r>
  </si>
  <si>
    <r>
      <rPr>
        <b/>
        <sz val="11"/>
        <color rgb="FF000000"/>
        <rFont val="Calibri"/>
        <family val="2"/>
      </rPr>
      <t xml:space="preserve">6/3 - </t>
    </r>
    <r>
      <rPr>
        <b/>
        <strike/>
        <sz val="11"/>
        <color rgb="FF000000"/>
        <rFont val="Calibri"/>
        <family val="2"/>
      </rPr>
      <t>set ship date to 6/10 (Anne)</t>
    </r>
  </si>
  <si>
    <t>133204
RONC 133530</t>
  </si>
  <si>
    <t>6/16
5D</t>
  </si>
  <si>
    <r>
      <rPr>
        <b/>
        <sz val="11"/>
        <color rgb="FF000000"/>
        <rFont val="Calibri"/>
        <family val="2"/>
      </rPr>
      <t xml:space="preserve">"SW1, LS1" AFTER WASH
</t>
    </r>
    <r>
      <rPr>
        <b/>
        <u/>
        <sz val="11"/>
        <color rgb="FF000000"/>
        <rFont val="Calibri"/>
        <family val="2"/>
      </rPr>
      <t xml:space="preserve">"RT1" RTV REQUIRED PER ECO
</t>
    </r>
    <r>
      <rPr>
        <b/>
        <sz val="11"/>
        <color rgb="FF000000"/>
        <rFont val="Calibri"/>
        <family val="2"/>
      </rPr>
      <t>DEPANEL &amp; SAND</t>
    </r>
  </si>
  <si>
    <t>6/10 - 7:30</t>
  </si>
  <si>
    <t>6/10 - 9:30</t>
  </si>
  <si>
    <r>
      <t xml:space="preserve">clear
</t>
    </r>
    <r>
      <rPr>
        <b/>
        <strike/>
        <sz val="11"/>
        <color rgb="FF000000"/>
        <rFont val="Calibri"/>
        <family val="2"/>
      </rPr>
      <t>pcb due 6/5</t>
    </r>
  </si>
  <si>
    <r>
      <t xml:space="preserve">6/12 - kit clear
</t>
    </r>
    <r>
      <rPr>
        <b/>
        <strike/>
        <sz val="11"/>
        <color rgb="FF000000"/>
        <rFont val="Calibri"/>
        <family val="2"/>
      </rPr>
      <t xml:space="preserve">6/10 - SMT clear
6/9 - short SMT R1 (qty 80), </t>
    </r>
    <r>
      <rPr>
        <b/>
        <sz val="11"/>
        <color rgb="FF000000"/>
        <rFont val="Calibri"/>
        <family val="2"/>
      </rPr>
      <t xml:space="preserve">no ETA; short THT P3 (qty 80)
</t>
    </r>
    <r>
      <rPr>
        <b/>
        <strike/>
        <sz val="11"/>
        <color rgb="FF000000"/>
        <rFont val="Calibri"/>
        <family val="2"/>
      </rPr>
      <t>6/5 - short SMT 5 line items (high qty), no ETA; short THT 4 line items, no ETA</t>
    </r>
  </si>
  <si>
    <t>133457
NEW</t>
  </si>
  <si>
    <r>
      <rPr>
        <b/>
        <sz val="14"/>
        <color rgb="FF000000"/>
        <rFont val="Calibri"/>
        <family val="2"/>
      </rPr>
      <t xml:space="preserve">6/17
</t>
    </r>
    <r>
      <rPr>
        <b/>
        <sz val="14"/>
        <color rgb="FFFF0000"/>
        <rFont val="Calibri"/>
        <family val="2"/>
      </rPr>
      <t>3D</t>
    </r>
  </si>
  <si>
    <r>
      <rPr>
        <b/>
        <sz val="11"/>
        <color rgb="FF000000"/>
        <rFont val="Calibri"/>
        <family val="2"/>
      </rPr>
      <t xml:space="preserve">NO CLEAN BUILD
</t>
    </r>
    <r>
      <rPr>
        <b/>
        <strike/>
        <sz val="11"/>
        <color rgb="FF000000"/>
        <rFont val="Calibri"/>
        <family val="2"/>
      </rPr>
      <t xml:space="preserve">dni </t>
    </r>
    <r>
      <rPr>
        <b/>
        <sz val="11"/>
        <color rgb="FF000000"/>
        <rFont val="Calibri"/>
        <family val="2"/>
      </rPr>
      <t>BTD P3</t>
    </r>
  </si>
  <si>
    <t>6/10 - 11:30</t>
  </si>
  <si>
    <t>6/10 - 2:00</t>
  </si>
  <si>
    <t>complete
alta stand on bag
printed</t>
  </si>
  <si>
    <t>133695
RONC 133264</t>
  </si>
  <si>
    <t>TRUE NO CLEAN
DEPANEL</t>
  </si>
  <si>
    <t>6/12 - 2:00</t>
  </si>
  <si>
    <t>6/13 - 10:30</t>
  </si>
  <si>
    <r>
      <t xml:space="preserve">6/4 - kit clear
</t>
    </r>
    <r>
      <rPr>
        <b/>
        <strike/>
        <sz val="11"/>
        <color rgb="FF000000"/>
        <rFont val="Calibri"/>
        <family val="2"/>
      </rPr>
      <t>6/2 - awt part conf: SMT #4 (C1, C4)</t>
    </r>
  </si>
  <si>
    <r>
      <rPr>
        <b/>
        <sz val="11"/>
        <color rgb="FFFF0000"/>
        <rFont val="Calibri"/>
        <family val="2"/>
      </rPr>
      <t xml:space="preserve">6/4 - U8 polarity = dot on board
</t>
    </r>
    <r>
      <rPr>
        <b/>
        <strike/>
        <sz val="11"/>
        <color rgb="FFFF0000"/>
        <rFont val="Calibri"/>
        <family val="2"/>
      </rPr>
      <t>6/4 - polarity doesn't match U8</t>
    </r>
  </si>
  <si>
    <t>132170
NEW</t>
  </si>
  <si>
    <t>6/17
10D</t>
  </si>
  <si>
    <r>
      <rPr>
        <b/>
        <sz val="11"/>
        <color rgb="FFFF0000"/>
        <rFont val="Calibri"/>
        <family val="2"/>
      </rPr>
      <t xml:space="preserve">SHOULD BE 2 DIF COLOR (PURPLE &amp; YELLOW) PCBS W/ MIX POP REQUIREMENT - SEE ECO
</t>
    </r>
    <r>
      <rPr>
        <b/>
        <sz val="11"/>
        <color rgb="FF000000"/>
        <rFont val="Calibri"/>
        <family val="2"/>
      </rPr>
      <t>"U8" LOAD W/O THERMAL PAD PER ECO
DEPANEL</t>
    </r>
  </si>
  <si>
    <t>6/3 - 12:00</t>
  </si>
  <si>
    <t>6/4 - 8:00</t>
  </si>
  <si>
    <t>6/5 - 10:00</t>
  </si>
  <si>
    <t>mix pop complete
ECO label</t>
  </si>
  <si>
    <t>6/10 - kit clear</t>
  </si>
  <si>
    <r>
      <rPr>
        <b/>
        <sz val="11"/>
        <color rgb="FF000000"/>
        <rFont val="Calibri"/>
        <family val="2"/>
      </rPr>
      <t>6/11 -</t>
    </r>
    <r>
      <rPr>
        <b/>
        <sz val="11"/>
        <color rgb="FFFF0000"/>
        <rFont val="Calibri"/>
        <family val="2"/>
      </rPr>
      <t xml:space="preserve"> run SMT top 1st</t>
    </r>
  </si>
  <si>
    <t>"U15" SEE ECO #3 NO CLEAN SOLDER RECOMMENDED
DEPANEL</t>
  </si>
  <si>
    <t>6/10 - 1:30</t>
  </si>
  <si>
    <t>6/11 - 11:30</t>
  </si>
  <si>
    <t>CLEAR</t>
  </si>
  <si>
    <t>6/9 - kit clear</t>
  </si>
  <si>
    <t>126218
RMA</t>
  </si>
  <si>
    <t>RMA</t>
  </si>
  <si>
    <t>6/9</t>
  </si>
  <si>
    <r>
      <rPr>
        <b/>
        <sz val="11"/>
        <color rgb="FF000000"/>
        <rFont val="Calibri"/>
        <family val="2"/>
      </rPr>
      <t xml:space="preserve">6/10 - kit clear
</t>
    </r>
    <r>
      <rPr>
        <b/>
        <strike/>
        <sz val="11"/>
        <color rgb="FF000000"/>
        <rFont val="Calibri"/>
        <family val="2"/>
      </rPr>
      <t>6/9 - short 2 SMT line items (high qty - bottom side) due date is 6/10
6/6 - short SMT 2 line items (high qty = bottom side),</t>
    </r>
    <r>
      <rPr>
        <b/>
        <strike/>
        <u/>
        <sz val="11"/>
        <color rgb="FF000000"/>
        <rFont val="Calibri"/>
        <family val="2"/>
      </rPr>
      <t xml:space="preserve"> short SMT 1 item top side (can skip)</t>
    </r>
    <r>
      <rPr>
        <b/>
        <strike/>
        <sz val="11"/>
        <color rgb="FF000000"/>
        <rFont val="Calibri"/>
        <family val="2"/>
      </rPr>
      <t>, no ETA; short THT 1 line item, no ETA</t>
    </r>
  </si>
  <si>
    <t>6/10 - SMT top done</t>
  </si>
  <si>
    <t>133550
ROWC 130411</t>
  </si>
  <si>
    <r>
      <rPr>
        <b/>
        <sz val="14"/>
        <color rgb="FF000000"/>
        <rFont val="Calibri"/>
        <family val="2"/>
      </rPr>
      <t xml:space="preserve">6/13
</t>
    </r>
    <r>
      <rPr>
        <b/>
        <sz val="14"/>
        <color rgb="FFFF0000"/>
        <rFont val="Calibri"/>
        <family val="2"/>
      </rPr>
      <t>3D</t>
    </r>
  </si>
  <si>
    <r>
      <rPr>
        <b/>
        <sz val="11"/>
        <color rgb="FFFF0000"/>
        <rFont val="Calibri"/>
        <family val="2"/>
      </rPr>
      <t xml:space="preserve">100% inspection required
</t>
    </r>
    <r>
      <rPr>
        <b/>
        <sz val="11"/>
        <color rgb="FF000000"/>
        <rFont val="Calibri"/>
        <family val="2"/>
      </rPr>
      <t xml:space="preserve">CLASS 3
</t>
    </r>
    <r>
      <rPr>
        <b/>
        <u/>
        <sz val="11"/>
        <color rgb="FF000000"/>
        <rFont val="Calibri"/>
        <family val="2"/>
      </rPr>
      <t xml:space="preserve">NO ADDITIONAL VENDOR MARKS ALLOWED
</t>
    </r>
    <r>
      <rPr>
        <b/>
        <sz val="11"/>
        <color rgb="FF000000"/>
        <rFont val="Calibri"/>
        <family val="2"/>
      </rPr>
      <t xml:space="preserve">"TP2 &amp; RELATED" - SEE ALTA NOTE ON THE ECO - MUST REMOVE BEFORE WASH
COMPLETE REMOVAL OF FLUX IS REQUIRED
DEPANEL
DNI "TP2.." &amp; "P1.."
</t>
    </r>
    <r>
      <rPr>
        <b/>
        <u/>
        <sz val="11"/>
        <color rgb="FF000000"/>
        <rFont val="Calibri"/>
        <family val="2"/>
      </rPr>
      <t>ENSURE SAFE PACKAGING + ESD warning stickers</t>
    </r>
  </si>
  <si>
    <t>6/10 - 8:30</t>
  </si>
  <si>
    <t>6/10 - 2:30</t>
  </si>
  <si>
    <t>6/11 - 2:30</t>
  </si>
  <si>
    <t>TOP side 1st
---
 take photo of board before wash?</t>
  </si>
  <si>
    <t>bom: many changes
uploaded</t>
  </si>
  <si>
    <r>
      <t xml:space="preserve">clear
</t>
    </r>
    <r>
      <rPr>
        <b/>
        <strike/>
        <sz val="11"/>
        <color rgb="FF000000"/>
        <rFont val="Calibri"/>
        <family val="2"/>
      </rPr>
      <t>SHORT, NO ETA 5/14</t>
    </r>
  </si>
  <si>
    <r>
      <t xml:space="preserve">5/15 - kit clear
5/2 - </t>
    </r>
    <r>
      <rPr>
        <b/>
        <strike/>
        <sz val="11"/>
        <color rgb="FF000000"/>
        <rFont val="Calibri"/>
        <family val="2"/>
      </rPr>
      <t>C225, U38, U2, U15, U10, U48, J1, PTH12 (SMT) | U44 &amp; epoxy (THT) WITH NO ETA</t>
    </r>
  </si>
  <si>
    <r>
      <rPr>
        <b/>
        <strike/>
        <sz val="11"/>
        <color rgb="FF000000"/>
        <rFont val="Calibri"/>
        <family val="2"/>
      </rPr>
      <t xml:space="preserve">6/3 - line short #83(U2)
</t>
    </r>
    <r>
      <rPr>
        <b/>
        <sz val="11"/>
        <color rgb="FF000000"/>
        <rFont val="Calibri"/>
        <family val="2"/>
      </rPr>
      <t>5/22 - SMT comp qty 10
5/20 - lineman day off</t>
    </r>
  </si>
  <si>
    <t>132705
ROWC 127395</t>
  </si>
  <si>
    <r>
      <rPr>
        <b/>
        <sz val="12"/>
        <color rgb="FFFF0000"/>
        <rFont val="Calibri"/>
        <family val="2"/>
      </rPr>
      <t xml:space="preserve">*** 100% INSP REQ - BOARDS MUST BE PERFECT!!!
***QUALITY ALERT - "D46, D54, U2, U23, U33, LS1, R23" POOR WORKMANSHIP PER ECO #A
</t>
    </r>
    <r>
      <rPr>
        <b/>
        <sz val="12"/>
        <color rgb="FF000000"/>
        <rFont val="Calibri"/>
        <family val="2"/>
      </rPr>
      <t xml:space="preserve">"LS1, S1, S2, U42, MP1x8, BT1" AFTER WASH
DEPANEL &amp; SAND
</t>
    </r>
    <r>
      <rPr>
        <b/>
        <u/>
        <sz val="12"/>
        <color rgb="FF000000"/>
        <rFont val="Calibri"/>
        <family val="2"/>
      </rPr>
      <t>shipping: adhesive required</t>
    </r>
  </si>
  <si>
    <t>5/19 - 7:00</t>
  </si>
  <si>
    <t>5/21 - 1:00</t>
  </si>
  <si>
    <t>5/23 - 2:30</t>
  </si>
  <si>
    <t>quality aletrt (tad email about ECO)</t>
  </si>
  <si>
    <t>5/2</t>
  </si>
  <si>
    <t>installed pth12 &amp; pth13</t>
  </si>
  <si>
    <r>
      <t xml:space="preserve">clear
</t>
    </r>
    <r>
      <rPr>
        <b/>
        <strike/>
        <sz val="11"/>
        <color rgb="FF000000"/>
        <rFont val="Calibri"/>
        <family val="2"/>
      </rPr>
      <t>pcb due 6/4</t>
    </r>
  </si>
  <si>
    <r>
      <t xml:space="preserve">6/6 - kit clear
6/4 - matl clear
</t>
    </r>
    <r>
      <rPr>
        <b/>
        <strike/>
        <sz val="11"/>
        <color rgb="FF000000"/>
        <rFont val="Calibri"/>
        <family val="2"/>
      </rPr>
      <t>5/28 - SMT #34(R2) due (qty 8 / board)</t>
    </r>
  </si>
  <si>
    <t>132178
BAL
ROWC 131193</t>
  </si>
  <si>
    <t>6/13
5D</t>
  </si>
  <si>
    <r>
      <rPr>
        <b/>
        <sz val="11"/>
        <color rgb="FF000000"/>
        <rFont val="Calibri"/>
        <family val="2"/>
      </rPr>
      <t xml:space="preserve">"U2, 4, 6, 8" MAKE SURE PADS ARE MASKED PER ECO
</t>
    </r>
    <r>
      <rPr>
        <b/>
        <sz val="12"/>
        <color rgb="FFFF0000"/>
        <rFont val="Calibri"/>
        <family val="2"/>
      </rPr>
      <t xml:space="preserve">*** KEEP GRID HOLES FREE OF SOLDER ***
</t>
    </r>
    <r>
      <rPr>
        <b/>
        <sz val="11"/>
        <color rgb="FF000000"/>
        <rFont val="Calibri"/>
        <family val="2"/>
      </rPr>
      <t>"S1, S1 COVER" INSPECT  UNDERNEATH PARTS BEFORE INSTALLING
DEPANEL
MAKE SURE BOARDS ARE WASHED AND FREE AND CLEAN OF FLUX &amp; DEBRIS
shipping: install standoffs &amp; shlds</t>
    </r>
  </si>
  <si>
    <t>6/9 - 10:30</t>
  </si>
  <si>
    <t>6/10 - 8:00</t>
  </si>
  <si>
    <t>5/27</t>
  </si>
  <si>
    <t>132178
PAR
ROWC 131193</t>
  </si>
  <si>
    <t>5/27 - kit clear</t>
  </si>
  <si>
    <t>132344
RONC 119492</t>
  </si>
  <si>
    <t>6/17
15D</t>
  </si>
  <si>
    <t>5/27 - 1:30</t>
  </si>
  <si>
    <t>5/28 - 7:00</t>
  </si>
  <si>
    <t>5/28 - 9:30</t>
  </si>
  <si>
    <r>
      <t xml:space="preserve">clear
</t>
    </r>
    <r>
      <rPr>
        <b/>
        <strike/>
        <sz val="11"/>
        <color rgb="FF000000"/>
        <rFont val="Calibri"/>
        <family val="2"/>
      </rPr>
      <t>SHORT, ETA 6/2 6/5</t>
    </r>
  </si>
  <si>
    <r>
      <t xml:space="preserve">6/3 - kit clear
4/11 - MATERIAL CLEAR
</t>
    </r>
    <r>
      <rPr>
        <b/>
        <strike/>
        <sz val="11"/>
        <color rgb="FF000000"/>
        <rFont val="Calibri"/>
        <family val="2"/>
      </rPr>
      <t>4/9 - SHORT J3, J16 (SMT) WITH NO ETA</t>
    </r>
  </si>
  <si>
    <t>127917
NEW</t>
  </si>
  <si>
    <t>LEAD-FREE WASH
BEFORE SHIP: CLEAN BOARDS OF SOLDER FLUX
shipping: xtra packing required
desiccant optional
DEPANEL &amp; SAND</t>
  </si>
  <si>
    <t>6/4 - 11:00</t>
  </si>
  <si>
    <t>6/4 - 1:30</t>
  </si>
  <si>
    <t>6/5 - 7:00</t>
  </si>
  <si>
    <t>overpack boxes. Ask Eric</t>
  </si>
  <si>
    <t>6/9 - kit clear
6/5 - short THT 1 line item (qty 2), no ETA</t>
  </si>
  <si>
    <t>133639
RONC 123578</t>
  </si>
  <si>
    <r>
      <rPr>
        <b/>
        <sz val="14"/>
        <color rgb="FF000000"/>
        <rFont val="Calibri"/>
        <family val="2"/>
      </rPr>
      <t xml:space="preserve">6/12
</t>
    </r>
    <r>
      <rPr>
        <b/>
        <sz val="14"/>
        <color rgb="FFFF0000"/>
        <rFont val="Calibri"/>
        <family val="2"/>
      </rPr>
      <t>3D</t>
    </r>
  </si>
  <si>
    <t>6/9 - 12:30</t>
  </si>
  <si>
    <t>DOC REL 6/4</t>
  </si>
  <si>
    <r>
      <t xml:space="preserve">clear
</t>
    </r>
    <r>
      <rPr>
        <b/>
        <strike/>
        <sz val="11"/>
        <color rgb="FF000000"/>
        <rFont val="Calibri"/>
        <family val="2"/>
      </rPr>
      <t>6/12 - pcb due 6/9</t>
    </r>
  </si>
  <si>
    <r>
      <t xml:space="preserve">6/5 - kit clear
</t>
    </r>
    <r>
      <rPr>
        <b/>
        <strike/>
        <sz val="11"/>
        <color rgb="FF000000"/>
        <rFont val="Calibri"/>
        <family val="2"/>
      </rPr>
      <t>6/5 - short SMT 4 items (high qty) due</t>
    </r>
  </si>
  <si>
    <t>6/6 - SMT top done qty 110</t>
  </si>
  <si>
    <t>133472
NEW</t>
  </si>
  <si>
    <t>6/12
5D</t>
  </si>
  <si>
    <t>"L1, L2" AFTER WASH PER "DOC_787_WASHING"
MAKE SURE BOARDS ARE FREE AND CLEAN FROM DEBRIS AND FLUX
DEPANEL</t>
  </si>
  <si>
    <t>6/5 - 11:00</t>
  </si>
  <si>
    <t>6/9 - 7:00</t>
  </si>
  <si>
    <t>6/9 - 11:00</t>
  </si>
  <si>
    <t>TOP SIDE 1ST
wash doc states ISOPROP is ok to use to clean</t>
  </si>
  <si>
    <t>wash process doc</t>
  </si>
  <si>
    <r>
      <t xml:space="preserve">clear 
</t>
    </r>
    <r>
      <rPr>
        <b/>
        <strike/>
        <sz val="11"/>
        <color rgb="FF000000"/>
        <rFont val="Calibri"/>
        <family val="2"/>
      </rPr>
      <t>SHORT, NO ETA 6/5 6/13 6/5</t>
    </r>
  </si>
  <si>
    <r>
      <t xml:space="preserve">5/30 - kit clear
</t>
    </r>
    <r>
      <rPr>
        <b/>
        <strike/>
        <sz val="11"/>
        <color rgb="FF000000"/>
        <rFont val="Calibri"/>
        <family val="2"/>
      </rPr>
      <t>5/21 - SHORT SMT 1 ITM (qty High), no ETA 5/30; SHORT THT 1 ITMS, no ETA 5/30</t>
    </r>
  </si>
  <si>
    <t>6/10 - rec'd new L4 p/n; remove &amp; replace old
6/2 - L4 too high, blocks FL3 shield from install</t>
  </si>
  <si>
    <t>132785-FA
NEW</t>
  </si>
  <si>
    <r>
      <rPr>
        <b/>
        <sz val="14"/>
        <color rgb="FF000000"/>
        <rFont val="Calibri"/>
        <family val="2"/>
      </rPr>
      <t xml:space="preserve">???
</t>
    </r>
    <r>
      <rPr>
        <b/>
        <strike/>
        <sz val="14"/>
        <color rgb="FF000000"/>
        <rFont val="Calibri"/>
        <family val="2"/>
      </rPr>
      <t xml:space="preserve">6/6
</t>
    </r>
    <r>
      <rPr>
        <b/>
        <sz val="14"/>
        <color rgb="FF000000"/>
        <rFont val="Calibri"/>
        <family val="2"/>
      </rPr>
      <t>5D</t>
    </r>
  </si>
  <si>
    <r>
      <rPr>
        <b/>
        <sz val="11"/>
        <color rgb="FF000000"/>
        <rFont val="Calibri"/>
        <family val="2"/>
      </rPr>
      <t xml:space="preserve">AS9102 FAIR required
"FL2, FL3" </t>
    </r>
    <r>
      <rPr>
        <b/>
        <u/>
        <sz val="11"/>
        <color rgb="FF000000"/>
        <rFont val="Calibri"/>
        <family val="2"/>
      </rPr>
      <t xml:space="preserve">inspect area before install Shields </t>
    </r>
    <r>
      <rPr>
        <b/>
        <sz val="11"/>
        <color rgb="FF000000"/>
        <rFont val="Calibri"/>
        <family val="2"/>
      </rPr>
      <t>(BOM = SMT part)</t>
    </r>
  </si>
  <si>
    <t>6/2 - 6:00</t>
  </si>
  <si>
    <t>6/2 - 11:30</t>
  </si>
  <si>
    <t>rev b drawing okay to use</t>
  </si>
  <si>
    <r>
      <t xml:space="preserve">CLEAR
</t>
    </r>
    <r>
      <rPr>
        <b/>
        <strike/>
        <sz val="11"/>
        <color rgb="FF000000"/>
        <rFont val="Calibri"/>
        <family val="2"/>
      </rPr>
      <t>short, no ETA 6/5</t>
    </r>
  </si>
  <si>
    <r>
      <t xml:space="preserve">6/6 - kit clear
</t>
    </r>
    <r>
      <rPr>
        <b/>
        <strike/>
        <sz val="11"/>
        <color rgb="FF000000"/>
        <rFont val="Calibri"/>
        <family val="2"/>
      </rPr>
      <t xml:space="preserve">6/4 - short SMT 1 line item (qty 310), no </t>
    </r>
    <r>
      <rPr>
        <b/>
        <strike/>
        <u/>
        <sz val="11"/>
        <color rgb="FF000000"/>
        <rFont val="Calibri"/>
        <family val="2"/>
      </rPr>
      <t>ETA 6/9</t>
    </r>
    <r>
      <rPr>
        <b/>
        <strike/>
        <sz val="11"/>
        <color rgb="FF000000"/>
        <rFont val="Calibri"/>
        <family val="2"/>
      </rPr>
      <t>; short partials 2 THT line items, no ETA 6/9</t>
    </r>
  </si>
  <si>
    <t>133456
NEW</t>
  </si>
  <si>
    <r>
      <rPr>
        <b/>
        <sz val="14"/>
        <color rgb="FF000000"/>
        <rFont val="Calibri"/>
        <family val="2"/>
      </rPr>
      <t xml:space="preserve">6/11
</t>
    </r>
    <r>
      <rPr>
        <b/>
        <sz val="14"/>
        <color rgb="FFFF0000"/>
        <rFont val="Calibri"/>
        <family val="2"/>
      </rPr>
      <t>3D</t>
    </r>
  </si>
  <si>
    <t>NO CLEAN BUILD</t>
  </si>
  <si>
    <t>6/6 - 11:30</t>
  </si>
  <si>
    <t>6/6 - 2:00</t>
  </si>
  <si>
    <t>6/5 - kit clear</t>
  </si>
  <si>
    <t>REWORK B131236
REMOVE &amp; REPLACE 14 ITEMS (SEE TRAVELER)
LEADED WASH</t>
  </si>
  <si>
    <r>
      <rPr>
        <b/>
        <sz val="11"/>
        <color rgb="FF000000"/>
        <rFont val="Calibri"/>
        <family val="2"/>
      </rPr>
      <t xml:space="preserve">clear
</t>
    </r>
    <r>
      <rPr>
        <b/>
        <strike/>
        <sz val="11"/>
        <color rgb="FF000000"/>
        <rFont val="Calibri"/>
        <family val="2"/>
      </rPr>
      <t>short, no ETA 6/4</t>
    </r>
  </si>
  <si>
    <t>6/5 - kit clear
6/3 - matl clear</t>
  </si>
  <si>
    <t>6/5 - a lot of t&amp;r</t>
  </si>
  <si>
    <t>133264
NEW</t>
  </si>
  <si>
    <r>
      <rPr>
        <b/>
        <sz val="14"/>
        <color rgb="FF000000"/>
        <rFont val="Calibri"/>
        <family val="2"/>
      </rPr>
      <t xml:space="preserve">6/10
</t>
    </r>
    <r>
      <rPr>
        <b/>
        <sz val="14"/>
        <color rgb="FFFF0000"/>
        <rFont val="Calibri"/>
        <family val="2"/>
      </rPr>
      <t>3D</t>
    </r>
  </si>
  <si>
    <r>
      <rPr>
        <b/>
        <sz val="11"/>
        <color rgb="FF000000"/>
        <rFont val="Calibri"/>
        <family val="2"/>
      </rPr>
      <t>lead-free true no-clean
"D2 &amp; U1" AFTER WASH</t>
    </r>
    <r>
      <rPr>
        <b/>
        <sz val="12"/>
        <color rgb="FFFF0000"/>
        <rFont val="Calibri"/>
        <family val="2"/>
      </rPr>
      <t xml:space="preserve"> (*6/2 - ALTA IS REQUESTING NO CLEAN PROCESS)
</t>
    </r>
    <r>
      <rPr>
        <b/>
        <sz val="11"/>
        <color rgb="FF000000"/>
        <rFont val="Calibri"/>
        <family val="2"/>
      </rPr>
      <t>DEPANEL</t>
    </r>
  </si>
  <si>
    <t>6/6 - 7:00</t>
  </si>
  <si>
    <t>5/28 - kit clear</t>
  </si>
  <si>
    <t>5/30 - ship 100 of 250</t>
  </si>
  <si>
    <t>5/30
10D</t>
  </si>
  <si>
    <t>no charge rwk
fix LED1-LED9 orientation</t>
  </si>
  <si>
    <t xml:space="preserve">Hamilton Mfg. Corp
</t>
  </si>
  <si>
    <t>MK</t>
  </si>
  <si>
    <t>5/22</t>
  </si>
  <si>
    <r>
      <t xml:space="preserve">clear
</t>
    </r>
    <r>
      <rPr>
        <b/>
        <strike/>
        <sz val="11"/>
        <color rgb="FF000000"/>
        <rFont val="Calibri"/>
        <family val="2"/>
      </rPr>
      <t>6/10 - PCB DUE 6/2</t>
    </r>
  </si>
  <si>
    <r>
      <t xml:space="preserve">6/3 - kit clear
5/29 - matl clear
</t>
    </r>
    <r>
      <rPr>
        <b/>
        <strike/>
        <sz val="11"/>
        <color rgb="FF000000"/>
        <rFont val="Calibri"/>
        <family val="2"/>
      </rPr>
      <t>5/27 - SMT short #17 (D15) due
5/29 - THT short #35 (J17) due</t>
    </r>
  </si>
  <si>
    <t>6/4 - H/S shields (instead of SMT placed)</t>
  </si>
  <si>
    <t>132812-FA
NEW</t>
  </si>
  <si>
    <t>6/10
5D</t>
  </si>
  <si>
    <r>
      <rPr>
        <b/>
        <sz val="11"/>
        <color rgb="FF000000"/>
        <rFont val="Calibri"/>
        <family val="2"/>
      </rPr>
      <t xml:space="preserve">AS9102 FAIR REQ
</t>
    </r>
    <r>
      <rPr>
        <b/>
        <u/>
        <sz val="11"/>
        <color rgb="FF000000"/>
        <rFont val="Calibri"/>
        <family val="2"/>
      </rPr>
      <t xml:space="preserve">"FL1, FL2" INSPECT BEFORE INSTALLING SHIELD (smt)
</t>
    </r>
    <r>
      <rPr>
        <b/>
        <sz val="11"/>
        <color rgb="FF000000"/>
        <rFont val="Calibri"/>
        <family val="2"/>
      </rPr>
      <t>DEPANEL &amp; SAND</t>
    </r>
  </si>
  <si>
    <t>6/4 - 8:30</t>
  </si>
  <si>
    <r>
      <rPr>
        <b/>
        <sz val="11"/>
        <color rgb="FF000000"/>
        <rFont val="Calibri"/>
        <family val="2"/>
      </rPr>
      <t xml:space="preserve">6/5 - kit clear
</t>
    </r>
    <r>
      <rPr>
        <b/>
        <strike/>
        <sz val="11"/>
        <color rgb="FF000000"/>
        <rFont val="Calibri"/>
        <family val="2"/>
      </rPr>
      <t xml:space="preserve">6/4 - short 2 SMT line items, no ETA
</t>
    </r>
    <r>
      <rPr>
        <b/>
        <sz val="11"/>
        <color rgb="FF000000"/>
        <rFont val="Calibri"/>
        <family val="2"/>
      </rPr>
      <t>6/4 - THIS IS A REMAKE OF 132375 - HOLES WERE UNDERSIZED AND FAB HOUSE DAMAGED THEM DURING REWORK</t>
    </r>
  </si>
  <si>
    <t>6/5 - combine with B133342</t>
  </si>
  <si>
    <t>133634
RONC 132375</t>
  </si>
  <si>
    <r>
      <rPr>
        <b/>
        <sz val="14"/>
        <color rgb="FF000000"/>
        <rFont val="Calibri"/>
        <family val="2"/>
      </rPr>
      <t xml:space="preserve">6/9
</t>
    </r>
    <r>
      <rPr>
        <b/>
        <strike/>
        <sz val="14"/>
        <color rgb="FF000000"/>
        <rFont val="Calibri"/>
        <family val="2"/>
      </rPr>
      <t xml:space="preserve">6/10
</t>
    </r>
    <r>
      <rPr>
        <b/>
        <sz val="14"/>
        <color rgb="FFFF0000"/>
        <rFont val="Calibri"/>
        <family val="2"/>
      </rPr>
      <t>3D</t>
    </r>
  </si>
  <si>
    <t>SMT</t>
  </si>
  <si>
    <r>
      <rPr>
        <b/>
        <sz val="12"/>
        <color rgb="FFFF0000"/>
        <rFont val="Calibri"/>
        <family val="2"/>
      </rPr>
      <t xml:space="preserve">*** FIT CHECK NAIL/PINS @ "H1,H2" AS SOON AS PCB'S ARRIVE
</t>
    </r>
    <r>
      <rPr>
        <b/>
        <sz val="12"/>
        <color rgb="FF000000"/>
        <rFont val="Calibri"/>
        <family val="2"/>
      </rPr>
      <t xml:space="preserve">CLASS 3
</t>
    </r>
    <r>
      <rPr>
        <b/>
        <sz val="11"/>
        <color rgb="FF000000"/>
        <rFont val="Calibri"/>
        <family val="2"/>
      </rPr>
      <t>"H1, H2" INSTALL FROM TOP PER ECO
DEPANEL</t>
    </r>
  </si>
  <si>
    <t>6/5 - 12:30</t>
  </si>
  <si>
    <t>6/5 - 2:30</t>
  </si>
  <si>
    <t>paired with B133342 (ship together)</t>
  </si>
  <si>
    <t>complete
alta standard
on bag</t>
  </si>
  <si>
    <t>6/4 - kit clear</t>
  </si>
  <si>
    <t>133342
RONC 132374</t>
  </si>
  <si>
    <r>
      <rPr>
        <b/>
        <sz val="14"/>
        <color rgb="FF000000"/>
        <rFont val="Calibri"/>
        <family val="2"/>
      </rPr>
      <t xml:space="preserve">6/9
</t>
    </r>
    <r>
      <rPr>
        <b/>
        <sz val="14"/>
        <color rgb="FFFF0000"/>
        <rFont val="Calibri"/>
        <family val="2"/>
      </rPr>
      <t>3D</t>
    </r>
  </si>
  <si>
    <r>
      <rPr>
        <b/>
        <sz val="12"/>
        <color rgb="FFFF0000"/>
        <rFont val="Calibri"/>
        <family val="2"/>
      </rPr>
      <t xml:space="preserve">*** FIT CHECK NAIL/PINS @ "H1,H2" AS SOON AS PCB'S ARRIVE
*** "U1" FOLLOW _OCH2B10.PPTX PROFILE PER ECO
</t>
    </r>
    <r>
      <rPr>
        <b/>
        <sz val="11"/>
        <color rgb="FF000000"/>
        <rFont val="Calibri"/>
        <family val="2"/>
      </rPr>
      <t>CLASS 3
LEAD FREE WASH
DEPANEL</t>
    </r>
  </si>
  <si>
    <t>6/5 - 6:00</t>
  </si>
  <si>
    <t>paired with B133634 (ship together)</t>
  </si>
  <si>
    <r>
      <t xml:space="preserve">clear
</t>
    </r>
    <r>
      <rPr>
        <b/>
        <strike/>
        <sz val="11"/>
        <color rgb="FF000000"/>
        <rFont val="Calibri"/>
        <family val="2"/>
      </rPr>
      <t>6/3 - pcb due</t>
    </r>
  </si>
  <si>
    <t>6/4 - kit clear
6/2 - matl clear</t>
  </si>
  <si>
    <t>133530
NEW</t>
  </si>
  <si>
    <r>
      <rPr>
        <b/>
        <sz val="14"/>
        <color rgb="FF000000"/>
        <rFont val="Calibri"/>
        <family val="2"/>
      </rPr>
      <t xml:space="preserve">6/6
</t>
    </r>
    <r>
      <rPr>
        <b/>
        <sz val="14"/>
        <color rgb="FFFF0000"/>
        <rFont val="Calibri"/>
        <family val="2"/>
      </rPr>
      <t>2D</t>
    </r>
  </si>
  <si>
    <r>
      <rPr>
        <b/>
        <sz val="11"/>
        <color rgb="FFFF0000"/>
        <rFont val="Calibri"/>
        <family val="2"/>
      </rPr>
      <t xml:space="preserve">*** 2 DAY TURN ***
</t>
    </r>
    <r>
      <rPr>
        <b/>
        <sz val="11"/>
        <color rgb="FF000000"/>
        <rFont val="Calibri"/>
        <family val="2"/>
      </rPr>
      <t xml:space="preserve">"SW1, LS1" AFTER WASH
</t>
    </r>
    <r>
      <rPr>
        <b/>
        <u/>
        <sz val="11"/>
        <color rgb="FF000000"/>
        <rFont val="Calibri"/>
        <family val="2"/>
      </rPr>
      <t xml:space="preserve">"RT1" RTV REQUIRED PER ECO
</t>
    </r>
    <r>
      <rPr>
        <b/>
        <sz val="11"/>
        <color rgb="FF000000"/>
        <rFont val="Calibri"/>
        <family val="2"/>
      </rPr>
      <t>DEPANEL &amp; SAND</t>
    </r>
  </si>
  <si>
    <t>6/5 - 10:30</t>
  </si>
  <si>
    <t>contact RAY as soon as SMT comp</t>
  </si>
  <si>
    <r>
      <t xml:space="preserve">clear
</t>
    </r>
    <r>
      <rPr>
        <b/>
        <strike/>
        <sz val="11"/>
        <color rgb="FF000000"/>
        <rFont val="Calibri"/>
        <family val="2"/>
      </rPr>
      <t>SHORT, NO ETA</t>
    </r>
  </si>
  <si>
    <r>
      <t xml:space="preserve">5/30 - kit clear
</t>
    </r>
    <r>
      <rPr>
        <b/>
        <strike/>
        <sz val="11"/>
        <color rgb="FF000000"/>
        <rFont val="Calibri"/>
        <family val="2"/>
      </rPr>
      <t xml:space="preserve">5/8 - short: </t>
    </r>
    <r>
      <rPr>
        <b/>
        <strike/>
        <u/>
        <sz val="11"/>
        <color rgb="FF000000"/>
        <rFont val="Calibri"/>
        <family val="2"/>
      </rPr>
      <t xml:space="preserve">SMT </t>
    </r>
    <r>
      <rPr>
        <b/>
        <strike/>
        <sz val="11"/>
        <color rgb="FF000000"/>
        <rFont val="Calibri"/>
        <family val="2"/>
      </rPr>
      <t xml:space="preserve">U19_1, J1, R98,_1, T2_1, SH1 &amp; SH3
</t>
    </r>
    <r>
      <rPr>
        <b/>
        <strike/>
        <u/>
        <sz val="11"/>
        <color rgb="FF000000"/>
        <rFont val="Calibri"/>
        <family val="2"/>
      </rPr>
      <t xml:space="preserve">THT </t>
    </r>
    <r>
      <rPr>
        <b/>
        <strike/>
        <sz val="11"/>
        <color rgb="FF000000"/>
        <rFont val="Calibri"/>
        <family val="2"/>
      </rPr>
      <t>SH1_LID, SH3_LID
5/2 - U35_1, U37_1, U36_1, U19_1, U10,, J1, R98, R80, T2_1, Q1_1, SH1, SH3 (SMT) |  J3, SH1_LID, SH3_LID (THT) WITH NO ETA</t>
    </r>
  </si>
  <si>
    <t>126943
ROWC 129197</t>
  </si>
  <si>
    <t>6/6
5D</t>
  </si>
  <si>
    <r>
      <rPr>
        <b/>
        <sz val="12"/>
        <color rgb="FFFF0000"/>
        <rFont val="Calibri"/>
        <family val="2"/>
      </rPr>
      <t xml:space="preserve">*** QUALITY ALERT FROM B129197 - INSUFFICIENT SOLDER @ "U35.1-16, U38.1-16, U39.1-16" (PLEASE CHK W/ ROBERT BEFORE RUNNING)
</t>
    </r>
    <r>
      <rPr>
        <b/>
        <sz val="11"/>
        <color rgb="FF000000"/>
        <rFont val="Calibri"/>
        <family val="2"/>
      </rPr>
      <t xml:space="preserve">LEAD FREE, NO CLEAN
</t>
    </r>
    <r>
      <rPr>
        <b/>
        <sz val="11"/>
        <color rgb="FFFF0000"/>
        <rFont val="Calibri"/>
        <family val="2"/>
      </rPr>
      <t xml:space="preserve">DO NOT USE WATER SOLUABLE FLUX!!!
</t>
    </r>
    <r>
      <rPr>
        <b/>
        <sz val="11"/>
        <color rgb="FF000000"/>
        <rFont val="Calibri"/>
        <family val="2"/>
      </rPr>
      <t xml:space="preserve">NO ALTA STAMPS ALLOWED
"P0-P6" PRESS FIT REQ
</t>
    </r>
    <r>
      <rPr>
        <b/>
        <sz val="12"/>
        <color rgb="FFFF0000"/>
        <rFont val="Calibri"/>
        <family val="2"/>
      </rPr>
      <t xml:space="preserve">*** COMPLETE REMOVAL OF FLUX IS REQUIRED
*** DEPANEL &amp; SAND WITHOUT DAMAGE - SEE TAD BEFORE DEPANELING
</t>
    </r>
    <r>
      <rPr>
        <b/>
        <sz val="11"/>
        <color rgb="FFFF0000"/>
        <rFont val="Calibri"/>
        <family val="2"/>
      </rPr>
      <t xml:space="preserve">SAVE ONE DEPANELED ARRAY (FRAME) - BAG &amp; STAPLE TO THE FOLDER
</t>
    </r>
    <r>
      <rPr>
        <b/>
        <sz val="11"/>
        <color rgb="FF000000"/>
        <rFont val="Calibri"/>
        <family val="2"/>
      </rPr>
      <t xml:space="preserve">PACK WITH EXTRA CARE
</t>
    </r>
    <r>
      <rPr>
        <b/>
        <u/>
        <sz val="11"/>
        <color rgb="FF000000"/>
        <rFont val="Calibri"/>
        <family val="2"/>
      </rPr>
      <t>shipping: install shield lids (new BOM item) and screws</t>
    </r>
  </si>
  <si>
    <t>6/2 - 10:00</t>
  </si>
  <si>
    <t>6/3 - 7:30</t>
  </si>
  <si>
    <t>6/3 - 11:00</t>
  </si>
  <si>
    <t>* quality aletrt (tad email about ECO)
* notify Robert before start job (stencil issue)</t>
  </si>
  <si>
    <t>DOC REL 5/1</t>
  </si>
  <si>
    <t>prev build missing screw #41 (j3, j4, j7), ship as is
---
U35.1-16, U38.1-16, U39.1-16 -- INSUFFICIENT SOLDER (GOLD SHOWS THROUGH) (SEE EMAIL)</t>
  </si>
  <si>
    <t>install shields
uploaded</t>
  </si>
  <si>
    <r>
      <t xml:space="preserve">clear
</t>
    </r>
    <r>
      <rPr>
        <b/>
        <strike/>
        <sz val="11"/>
        <color rgb="FF000000"/>
        <rFont val="Calibri"/>
        <family val="2"/>
      </rPr>
      <t>short pcb, no ETA
clear
short</t>
    </r>
    <r>
      <rPr>
        <b/>
        <sz val="11"/>
        <color rgb="FF000000"/>
        <rFont val="Calibri"/>
        <family val="2"/>
      </rPr>
      <t>,</t>
    </r>
    <r>
      <rPr>
        <b/>
        <strike/>
        <sz val="11"/>
        <color rgb="FF000000"/>
        <rFont val="Calibri"/>
        <family val="2"/>
      </rPr>
      <t xml:space="preserve"> no</t>
    </r>
    <r>
      <rPr>
        <b/>
        <sz val="11"/>
        <color rgb="FF000000"/>
        <rFont val="Calibri"/>
        <family val="2"/>
      </rPr>
      <t xml:space="preserve"> eta </t>
    </r>
    <r>
      <rPr>
        <b/>
        <strike/>
        <sz val="11"/>
        <color rgb="FF000000"/>
        <rFont val="Calibri"/>
        <family val="2"/>
      </rPr>
      <t>5/27 5/30</t>
    </r>
  </si>
  <si>
    <r>
      <t>5/30 - kit clear
5/20 - matl clear
5/16 -</t>
    </r>
    <r>
      <rPr>
        <b/>
        <strike/>
        <sz val="11"/>
        <color rgb="FF000000"/>
        <rFont val="Calibri"/>
        <family val="2"/>
      </rPr>
      <t xml:space="preserve"> short SMT 3 items (high qty)</t>
    </r>
  </si>
  <si>
    <r>
      <t>5/30 - pcb ok
5</t>
    </r>
    <r>
      <rPr>
        <b/>
        <strike/>
        <sz val="11"/>
        <color rgb="FF000000"/>
        <rFont val="Calibri"/>
        <family val="2"/>
      </rPr>
      <t>/29 - pcbs no good. job no longer clear</t>
    </r>
  </si>
  <si>
    <t>133080
NEW</t>
  </si>
  <si>
    <t>"SW1, SW2, PZ1, U28, U31, U27, D19, D20, D29" AFTER WASH</t>
  </si>
  <si>
    <t>6/3 - 6:00</t>
  </si>
  <si>
    <t>6/3 - 8:00</t>
  </si>
  <si>
    <t>6/3 - 12:30</t>
  </si>
  <si>
    <t>5/16</t>
  </si>
  <si>
    <r>
      <t xml:space="preserve">short, no ETA
clear
</t>
    </r>
    <r>
      <rPr>
        <b/>
        <strike/>
        <sz val="11"/>
        <color theme="4" tint="-0.249977111117893"/>
        <rFont val="Calibri"/>
        <family val="2"/>
      </rPr>
      <t>SHORT, no ETA 5/30</t>
    </r>
  </si>
  <si>
    <r>
      <t xml:space="preserve">6/2 - awt new pcb
</t>
    </r>
    <r>
      <rPr>
        <b/>
        <strike/>
        <sz val="11"/>
        <color theme="4" tint="-0.249977111117893"/>
        <rFont val="Calibri"/>
        <family val="2"/>
      </rPr>
      <t xml:space="preserve">5/27 - kit clear
</t>
    </r>
    <r>
      <rPr>
        <b/>
        <sz val="11"/>
        <color theme="4" tint="-0.249977111117893"/>
        <rFont val="Calibri"/>
        <family val="2"/>
      </rPr>
      <t>5</t>
    </r>
    <r>
      <rPr>
        <b/>
        <strike/>
        <sz val="11"/>
        <color theme="4" tint="-0.249977111117893"/>
        <rFont val="Calibri"/>
        <family val="2"/>
      </rPr>
      <t>/27 - short #11 (Y3)
5/19 - short SMT 3 itms; short THT 1 itm</t>
    </r>
  </si>
  <si>
    <t>5/30 - SP1 has no drill hole for stand-off</t>
  </si>
  <si>
    <t>132891-FA
NEW</t>
  </si>
  <si>
    <r>
      <t xml:space="preserve">???
</t>
    </r>
    <r>
      <rPr>
        <b/>
        <strike/>
        <sz val="14"/>
        <color theme="4" tint="-0.249977111117893"/>
        <rFont val="Calibri"/>
        <family val="2"/>
      </rPr>
      <t xml:space="preserve">6/3
</t>
    </r>
    <r>
      <rPr>
        <b/>
        <sz val="14"/>
        <color theme="4" tint="-0.249977111117893"/>
        <rFont val="Calibri"/>
        <family val="2"/>
      </rPr>
      <t>5D</t>
    </r>
  </si>
  <si>
    <r>
      <rPr>
        <b/>
        <sz val="11"/>
        <color rgb="FF104861"/>
        <rFont val="Calibri"/>
        <family val="2"/>
      </rPr>
      <t xml:space="preserve">CLASS 3
"PA, PB, PC, U6, P1-4" PRESS FIT PER ECO
"LP_A, LP_B" HARDWARE &amp; TORQUE REQ PER ECO #4 &amp; 6
</t>
    </r>
    <r>
      <rPr>
        <b/>
        <u/>
        <sz val="11"/>
        <color rgb="FF104861"/>
        <rFont val="Calibri"/>
        <family val="2"/>
      </rPr>
      <t xml:space="preserve">"A1, XA1" MECH REQ PER ECO
</t>
    </r>
    <r>
      <rPr>
        <b/>
        <sz val="11"/>
        <color rgb="FF104861"/>
        <rFont val="Calibri"/>
        <family val="2"/>
      </rPr>
      <t xml:space="preserve">DEPANEL &amp; SAND
</t>
    </r>
    <r>
      <rPr>
        <b/>
        <u/>
        <sz val="11"/>
        <color rgb="FF104861"/>
        <rFont val="Calibri"/>
        <family val="2"/>
      </rPr>
      <t>shipping: install Shield, standoffs, daughter board, screw &amp; nuts</t>
    </r>
  </si>
  <si>
    <t>5/29 - 12:00</t>
  </si>
  <si>
    <t>5/29 - 1:00</t>
  </si>
  <si>
    <t>5/30 - 7:00</t>
  </si>
  <si>
    <t xml:space="preserve">SMT #45 not on feeder setup xy data
</t>
  </si>
  <si>
    <r>
      <rPr>
        <b/>
        <sz val="11"/>
        <color rgb="FF000000"/>
        <rFont val="Calibri"/>
        <family val="2"/>
      </rPr>
      <t xml:space="preserve">clear
5/19 </t>
    </r>
    <r>
      <rPr>
        <b/>
        <strike/>
        <sz val="11"/>
        <color rgb="FF000000"/>
        <rFont val="Calibri"/>
        <family val="2"/>
      </rPr>
      <t xml:space="preserve">- </t>
    </r>
    <r>
      <rPr>
        <b/>
        <sz val="11"/>
        <color rgb="FF000000"/>
        <rFont val="Calibri"/>
        <family val="2"/>
      </rPr>
      <t xml:space="preserve">new bare boards due date
</t>
    </r>
    <r>
      <rPr>
        <b/>
        <strike/>
        <sz val="11"/>
        <color rgb="FF000000"/>
        <rFont val="Calibri"/>
        <family val="2"/>
      </rPr>
      <t>4/21 -UNABLE GET NEW ETA THAT WENT TO TEXAS INSTEAD OF FREMONTSHORT, ETA 4/15 4/16 WAIT NEW ETA |</t>
    </r>
  </si>
  <si>
    <r>
      <t xml:space="preserve">5/27 - kit clear
</t>
    </r>
    <r>
      <rPr>
        <b/>
        <strike/>
        <sz val="11"/>
        <color rgb="FF000000"/>
        <rFont val="Calibri"/>
        <family val="2"/>
      </rPr>
      <t>5/14 - material clear for rebuilt
4/23 - KIT CLEAR
4/8 - MATERIAL CLEAR</t>
    </r>
  </si>
  <si>
    <r>
      <rPr>
        <b/>
        <sz val="11"/>
        <color rgb="FFFF0000"/>
        <rFont val="Calibri"/>
        <family val="2"/>
      </rPr>
      <t xml:space="preserve">5/30 - depanel, then run SMT 1 by 1
</t>
    </r>
    <r>
      <rPr>
        <b/>
        <strike/>
        <sz val="11"/>
        <color rgb="FFFF0000"/>
        <rFont val="Calibri"/>
        <family val="2"/>
      </rPr>
      <t xml:space="preserve">5/29 - incorrect stencil
</t>
    </r>
    <r>
      <rPr>
        <b/>
        <sz val="11"/>
        <color rgb="FF000000"/>
        <rFont val="Calibri"/>
        <family val="2"/>
      </rPr>
      <t xml:space="preserve">5/12 - VERIFY NEW BOARDS ARE V-SCORED
</t>
    </r>
    <r>
      <rPr>
        <b/>
        <strike/>
        <sz val="11"/>
        <color rgb="FF000000"/>
        <rFont val="Calibri"/>
        <family val="2"/>
      </rPr>
      <t>4/30 - HOLD - DELAM DURING DEPANEL - CUST NOTIFIED</t>
    </r>
  </si>
  <si>
    <t>131911-2
BAL
NEW</t>
  </si>
  <si>
    <r>
      <rPr>
        <b/>
        <sz val="14"/>
        <color rgb="FF000000"/>
        <rFont val="Calibri"/>
        <family val="2"/>
      </rPr>
      <t xml:space="preserve">6/5
</t>
    </r>
    <r>
      <rPr>
        <b/>
        <strike/>
        <sz val="14"/>
        <color rgb="FF000000"/>
        <rFont val="Calibri"/>
        <family val="2"/>
      </rPr>
      <t xml:space="preserve">5/2
</t>
    </r>
    <r>
      <rPr>
        <b/>
        <sz val="14"/>
        <color rgb="FF000000"/>
        <rFont val="Calibri"/>
        <family val="2"/>
      </rPr>
      <t>7D</t>
    </r>
  </si>
  <si>
    <r>
      <rPr>
        <b/>
        <sz val="12"/>
        <color rgb="FFFF0000"/>
        <rFont val="Calibri"/>
        <family val="2"/>
      </rPr>
      <t xml:space="preserve">*** PLEASE ENSURE PCB'S HAVE V-SCORES NOT MOUSE BITES ***
</t>
    </r>
    <r>
      <rPr>
        <b/>
        <sz val="11"/>
        <color rgb="FF000000"/>
        <rFont val="Calibri"/>
        <family val="2"/>
      </rPr>
      <t>*** DO-C9 RATING - CLASS 3
LEAD WASH PROCESS
*** NO LOGOS/MARKINGS/STAMPS
NO QA/AOI STAMPS
NO LABELS
depanel required</t>
    </r>
  </si>
  <si>
    <t>5/30 - 1:00</t>
  </si>
  <si>
    <t>DOC REL 4/7</t>
  </si>
  <si>
    <t>no stamps and labels</t>
  </si>
  <si>
    <t>5/14 - kit clear
4/29 - MATERIAL CLEAR</t>
  </si>
  <si>
    <t>5/14 - SMT BOT FA DONE</t>
  </si>
  <si>
    <t>132723
RONC 127629</t>
  </si>
  <si>
    <r>
      <rPr>
        <b/>
        <sz val="12"/>
        <color rgb="FFFF0000"/>
        <rFont val="Calibri"/>
        <family val="2"/>
      </rPr>
      <t xml:space="preserve">*** 100% INSP REQ - BOARDS </t>
    </r>
    <r>
      <rPr>
        <b/>
        <sz val="12"/>
        <color rgb="FF000000"/>
        <rFont val="Calibri"/>
        <family val="2"/>
      </rPr>
      <t>MUST BE PERFECT!!!
"L1, L2" AFTER WASH
DEPANEL</t>
    </r>
  </si>
  <si>
    <t>5/14 - 12:30</t>
  </si>
  <si>
    <t>5/15 - 12:30
5/15 - pause 1:30
5/16 - 11:30</t>
  </si>
  <si>
    <t>5/19 - 1:30</t>
  </si>
  <si>
    <t>4/29</t>
  </si>
  <si>
    <r>
      <t xml:space="preserve">CLEAR
</t>
    </r>
    <r>
      <rPr>
        <b/>
        <strike/>
        <sz val="11"/>
        <color rgb="FF000000"/>
        <rFont val="Calibri"/>
        <family val="2"/>
      </rPr>
      <t>5/23</t>
    </r>
    <r>
      <rPr>
        <b/>
        <sz val="11"/>
        <color rgb="FF000000"/>
        <rFont val="Calibri"/>
        <family val="2"/>
      </rPr>
      <t xml:space="preserve"> - </t>
    </r>
    <r>
      <rPr>
        <b/>
        <strike/>
        <sz val="11"/>
        <color rgb="FF000000"/>
        <rFont val="Calibri"/>
        <family val="2"/>
      </rPr>
      <t>pcb due 5/28</t>
    </r>
  </si>
  <si>
    <r>
      <t xml:space="preserve">5/29 - KIT CLEAR
</t>
    </r>
    <r>
      <rPr>
        <b/>
        <strike/>
        <sz val="11"/>
        <color rgb="FF000000"/>
        <rFont val="Calibri"/>
        <family val="2"/>
      </rPr>
      <t>5/28 - SMT clear
5/21 - short cust consign SMT 3 itms (Qty High), no ETA
5/23 - short THT #71 (P5) due 5/28</t>
    </r>
  </si>
  <si>
    <t>132964
NEW</t>
  </si>
  <si>
    <t>6/5
5D</t>
  </si>
  <si>
    <r>
      <rPr>
        <b/>
        <sz val="11"/>
        <color rgb="FF000000"/>
        <rFont val="Calibri"/>
        <family val="2"/>
      </rPr>
      <t xml:space="preserve">SOLDER BUILD UP ON GROUND PADS NOT TO EXCEED 0.06"
"MP1, MP2" INSPECT BEFORE INSTALLING SHIELDS
TRIM LEADS 0.140" MAX
</t>
    </r>
    <r>
      <rPr>
        <b/>
        <u/>
        <sz val="11"/>
        <color rgb="FF000000"/>
        <rFont val="Calibri"/>
        <family val="2"/>
      </rPr>
      <t xml:space="preserve">shipping: install mounting support &amp; shields
ESD warning label on ESD bag; Date Code &amp; QTY on top + side of shipping box (see drawing) </t>
    </r>
  </si>
  <si>
    <t>5/30 - 2:30</t>
  </si>
  <si>
    <t>complete
ECO label &amp; label for shipping container</t>
  </si>
  <si>
    <r>
      <t xml:space="preserve">clear
</t>
    </r>
    <r>
      <rPr>
        <b/>
        <strike/>
        <sz val="11"/>
        <color rgb="FF000000"/>
        <rFont val="Calibri"/>
        <family val="2"/>
      </rPr>
      <t>5/30 - ETA</t>
    </r>
  </si>
  <si>
    <r>
      <t xml:space="preserve">6/5 - kit clear
</t>
    </r>
    <r>
      <rPr>
        <b/>
        <strike/>
        <sz val="11"/>
        <color rgb="FF000000"/>
        <rFont val="Calibri"/>
        <family val="2"/>
      </rPr>
      <t>5/16 - matl clear</t>
    </r>
  </si>
  <si>
    <t>6/2 - SAME DAY SHIP; tht hand-solder</t>
  </si>
  <si>
    <t>THT</t>
  </si>
  <si>
    <t>132562-FA
NEW</t>
  </si>
  <si>
    <r>
      <rPr>
        <b/>
        <sz val="14"/>
        <color rgb="FF000000"/>
        <rFont val="Calibri"/>
        <family val="2"/>
      </rPr>
      <t xml:space="preserve">6/5
</t>
    </r>
    <r>
      <rPr>
        <b/>
        <strike/>
        <sz val="14"/>
        <color rgb="FFFF0000"/>
        <rFont val="Calibri"/>
        <family val="2"/>
      </rPr>
      <t>1D</t>
    </r>
  </si>
  <si>
    <r>
      <rPr>
        <b/>
        <sz val="11"/>
        <color rgb="FFFF0000"/>
        <rFont val="Calibri"/>
        <family val="2"/>
      </rPr>
      <t xml:space="preserve">*** EXPEDITE (SAME DAY) ***
</t>
    </r>
    <r>
      <rPr>
        <b/>
        <sz val="11"/>
        <color rgb="FF104861"/>
        <rFont val="Calibri"/>
        <family val="2"/>
      </rPr>
      <t>CLASS 3
DEPANEL &amp; SAND
FAIR REQ: AS9102</t>
    </r>
  </si>
  <si>
    <t>complete alta LABEL ON ESD BAGS</t>
  </si>
  <si>
    <t>additional label req</t>
  </si>
  <si>
    <r>
      <t xml:space="preserve">5/28 - kit clear
5/23 - </t>
    </r>
    <r>
      <rPr>
        <b/>
        <strike/>
        <sz val="11"/>
        <color rgb="FF000000"/>
        <rFont val="Calibri"/>
        <family val="2"/>
      </rPr>
      <t xml:space="preserve">kit clear </t>
    </r>
    <r>
      <rPr>
        <b/>
        <sz val="11"/>
        <color rgb="FF000000"/>
        <rFont val="Calibri"/>
        <family val="2"/>
      </rPr>
      <t xml:space="preserve">awt </t>
    </r>
    <r>
      <rPr>
        <b/>
        <strike/>
        <sz val="11"/>
        <color rgb="FF000000"/>
        <rFont val="Calibri"/>
        <family val="2"/>
      </rPr>
      <t>cust approve D1
5/21 - short SMT itms x5 (high QTY), no ETA</t>
    </r>
  </si>
  <si>
    <t>132312-FA
NEW</t>
  </si>
  <si>
    <t>6/4
5D</t>
  </si>
  <si>
    <t>AS9102 FAIR REQUIRED
DO NOT SKIP AOI
MAKE SURE BOARDS ARE FREE AND CLEAN OF FLUX &amp; DEBRIS</t>
  </si>
  <si>
    <t>5/29 - 10:00</t>
  </si>
  <si>
    <t>5/30 - 9:30</t>
  </si>
  <si>
    <t>remind robert about email reflow
smt run 1 FA only to check for warpage</t>
  </si>
  <si>
    <r>
      <t xml:space="preserve">clear
</t>
    </r>
    <r>
      <rPr>
        <b/>
        <strike/>
        <sz val="11"/>
        <color rgb="FF000000"/>
        <rFont val="Calibri"/>
        <family val="2"/>
      </rPr>
      <t>5/12 OR 5/13 - PCB DUE</t>
    </r>
  </si>
  <si>
    <r>
      <t xml:space="preserve">5/28 - kit clear
5/23 - </t>
    </r>
    <r>
      <rPr>
        <b/>
        <strike/>
        <sz val="11"/>
        <color rgb="FF000000"/>
        <rFont val="Calibri"/>
        <family val="2"/>
      </rPr>
      <t xml:space="preserve">kit clear </t>
    </r>
    <r>
      <rPr>
        <b/>
        <sz val="11"/>
        <color rgb="FF000000"/>
        <rFont val="Calibri"/>
        <family val="2"/>
      </rPr>
      <t xml:space="preserve">awt </t>
    </r>
    <r>
      <rPr>
        <b/>
        <strike/>
        <sz val="11"/>
        <color rgb="FF000000"/>
        <rFont val="Calibri"/>
        <family val="2"/>
      </rPr>
      <t xml:space="preserve">cust approve D1
</t>
    </r>
    <r>
      <rPr>
        <b/>
        <sz val="11"/>
        <color rgb="FF000000"/>
        <rFont val="Calibri"/>
        <family val="2"/>
      </rPr>
      <t xml:space="preserve">5/19 - </t>
    </r>
    <r>
      <rPr>
        <b/>
        <strike/>
        <sz val="11"/>
        <color rgb="FF000000"/>
        <rFont val="Calibri"/>
        <family val="2"/>
      </rPr>
      <t xml:space="preserve">SMT SHORTAGE (qty high) -- CAN'T SKIP
</t>
    </r>
    <r>
      <rPr>
        <b/>
        <sz val="11"/>
        <color rgb="FF000000"/>
        <rFont val="Calibri"/>
        <family val="2"/>
      </rPr>
      <t xml:space="preserve">5/12 - </t>
    </r>
    <r>
      <rPr>
        <b/>
        <strike/>
        <sz val="11"/>
        <color rgb="FF000000"/>
        <rFont val="Calibri"/>
        <family val="2"/>
      </rPr>
      <t>JP1 &amp; JP79 MANY T&amp;R REQ (ASKING FOR</t>
    </r>
    <r>
      <rPr>
        <b/>
        <sz val="11"/>
        <color rgb="FF000000"/>
        <rFont val="Calibri"/>
        <family val="2"/>
      </rPr>
      <t xml:space="preserve"> </t>
    </r>
    <r>
      <rPr>
        <b/>
        <strike/>
        <sz val="11"/>
        <color rgb="FF000000"/>
        <rFont val="Calibri"/>
        <family val="2"/>
      </rPr>
      <t>REPLACEMENT</t>
    </r>
    <r>
      <rPr>
        <b/>
        <sz val="11"/>
        <color rgb="FF000000"/>
        <rFont val="Calibri"/>
        <family val="2"/>
      </rPr>
      <t xml:space="preserve">)
5/12 - SHORT: SMT #12 (U1), #13 (J18), #17 (R3), </t>
    </r>
    <r>
      <rPr>
        <b/>
        <strike/>
        <sz val="11"/>
        <color rgb="FF000000"/>
        <rFont val="Calibri"/>
        <family val="2"/>
      </rPr>
      <t>#23 (Q1)</t>
    </r>
    <r>
      <rPr>
        <b/>
        <sz val="11"/>
        <color rgb="FF000000"/>
        <rFont val="Calibri"/>
        <family val="2"/>
      </rPr>
      <t xml:space="preserve"> NO ETA; 5/12 OR 5/13 #9 (D1) DUE</t>
    </r>
  </si>
  <si>
    <t>132314-FA
NEW</t>
  </si>
  <si>
    <t>AS9102 FAIR REQUIRED
"D1x64" CHECK POLARITY PER ECO #2
DO NOT SKIP AOI
DEPANEL &amp; SAND</t>
  </si>
  <si>
    <t>5/29 - 7:30</t>
  </si>
  <si>
    <t>5/12</t>
  </si>
  <si>
    <t>qaulity + priority LED NOTES</t>
  </si>
  <si>
    <r>
      <t xml:space="preserve">clear
</t>
    </r>
    <r>
      <rPr>
        <b/>
        <strike/>
        <sz val="11"/>
        <color rgb="FF000000"/>
        <rFont val="Calibri"/>
        <family val="2"/>
      </rPr>
      <t>SHORT, NO ETA 5/20</t>
    </r>
  </si>
  <si>
    <r>
      <t xml:space="preserve">5/19 - kit clear
5/2 -  </t>
    </r>
    <r>
      <rPr>
        <b/>
        <strike/>
        <sz val="11"/>
        <color rgb="FF000000"/>
        <rFont val="Calibri"/>
        <family val="2"/>
      </rPr>
      <t xml:space="preserve">U6, L121, L96, L120, and L100 (SMT) |  U66 (THT) WITH NO ETA </t>
    </r>
  </si>
  <si>
    <r>
      <t xml:space="preserve">5/6 - rev files updated
</t>
    </r>
    <r>
      <rPr>
        <b/>
        <strike/>
        <sz val="11"/>
        <color rgb="FF000000"/>
        <rFont val="Calibri"/>
        <family val="2"/>
      </rPr>
      <t>5/2 - HOLD DUE TO REV ON DWG FILES</t>
    </r>
  </si>
  <si>
    <t>131956
ROWC 126530</t>
  </si>
  <si>
    <r>
      <rPr>
        <b/>
        <sz val="11"/>
        <color rgb="FF000000"/>
        <rFont val="Calibri"/>
        <family val="2"/>
      </rPr>
      <t xml:space="preserve">LEAD FREE, NO CLEAAN
DEPANEL &amp; SAND - SMOOTH EDGES REQUIRED
</t>
    </r>
    <r>
      <rPr>
        <b/>
        <u/>
        <sz val="11"/>
        <color rgb="FF000000"/>
        <rFont val="Calibri"/>
        <family val="2"/>
      </rPr>
      <t>RTV NOT REQUIRED PER ECO
SHIELDS ARE DNI PER ECO</t>
    </r>
  </si>
  <si>
    <t>5/20 - 7:00</t>
  </si>
  <si>
    <t>5/20 - 10:30</t>
  </si>
  <si>
    <t>5/20 - 2:00</t>
  </si>
  <si>
    <t>L3</t>
  </si>
  <si>
    <t>DOC REL 5/6</t>
  </si>
  <si>
    <t>RTV &amp; testing waived. shields DNI</t>
  </si>
  <si>
    <t>void rtv requirements</t>
  </si>
  <si>
    <t>drawing rev change
uploaded</t>
  </si>
  <si>
    <t>5/28 - SMT bot comp about qty 40</t>
  </si>
  <si>
    <t>6/3
5D</t>
  </si>
  <si>
    <r>
      <rPr>
        <b/>
        <sz val="12"/>
        <color rgb="FFFF0000"/>
        <rFont val="Calibri"/>
        <family val="2"/>
      </rPr>
      <t xml:space="preserve">*** QUALITY ALERT - INCORRECT "B" NUMBER" 1ST ARTICLE SERIAL #S 010 &amp; 011 (WAS LABELED B131635 INSTEAD OF B131985) PLEASE DOUBLE CHECK FOR CORRECT B NUMBER BEFORE SHIPPING
</t>
    </r>
    <r>
      <rPr>
        <b/>
        <sz val="12"/>
        <color rgb="FF000000"/>
        <rFont val="Calibri"/>
        <family val="2"/>
      </rPr>
      <t>LEADED NO-CLEAN
"C36, BZ1, U32" AFTER WASH
J5 &amp; J9 (THT) SMT placed
KIT &amp; VERIFY STENCIL UPDATED
DS1,DS2 &amp; DS3 HEIGHT REQ</t>
    </r>
  </si>
  <si>
    <t>5/28 - 10:00</t>
  </si>
  <si>
    <t>MOVE J9 FROM THT TO SMT</t>
  </si>
  <si>
    <t>complete
ECO label
S/N: 001 - 009, 012 - 100</t>
  </si>
  <si>
    <t>awt pcb conf</t>
  </si>
  <si>
    <t>5/29 - matl clear</t>
  </si>
  <si>
    <t>132782
NEW</t>
  </si>
  <si>
    <r>
      <rPr>
        <b/>
        <sz val="14"/>
        <color rgb="FF000000"/>
        <rFont val="Calibri"/>
        <family val="2"/>
      </rPr>
      <t xml:space="preserve">6/2
</t>
    </r>
    <r>
      <rPr>
        <b/>
        <strike/>
        <sz val="14"/>
        <color rgb="FF000000"/>
        <rFont val="Calibri"/>
        <family val="2"/>
      </rPr>
      <t>5D</t>
    </r>
  </si>
  <si>
    <r>
      <rPr>
        <b/>
        <sz val="11"/>
        <color rgb="FFFF0000"/>
        <rFont val="Calibri"/>
        <family val="2"/>
      </rPr>
      <t xml:space="preserve">*** EXPEDITE ***
</t>
    </r>
    <r>
      <rPr>
        <b/>
        <sz val="11"/>
        <color rgb="FF000000"/>
        <rFont val="Calibri"/>
        <family val="2"/>
      </rPr>
      <t>BTD U2
U3 jump pin 1 &amp; pin13
DEPANEL</t>
    </r>
  </si>
  <si>
    <t>5/30 - 9:00</t>
  </si>
  <si>
    <t xml:space="preserve">ThermOmegaTech
</t>
  </si>
  <si>
    <r>
      <t xml:space="preserve">5/29 - kit clear
</t>
    </r>
    <r>
      <rPr>
        <b/>
        <strike/>
        <sz val="11"/>
        <color rgb="FF000000"/>
        <rFont val="Calibri"/>
        <family val="2"/>
      </rPr>
      <t>5/28 - matl clear; awt array file</t>
    </r>
  </si>
  <si>
    <r>
      <t xml:space="preserve">5/29 - expedite all </t>
    </r>
    <r>
      <rPr>
        <b/>
        <strike/>
        <sz val="11"/>
        <color rgb="FF000000"/>
        <rFont val="Calibri"/>
        <family val="2"/>
      </rPr>
      <t>5/29 - stencil due afternoon
5/28 - possible expedite 10 pcs</t>
    </r>
  </si>
  <si>
    <t>132784
NEW</t>
  </si>
  <si>
    <r>
      <rPr>
        <b/>
        <sz val="11"/>
        <color rgb="FFFF0000"/>
        <rFont val="Calibri"/>
        <family val="2"/>
      </rPr>
      <t xml:space="preserve">*** EXPEDITE ***
</t>
    </r>
    <r>
      <rPr>
        <b/>
        <sz val="11"/>
        <color rgb="FF000000"/>
        <rFont val="Calibri"/>
        <family val="2"/>
      </rPr>
      <t>"D1" PLACEMENT</t>
    </r>
    <r>
      <rPr>
        <b/>
        <u/>
        <sz val="11"/>
        <color rgb="FF000000"/>
        <rFont val="Calibri"/>
        <family val="2"/>
      </rPr>
      <t xml:space="preserve"> MUST BE</t>
    </r>
    <r>
      <rPr>
        <b/>
        <sz val="11"/>
        <color rgb="FF000000"/>
        <rFont val="Calibri"/>
        <family val="2"/>
      </rPr>
      <t xml:space="preserve"> 0.05" OFF THE PCB</t>
    </r>
  </si>
  <si>
    <t>5/30 - 6:00</t>
  </si>
  <si>
    <t>5/30 - 8:00</t>
  </si>
  <si>
    <r>
      <t xml:space="preserve">clear
</t>
    </r>
    <r>
      <rPr>
        <b/>
        <strike/>
        <sz val="11"/>
        <color rgb="FF000000"/>
        <rFont val="Calibri"/>
        <family val="2"/>
      </rPr>
      <t>5/28 - PCB DUE</t>
    </r>
  </si>
  <si>
    <t>5/23 - kit clear
5/14 - MATERIAL CLEAR</t>
  </si>
  <si>
    <t>132414
RONC 129203</t>
  </si>
  <si>
    <t>USE PREViOUS PASTE LAYOUT FROM B129203
"U5, SW1-3" AFTER WASH
"U5" INSTALL PER ECO NOTE ^</t>
  </si>
  <si>
    <t>5/27 - 9:30</t>
  </si>
  <si>
    <t>5/28 - 9:00</t>
  </si>
  <si>
    <t xml:space="preserve">Robert H Wager Company, Inc.
</t>
  </si>
  <si>
    <t>TOP 1ST</t>
  </si>
  <si>
    <t>5/14</t>
  </si>
  <si>
    <t>MISSING FROM PREV BUILD</t>
  </si>
  <si>
    <t>5/30/2025 - INVOICED (DAMAGED BY FAB HOUSE - REMAKE ON B133634</t>
  </si>
  <si>
    <r>
      <rPr>
        <b/>
        <u/>
        <sz val="11"/>
        <color rgb="FFFF0000"/>
        <rFont val="Calibri"/>
        <family val="2"/>
      </rPr>
      <t xml:space="preserve">* 5/7 - RMA PICK UP FOR INCORRECT HOLE "H1, H2" SIZE
</t>
    </r>
    <r>
      <rPr>
        <b/>
        <strike/>
        <sz val="11"/>
        <color rgb="FF000000"/>
        <rFont val="Calibri"/>
        <family val="2"/>
      </rPr>
      <t>SHORT, ETA 4/30 5/2</t>
    </r>
  </si>
  <si>
    <t>5/2 - KIT CLEAR
4/28 -  MATERIALs CLEAR</t>
  </si>
  <si>
    <t>5/5 - #3 (h1, h2) part larger than THT</t>
  </si>
  <si>
    <r>
      <rPr>
        <b/>
        <sz val="14"/>
        <color rgb="FF000000"/>
        <rFont val="Calibri"/>
        <family val="2"/>
      </rPr>
      <t xml:space="preserve">132375
NEW
</t>
    </r>
    <r>
      <rPr>
        <b/>
        <u/>
        <sz val="12"/>
        <color rgb="FFFF0000"/>
        <rFont val="Calibri"/>
        <family val="2"/>
      </rPr>
      <t>MATES W/ 132374 WHICH WE SHIPPED ON 5/6 - ASKING CUST</t>
    </r>
  </si>
  <si>
    <t>CLASS 3
"H1, H2" INSTALL FROM TOP PER ECO
DEPANEL</t>
  </si>
  <si>
    <t>5/5 - 7:00</t>
  </si>
  <si>
    <t>DOC REL 4/28</t>
  </si>
  <si>
    <t>complete
alta standard label on bag</t>
  </si>
  <si>
    <t>SHORT, ETA 4/30</t>
  </si>
  <si>
    <r>
      <rPr>
        <b/>
        <sz val="11"/>
        <color rgb="FF000000"/>
        <rFont val="Calibri"/>
        <family val="2"/>
      </rPr>
      <t>5/8</t>
    </r>
    <r>
      <rPr>
        <b/>
        <strike/>
        <sz val="11"/>
        <color rgb="FF000000"/>
        <rFont val="Calibri"/>
        <family val="2"/>
      </rPr>
      <t xml:space="preserve"> -</t>
    </r>
    <r>
      <rPr>
        <b/>
        <sz val="11"/>
        <color rgb="FF000000"/>
        <rFont val="Calibri"/>
        <family val="2"/>
      </rPr>
      <t xml:space="preserve"> KIT CLEAR
</t>
    </r>
    <r>
      <rPr>
        <b/>
        <strike/>
        <sz val="11"/>
        <color rgb="FF000000"/>
        <rFont val="Calibri"/>
        <family val="2"/>
      </rPr>
      <t>5/1 - SHORT C45 (SMT)</t>
    </r>
    <r>
      <rPr>
        <b/>
        <sz val="11"/>
        <color rgb="FF000000"/>
        <rFont val="Calibri"/>
        <family val="2"/>
      </rPr>
      <t xml:space="preserve"> </t>
    </r>
    <r>
      <rPr>
        <b/>
        <strike/>
        <sz val="11"/>
        <color rgb="FF000000"/>
        <rFont val="Calibri"/>
        <family val="2"/>
      </rPr>
      <t>WITH NO ETA</t>
    </r>
    <r>
      <rPr>
        <b/>
        <sz val="11"/>
        <color rgb="FF000000"/>
        <rFont val="Calibri"/>
        <family val="2"/>
      </rPr>
      <t xml:space="preserve"> due 5/8 </t>
    </r>
    <r>
      <rPr>
        <b/>
        <strike/>
        <sz val="11"/>
        <color rgb="FF000000"/>
        <rFont val="Calibri"/>
        <family val="2"/>
      </rPr>
      <t>4/29 MATERIALs ETA 4/30</t>
    </r>
  </si>
  <si>
    <r>
      <rPr>
        <b/>
        <sz val="11"/>
        <color rgb="FF000000"/>
        <rFont val="Calibri"/>
        <family val="2"/>
      </rPr>
      <t xml:space="preserve">5/8 - SMT has 100 boards left to run
5/5 - smt comp bot 75
5/1 - PARTIAL SHORT ITEM 11 (SMT) - OK TO RUN BOT &amp; PARTIAL TOP &amp; HOLD SET UP
</t>
    </r>
    <r>
      <rPr>
        <b/>
        <strike/>
        <sz val="11"/>
        <color rgb="FF000000"/>
        <rFont val="Calibri"/>
        <family val="2"/>
      </rPr>
      <t>4/29 - GOOD CHANCE KIT WILL BE COMPLETE - AUDIT 4/31</t>
    </r>
  </si>
  <si>
    <t>126219
RONC 124940</t>
  </si>
  <si>
    <r>
      <rPr>
        <b/>
        <sz val="11"/>
        <color rgb="FFFF0000"/>
        <rFont val="Calibri"/>
        <family val="2"/>
      </rPr>
      <t xml:space="preserve">*** SHIP 5/30 ***
</t>
    </r>
    <r>
      <rPr>
        <b/>
        <sz val="11"/>
        <color rgb="FF000000"/>
        <rFont val="Calibri"/>
        <family val="2"/>
      </rPr>
      <t xml:space="preserve">CLASS 3
LEAD WASH
TAG ANY BOARDS WITH ANY BTD OR DNI'S
</t>
    </r>
    <r>
      <rPr>
        <b/>
        <sz val="11"/>
        <color rgb="FFFF0000"/>
        <rFont val="Calibri"/>
        <family val="2"/>
      </rPr>
      <t>*** DO NOT SHIP TOO EARLY - CHK W/ TAD</t>
    </r>
  </si>
  <si>
    <t>5/5 - 11:00
5/5 - 2:30
5/7 - 9:30</t>
  </si>
  <si>
    <t>5/7 - 1:30
5/8 - pause 11:00
5/12 - 7:00</t>
  </si>
  <si>
    <t>5/12 - 9:30</t>
  </si>
  <si>
    <t>DOC REL 4/24</t>
  </si>
  <si>
    <r>
      <t xml:space="preserve">clear
</t>
    </r>
    <r>
      <rPr>
        <b/>
        <strike/>
        <sz val="11"/>
        <color rgb="FF000000"/>
        <rFont val="Calibri"/>
        <family val="2"/>
      </rPr>
      <t>SHORT, NO ETA 5/22</t>
    </r>
  </si>
  <si>
    <t>5/15 - kit clear
5/9 - MATERIAL CLEAR</t>
  </si>
  <si>
    <t>132110
NEW</t>
  </si>
  <si>
    <r>
      <rPr>
        <b/>
        <u/>
        <sz val="11"/>
        <color rgb="FFFF0000"/>
        <rFont val="Calibri"/>
        <family val="2"/>
      </rPr>
      <t xml:space="preserve">ship to SNA
</t>
    </r>
    <r>
      <rPr>
        <b/>
        <sz val="11"/>
        <color rgb="FF000000"/>
        <rFont val="Calibri"/>
        <family val="2"/>
      </rPr>
      <t>*** do not ship w/ B133114 ***
LEAD FREE WASH
NO ECO</t>
    </r>
  </si>
  <si>
    <t>5/16 - 10:30</t>
  </si>
  <si>
    <t>5/16 - 11:30</t>
  </si>
  <si>
    <t>5/9</t>
  </si>
  <si>
    <r>
      <t xml:space="preserve">clear
</t>
    </r>
    <r>
      <rPr>
        <b/>
        <strike/>
        <sz val="11"/>
        <color rgb="FF000000"/>
        <rFont val="Calibri"/>
        <family val="2"/>
      </rPr>
      <t>clear 7 of 8
5/23 - due
SHORT, NO ETA</t>
    </r>
  </si>
  <si>
    <r>
      <t xml:space="preserve">5/22 - kit clear
5/2 - </t>
    </r>
    <r>
      <rPr>
        <b/>
        <strike/>
        <sz val="11"/>
        <color rgb="FF000000"/>
        <rFont val="Calibri"/>
        <family val="2"/>
      </rPr>
      <t>D9 (SMT) WAIT FOR CONFIRM</t>
    </r>
  </si>
  <si>
    <t>132260
ROWC 130022</t>
  </si>
  <si>
    <t>total qty changed to 7
DEPANEL</t>
  </si>
  <si>
    <t>5/22 - 7:30</t>
  </si>
  <si>
    <t>5/22 - 10:30</t>
  </si>
  <si>
    <t>5/23 - 9:30</t>
  </si>
  <si>
    <t xml:space="preserve">National Geographic
</t>
  </si>
  <si>
    <t>DOC REL 4/9</t>
  </si>
  <si>
    <t>LED part change
uploaded</t>
  </si>
  <si>
    <t>5/20 - kit clear</t>
  </si>
  <si>
    <t>133149
RONC 131633</t>
  </si>
  <si>
    <r>
      <rPr>
        <b/>
        <sz val="11"/>
        <color rgb="FF000000"/>
        <rFont val="Calibri"/>
        <family val="2"/>
      </rPr>
      <t xml:space="preserve">"SW1, 2, 3, 4, 5, 6, 7" AFTER WASH
</t>
    </r>
    <r>
      <rPr>
        <b/>
        <u/>
        <sz val="11"/>
        <color rgb="FF000000"/>
        <rFont val="Calibri"/>
        <family val="2"/>
      </rPr>
      <t>"J6" DO NOT INSTALL HARDWARE</t>
    </r>
    <r>
      <rPr>
        <b/>
        <sz val="11"/>
        <color rgb="FF000000"/>
        <rFont val="Calibri"/>
        <family val="2"/>
      </rPr>
      <t xml:space="preserve"> PER ECO</t>
    </r>
  </si>
  <si>
    <t>5/22 - 11:00</t>
  </si>
  <si>
    <t>5/20</t>
  </si>
  <si>
    <t>expected DFM issue</t>
  </si>
  <si>
    <r>
      <rPr>
        <b/>
        <strike/>
        <sz val="11"/>
        <color rgb="FF000000"/>
        <rFont val="Calibri"/>
        <family val="2"/>
      </rPr>
      <t>SHORT PCB, NO</t>
    </r>
    <r>
      <rPr>
        <b/>
        <sz val="11"/>
        <color rgb="FF000000"/>
        <rFont val="Calibri"/>
        <family val="2"/>
      </rPr>
      <t xml:space="preserve"> E</t>
    </r>
    <r>
      <rPr>
        <b/>
        <strike/>
        <sz val="11"/>
        <color rgb="FF000000"/>
        <rFont val="Calibri"/>
        <family val="2"/>
      </rPr>
      <t>TA 5/6</t>
    </r>
  </si>
  <si>
    <r>
      <t>5/7 - U3 skippable (top side);</t>
    </r>
    <r>
      <rPr>
        <b/>
        <strike/>
        <sz val="11"/>
        <color rgb="FF000000"/>
        <rFont val="Calibri"/>
        <family val="2"/>
      </rPr>
      <t xml:space="preserve"> Y4 awt part conf
12/20 - SHORT 30 (SMT) ITEMS, 10 (THT) ITEMS WITH NO ETA 5/6</t>
    </r>
  </si>
  <si>
    <t>5/8 - 2min per board (bot); SMT BOT done
5/7 - ok to run bottom; awt part conf Y4 before top</t>
  </si>
  <si>
    <t>130246
NEW</t>
  </si>
  <si>
    <t>LEAD-FREE WASH PROCESS
INSTALL "P5 P6 P9 P10" PER ECO 4
MECH ASSY REQUIRED (FIBER OPTICS PLUGS &amp; MAYBE SCREWS)</t>
  </si>
  <si>
    <t>5/8 - 7:30</t>
  </si>
  <si>
    <t>5/8 - pause 1:00
5/9 - 11:00</t>
  </si>
  <si>
    <t>5/12 - 1:00</t>
  </si>
  <si>
    <t xml:space="preserve">GL Communications
</t>
  </si>
  <si>
    <t>12/20</t>
  </si>
  <si>
    <t>5/21 - kit clear
5/16 - matl clear</t>
  </si>
  <si>
    <t>132917
ROWC 128122</t>
  </si>
  <si>
    <t>5/27 - 10:30</t>
  </si>
  <si>
    <t>5/27 - 11:30</t>
  </si>
  <si>
    <t>5/27 - 12:30</t>
  </si>
  <si>
    <t>SHORT, NO ETA</t>
  </si>
  <si>
    <r>
      <t xml:space="preserve">5/14 - kit clear
</t>
    </r>
    <r>
      <rPr>
        <b/>
        <strike/>
        <sz val="11"/>
        <color rgb="FF000000"/>
        <rFont val="Calibri"/>
        <family val="2"/>
      </rPr>
      <t>5/2 - C5, D3, U2, U4, R4, R29, and R14 (SMT) WITH NO ETA</t>
    </r>
  </si>
  <si>
    <t>5/13 - PICK UP KIT @ SNA</t>
  </si>
  <si>
    <t>132605
RONC 130356</t>
  </si>
  <si>
    <t>NO CLEAN SOLDER REQUIRED
DEPANEL by routed
BOARDS MUST BE FREE &amp; CLEAN  OF DEBRIS/OILS ETC
CofC requirments (D102008 Rev A ...)</t>
  </si>
  <si>
    <t>5/16 - 8:00</t>
  </si>
  <si>
    <t>5/16 - 11:00</t>
  </si>
  <si>
    <t>DOC REL 4/30</t>
  </si>
  <si>
    <t>CofC requirement</t>
  </si>
  <si>
    <t>pcb rev change
uploaded</t>
  </si>
  <si>
    <t>5/21 - kit clear</t>
  </si>
  <si>
    <t>130994
NEW</t>
  </si>
  <si>
    <r>
      <rPr>
        <b/>
        <sz val="11"/>
        <color rgb="FF000000"/>
        <rFont val="Calibri"/>
        <family val="2"/>
      </rPr>
      <t xml:space="preserve">AS9102 FAIR
LEAD WASH
</t>
    </r>
    <r>
      <rPr>
        <b/>
        <sz val="12"/>
        <color rgb="FFFF0000"/>
        <rFont val="Calibri"/>
        <family val="2"/>
      </rPr>
      <t xml:space="preserve">*** USE SN62 OR SN 63
</t>
    </r>
    <r>
      <rPr>
        <b/>
        <sz val="11"/>
        <color rgb="FF000000"/>
        <rFont val="Calibri"/>
        <family val="2"/>
      </rPr>
      <t xml:space="preserve">waive ASSY note #8 
install together: T100 (LB37), CS4 (1135752), M2 (50-03-452), CS6 (RTV162-85ML) </t>
    </r>
    <r>
      <rPr>
        <b/>
        <u/>
        <sz val="11"/>
        <color rgb="FF000000"/>
        <rFont val="Calibri"/>
        <family val="2"/>
      </rPr>
      <t xml:space="preserve">[RTV &amp; tape] -see drawing
</t>
    </r>
    <r>
      <rPr>
        <b/>
        <sz val="11"/>
        <color rgb="FF000000"/>
        <rFont val="Calibri"/>
        <family val="2"/>
      </rPr>
      <t>*** TRIM leadS: 0.03 inch MAX
SHIPPING: care when packing</t>
    </r>
  </si>
  <si>
    <t>5/27 - 6:00</t>
  </si>
  <si>
    <t>5/27 - 8:00</t>
  </si>
  <si>
    <t>5/27 - 12:00</t>
  </si>
  <si>
    <t xml:space="preserve">Chelton Avionics, Inc.
</t>
  </si>
  <si>
    <t>barcode label on ESD bag</t>
  </si>
  <si>
    <r>
      <t xml:space="preserve">clear
</t>
    </r>
    <r>
      <rPr>
        <b/>
        <strike/>
        <sz val="11"/>
        <color rgb="FF000000"/>
        <rFont val="Calibri"/>
        <family val="2"/>
      </rPr>
      <t>5/20 - pcb due</t>
    </r>
  </si>
  <si>
    <r>
      <rPr>
        <b/>
        <sz val="11"/>
        <color rgb="FF000000"/>
        <rFont val="Calibri"/>
        <family val="2"/>
      </rPr>
      <t xml:space="preserve">5/29/2025 Split Shipment added FYI  5/21 - kit clear
</t>
    </r>
    <r>
      <rPr>
        <b/>
        <strike/>
        <sz val="11"/>
        <color rgb="FF000000"/>
        <rFont val="Calibri"/>
        <family val="2"/>
      </rPr>
      <t xml:space="preserve">5/20 - "R909" due 5/21
</t>
    </r>
    <r>
      <rPr>
        <b/>
        <sz val="11"/>
        <color rgb="FF000000"/>
        <rFont val="Calibri"/>
        <family val="2"/>
      </rPr>
      <t>5/14 - s</t>
    </r>
    <r>
      <rPr>
        <b/>
        <strike/>
        <sz val="11"/>
        <color rgb="FF000000"/>
        <rFont val="Calibri"/>
        <family val="2"/>
      </rPr>
      <t>hort THT #49 (J800) NO ETA</t>
    </r>
  </si>
  <si>
    <t>132999
NEW</t>
  </si>
  <si>
    <r>
      <rPr>
        <b/>
        <sz val="11"/>
        <color rgb="FF000000"/>
        <rFont val="Calibri"/>
        <family val="2"/>
      </rPr>
      <t xml:space="preserve">"J101, J102" </t>
    </r>
    <r>
      <rPr>
        <b/>
        <strike/>
        <sz val="11"/>
        <color rgb="FF000000"/>
        <rFont val="Calibri"/>
        <family val="2"/>
      </rPr>
      <t xml:space="preserve">IS MIX POP - </t>
    </r>
    <r>
      <rPr>
        <b/>
        <sz val="11"/>
        <color rgb="FF000000"/>
        <rFont val="Calibri"/>
        <family val="2"/>
      </rPr>
      <t>USE UP 1456527 FIRST</t>
    </r>
    <r>
      <rPr>
        <b/>
        <strike/>
        <sz val="11"/>
        <color rgb="FF000000"/>
        <rFont val="Calibri"/>
        <family val="2"/>
      </rPr>
      <t>, THEN USE</t>
    </r>
    <r>
      <rPr>
        <b/>
        <strike/>
        <u/>
        <sz val="11"/>
        <color rgb="FF000000"/>
        <rFont val="Calibri"/>
        <family val="2"/>
      </rPr>
      <t xml:space="preserve"> only 18 pieces of </t>
    </r>
    <r>
      <rPr>
        <b/>
        <strike/>
        <sz val="11"/>
        <color rgb="FF000000"/>
        <rFont val="Calibri"/>
        <family val="2"/>
      </rPr>
      <t>1441875</t>
    </r>
    <r>
      <rPr>
        <b/>
        <sz val="11"/>
        <color rgb="FF000000"/>
        <rFont val="Calibri"/>
        <family val="2"/>
      </rPr>
      <t xml:space="preserve"> (use all 1456527 per Phuong email)
* "MP500_X MP500_Z" REQ NONCONDUSTIVE </t>
    </r>
    <r>
      <rPr>
        <b/>
        <u/>
        <sz val="11"/>
        <color rgb="FF000000"/>
        <rFont val="Calibri"/>
        <family val="2"/>
      </rPr>
      <t>THERMAL EPOXY</t>
    </r>
    <r>
      <rPr>
        <b/>
        <sz val="11"/>
        <color rgb="FF000000"/>
        <rFont val="Calibri"/>
        <family val="2"/>
      </rPr>
      <t xml:space="preserve"> (MG Chemicals 8329TCM or equivalent)
</t>
    </r>
    <r>
      <rPr>
        <b/>
        <u/>
        <sz val="11"/>
        <color rgb="FF000000"/>
        <rFont val="Calibri"/>
        <family val="2"/>
      </rPr>
      <t>shipping: nuts &amp; washers installed</t>
    </r>
  </si>
  <si>
    <t>5/21 - 8:00</t>
  </si>
  <si>
    <t>5/21 - 10:30</t>
  </si>
  <si>
    <t>install HEATSINK</t>
  </si>
  <si>
    <t>DOC REL 5/12</t>
  </si>
  <si>
    <t>parts packaging requirement</t>
  </si>
  <si>
    <r>
      <t xml:space="preserve">clear
</t>
    </r>
    <r>
      <rPr>
        <b/>
        <strike/>
        <sz val="11"/>
        <color rgb="FF000000"/>
        <rFont val="Calibri"/>
        <family val="2"/>
      </rPr>
      <t>5/26 - pcb due</t>
    </r>
  </si>
  <si>
    <r>
      <t>5/21 - kit clear
5/12 - matl clear
5/8 - S</t>
    </r>
    <r>
      <rPr>
        <b/>
        <strike/>
        <sz val="11"/>
        <color rgb="FF000000"/>
        <rFont val="Calibri"/>
        <family val="2"/>
      </rPr>
      <t>HORT SMT L3 (NO ETA); AWT PART CONF: SMT D41, U3, L5 &amp; J4</t>
    </r>
  </si>
  <si>
    <t>5/22 - SMT bot done</t>
  </si>
  <si>
    <t>132313
NEW</t>
  </si>
  <si>
    <r>
      <rPr>
        <b/>
        <sz val="11"/>
        <color rgb="FF000000"/>
        <rFont val="Calibri"/>
        <family val="2"/>
      </rPr>
      <t xml:space="preserve">AS9100
</t>
    </r>
    <r>
      <rPr>
        <b/>
        <sz val="12"/>
        <color rgb="FFFF0000"/>
        <rFont val="Calibri"/>
        <family val="2"/>
      </rPr>
      <t xml:space="preserve">"D1, D27, D28, D32" IS A REVERSE POLARITY PART - SEE ECO #3
</t>
    </r>
    <r>
      <rPr>
        <b/>
        <sz val="11"/>
        <color rgb="FF000000"/>
        <rFont val="Calibri"/>
        <family val="2"/>
      </rPr>
      <t>"SW1 x 7" AFTER WASH
DO NOT SKIP AOI
DEPANEL &amp; SAND
AS9102 FAIR REQUIRED</t>
    </r>
  </si>
  <si>
    <t>5/22 - 8:30</t>
  </si>
  <si>
    <t>5/23 - 8:00</t>
  </si>
  <si>
    <t>5/8</t>
  </si>
  <si>
    <r>
      <rPr>
        <b/>
        <sz val="11"/>
        <color rgb="FF000000"/>
        <rFont val="Calibri"/>
        <family val="2"/>
      </rPr>
      <t xml:space="preserve">5/7 - KIT CLEAR
5/7 -  </t>
    </r>
    <r>
      <rPr>
        <b/>
        <strike/>
        <sz val="11"/>
        <color rgb="FF000000"/>
        <rFont val="Calibri"/>
        <family val="2"/>
      </rPr>
      <t xml:space="preserve">AWT PART CONF: #15 (D6,D7), #17 (U17), #23 (U9) &amp; #69 (Q1,Q2) </t>
    </r>
  </si>
  <si>
    <t>132841
RONC 128162</t>
  </si>
  <si>
    <t>TRUE NO CLEAN BUILD
"J3, J4" SOLDER PER ECO #1</t>
  </si>
  <si>
    <t>5/9 - 1:00</t>
  </si>
  <si>
    <t xml:space="preserve">Protocol Insight LLC.
</t>
  </si>
  <si>
    <t>DOC REL 5/5</t>
  </si>
  <si>
    <t>5/7</t>
  </si>
  <si>
    <t>depanel top? p1,p2 (SMT)</t>
  </si>
  <si>
    <t>132582
NEW</t>
  </si>
  <si>
    <t>5/28h
5D</t>
  </si>
  <si>
    <t>FAIR REQUIRED
"T1" BTD &amp; AFTER WASH</t>
  </si>
  <si>
    <t>5/21 - 6:00</t>
  </si>
  <si>
    <t>UPS gnd</t>
  </si>
  <si>
    <r>
      <t xml:space="preserve">5/21 - kit clear
</t>
    </r>
    <r>
      <rPr>
        <b/>
        <strike/>
        <sz val="11"/>
        <color rgb="FF000000"/>
        <rFont val="Calibri"/>
        <family val="2"/>
      </rPr>
      <t>5/21 - awt part conf THT: #40 (SC1)</t>
    </r>
  </si>
  <si>
    <t>132584
NEW</t>
  </si>
  <si>
    <r>
      <rPr>
        <b/>
        <sz val="11"/>
        <color rgb="FFFF0000"/>
        <rFont val="Calibri"/>
        <family val="2"/>
      </rPr>
      <t xml:space="preserve">*** EXPEDITE MIN OF 30 5/28 ***
</t>
    </r>
    <r>
      <rPr>
        <b/>
        <sz val="11"/>
        <color rgb="FF000000"/>
        <rFont val="Calibri"/>
        <family val="2"/>
      </rPr>
      <t xml:space="preserve">"U14, U33" AFTER WASH
</t>
    </r>
    <r>
      <rPr>
        <b/>
        <u/>
        <sz val="11"/>
        <color rgb="FF000000"/>
        <rFont val="Calibri"/>
        <family val="2"/>
      </rPr>
      <t xml:space="preserve">"ST1x8, SC1x8" SEE ECO #4 FOR MOUNTING
</t>
    </r>
    <r>
      <rPr>
        <b/>
        <sz val="11"/>
        <color rgb="FF000000"/>
        <rFont val="Calibri"/>
        <family val="2"/>
      </rPr>
      <t>DEPANEL &amp; SAND
AS9102 FAIR REQ</t>
    </r>
  </si>
  <si>
    <t>5/23 - 7:00</t>
  </si>
  <si>
    <t>5/23 - 12:00</t>
  </si>
  <si>
    <t>DOC REL 5/7</t>
  </si>
  <si>
    <r>
      <rPr>
        <b/>
        <sz val="11"/>
        <color rgb="FF000000"/>
        <rFont val="Calibri"/>
        <family val="2"/>
      </rPr>
      <t xml:space="preserve">CLEAR
</t>
    </r>
    <r>
      <rPr>
        <b/>
        <strike/>
        <sz val="11"/>
        <color rgb="FF000000"/>
        <rFont val="Calibri"/>
        <family val="2"/>
      </rPr>
      <t>SHORT, ETA 5/15</t>
    </r>
  </si>
  <si>
    <r>
      <rPr>
        <b/>
        <sz val="11"/>
        <color rgb="FF000000"/>
        <rFont val="Calibri"/>
        <family val="2"/>
      </rPr>
      <t xml:space="preserve">4/28 - SHORT </t>
    </r>
    <r>
      <rPr>
        <b/>
        <strike/>
        <sz val="11"/>
        <color rgb="FF000000"/>
        <rFont val="Calibri"/>
        <family val="2"/>
      </rPr>
      <t xml:space="preserve">BAL OF C7 and </t>
    </r>
    <r>
      <rPr>
        <b/>
        <sz val="11"/>
        <color rgb="FF000000"/>
        <rFont val="Calibri"/>
        <family val="2"/>
      </rPr>
      <t xml:space="preserve">U2 WITH </t>
    </r>
    <r>
      <rPr>
        <b/>
        <strike/>
        <sz val="11"/>
        <color rgb="FF000000"/>
        <rFont val="Calibri"/>
        <family val="2"/>
      </rPr>
      <t xml:space="preserve">NO </t>
    </r>
    <r>
      <rPr>
        <b/>
        <sz val="11"/>
        <color rgb="FF000000"/>
        <rFont val="Calibri"/>
        <family val="2"/>
      </rPr>
      <t>ETA june</t>
    </r>
  </si>
  <si>
    <t>131995-1
PAR
ROWC 116507</t>
  </si>
  <si>
    <t>DEPANEL
NEED SER #S ON CofC PER ECO</t>
  </si>
  <si>
    <t>5/12 - 7:00</t>
  </si>
  <si>
    <t>complete
ECO label
s/n 0015 - 0050</t>
  </si>
  <si>
    <t>5/15 - KIT CLEAR</t>
  </si>
  <si>
    <t>127923
NEW</t>
  </si>
  <si>
    <t>DNI TP4
LEADED WASH
(sw1) - after wash</t>
  </si>
  <si>
    <t>5/16 - 1:00</t>
  </si>
  <si>
    <t>5/15</t>
  </si>
  <si>
    <r>
      <t xml:space="preserve">clear
</t>
    </r>
    <r>
      <rPr>
        <b/>
        <strike/>
        <sz val="11"/>
        <color rgb="FF000000"/>
        <rFont val="Calibri"/>
        <family val="2"/>
      </rPr>
      <t>5/19 - PCB DUE</t>
    </r>
  </si>
  <si>
    <t>5/19 - kit clear
5/14 - material clear</t>
  </si>
  <si>
    <t>133114
RONC
132110</t>
  </si>
  <si>
    <r>
      <rPr>
        <b/>
        <u/>
        <sz val="11"/>
        <color rgb="FFFF0000"/>
        <rFont val="Calibri"/>
        <family val="2"/>
      </rPr>
      <t xml:space="preserve">ship to Virginia
</t>
    </r>
    <r>
      <rPr>
        <b/>
        <sz val="11"/>
        <color rgb="FF000000"/>
        <rFont val="Calibri"/>
        <family val="2"/>
      </rPr>
      <t>*** do not ship w/ B133110 ***
DEPANEL</t>
    </r>
  </si>
  <si>
    <t>5/20 - 1:30</t>
  </si>
  <si>
    <t>5/21 - 7:00</t>
  </si>
  <si>
    <r>
      <t xml:space="preserve">CLEAR
</t>
    </r>
    <r>
      <rPr>
        <b/>
        <strike/>
        <sz val="11"/>
        <color rgb="FF000000"/>
        <rFont val="Calibri"/>
        <family val="2"/>
      </rPr>
      <t>5/16 - pcb due</t>
    </r>
  </si>
  <si>
    <t>5/12 - KIT CLEAR
5/8 - MATERIAL CLEAR</t>
  </si>
  <si>
    <t>5/8 - possible day turn change</t>
  </si>
  <si>
    <t>132310
NEW</t>
  </si>
  <si>
    <r>
      <rPr>
        <b/>
        <sz val="14"/>
        <color rgb="FFFF0000"/>
        <rFont val="Calibri"/>
        <family val="2"/>
      </rPr>
      <t xml:space="preserve">*** DO NOT SHIP EARLY ***
</t>
    </r>
    <r>
      <rPr>
        <b/>
        <sz val="11"/>
        <color rgb="FF000000"/>
        <rFont val="Calibri"/>
        <family val="2"/>
      </rPr>
      <t>AS9102 FAIR REQ
DO NOT SKIP AOI
DEPANEL &amp; SAND</t>
    </r>
  </si>
  <si>
    <t>5/14 - 10:00</t>
  </si>
  <si>
    <t>5/14 - 1:00</t>
  </si>
  <si>
    <t>DOC REL 5/8</t>
  </si>
  <si>
    <t>SHORT, ETA 5/6</t>
  </si>
  <si>
    <r>
      <rPr>
        <b/>
        <sz val="11"/>
        <color rgb="FF000000"/>
        <rFont val="Calibri"/>
        <family val="2"/>
      </rPr>
      <t xml:space="preserve">5/15 - kit clear
</t>
    </r>
    <r>
      <rPr>
        <b/>
        <strike/>
        <sz val="11"/>
        <color rgb="FF000000"/>
        <rFont val="Calibri"/>
        <family val="2"/>
      </rPr>
      <t xml:space="preserve">5/1 - SMT CLEAR
</t>
    </r>
    <r>
      <rPr>
        <b/>
        <sz val="11"/>
        <color rgb="FF000000"/>
        <rFont val="Calibri"/>
        <family val="2"/>
      </rPr>
      <t xml:space="preserve">4/14 - </t>
    </r>
    <r>
      <rPr>
        <b/>
        <strike/>
        <sz val="11"/>
        <color rgb="FF000000"/>
        <rFont val="Calibri"/>
        <family val="2"/>
      </rPr>
      <t xml:space="preserve">SHORT C1332, C1032 (SMT), C1344, TY1, </t>
    </r>
    <r>
      <rPr>
        <b/>
        <sz val="11"/>
        <color rgb="FF000000"/>
        <rFont val="Calibri"/>
        <family val="2"/>
      </rPr>
      <t>SH1 and SH2 (THT) WITH NO ETA.</t>
    </r>
  </si>
  <si>
    <r>
      <rPr>
        <b/>
        <sz val="11"/>
        <color rgb="FFFF0000"/>
        <rFont val="Calibri"/>
        <family val="2"/>
      </rPr>
      <t xml:space="preserve">5/15 - SHIP HOLD (OK TO FINISH BUT NOT SHIP)
</t>
    </r>
    <r>
      <rPr>
        <b/>
        <sz val="11"/>
        <color rgb="FF000000"/>
        <rFont val="Calibri"/>
        <family val="2"/>
      </rPr>
      <t>5/8 - YLW WIRE TO C794
5/8 - CEO#12 YELLOW WIRE CONNECTION ISSUE (SEE EMAIL)
5/6 - TOP COMPLETE</t>
    </r>
  </si>
  <si>
    <t>130695-FA
NEW</t>
  </si>
  <si>
    <r>
      <rPr>
        <b/>
        <sz val="11"/>
        <color rgb="FFFF0000"/>
        <rFont val="Calibri"/>
        <family val="2"/>
      </rPr>
      <t>*** 100% INSP REQ - BOARDS MUST</t>
    </r>
    <r>
      <rPr>
        <b/>
        <sz val="11"/>
        <color rgb="FF000000"/>
        <rFont val="Calibri"/>
        <family val="2"/>
      </rPr>
      <t xml:space="preserve"> BE PERFECT!!!
LEAD FREE WASH
</t>
    </r>
    <r>
      <rPr>
        <b/>
        <sz val="11"/>
        <color rgb="FFFF0000"/>
        <rFont val="Calibri"/>
        <family val="2"/>
      </rPr>
      <t xml:space="preserve">"L6 L10, L8 L9, L35 L59, L61" INSTALL UNIFORMLY (SAME DIRECTION)
</t>
    </r>
    <r>
      <rPr>
        <b/>
        <sz val="11"/>
        <color rgb="FF000000"/>
        <rFont val="Calibri"/>
        <family val="2"/>
      </rPr>
      <t xml:space="preserve">100% AOI REQ
</t>
    </r>
    <r>
      <rPr>
        <b/>
        <u/>
        <sz val="11"/>
        <color rgb="FF000000"/>
        <rFont val="Calibri"/>
        <family val="2"/>
      </rPr>
      <t xml:space="preserve">RTV REQ
</t>
    </r>
    <r>
      <rPr>
        <b/>
        <sz val="11"/>
        <color rgb="FF000000"/>
        <rFont val="Calibri"/>
        <family val="2"/>
      </rPr>
      <t xml:space="preserve">XRAY &amp; SACE IMAGES
"M37x93" SEE ECO FOR PLACEMENT
"C1341, 1342" SEE ECO FOR CABLE INSTALLATION
</t>
    </r>
    <r>
      <rPr>
        <b/>
        <u/>
        <sz val="11"/>
        <color rgb="FF000000"/>
        <rFont val="Calibri"/>
        <family val="2"/>
      </rPr>
      <t xml:space="preserve">"SH1, SH2 + TY1, TY2" INSTALL SHIELDS </t>
    </r>
    <r>
      <rPr>
        <b/>
        <sz val="11"/>
        <color rgb="FF000000"/>
        <rFont val="Calibri"/>
        <family val="2"/>
      </rPr>
      <t>PER ECO
DEPANEL</t>
    </r>
  </si>
  <si>
    <t>5/6 - top
9:00</t>
  </si>
  <si>
    <t>5/7 - 11:30</t>
  </si>
  <si>
    <t>SMT top side first</t>
  </si>
  <si>
    <t>CLEAR  FOR 3 F/A.
RECVD' 38, SHORT 8 pcb, NO ETA</t>
  </si>
  <si>
    <r>
      <rPr>
        <b/>
        <sz val="11"/>
        <color rgb="FF000000"/>
        <rFont val="Calibri"/>
        <family val="2"/>
      </rPr>
      <t xml:space="preserve">5/1 - KIT CLEAR FOR 3 F/A
</t>
    </r>
    <r>
      <rPr>
        <b/>
        <strike/>
        <sz val="11"/>
        <color rgb="FF000000"/>
        <rFont val="Calibri"/>
        <family val="2"/>
      </rPr>
      <t>4/14 - SHORT U33, U17, U30, and U1 (SMT) WITH NO ETA 4/30</t>
    </r>
  </si>
  <si>
    <t>5/2 - "U18" WRONG SIZE PART (SKIPPED)
4/29 - SKIP #35 (U30)
4/14 - SHIPPING HOLD PENDING APPROVAL - OK TO RUN BUT NOT SHIP W/O APPROVAL</t>
  </si>
  <si>
    <t>130016-FA
NEW</t>
  </si>
  <si>
    <r>
      <rPr>
        <b/>
        <sz val="12"/>
        <color rgb="FFFF0000"/>
        <rFont val="Calibri"/>
        <family val="2"/>
      </rPr>
      <t xml:space="preserve">*** 100% INSP REQ - BOARDS MUST BE PERFECT!!! - CANNOT BE LATE - SHIP EARLY W/O JEAPORDIZING QUALITY
</t>
    </r>
    <r>
      <rPr>
        <b/>
        <u/>
        <sz val="11"/>
        <color rgb="FF000000"/>
        <rFont val="Calibri"/>
        <family val="2"/>
      </rPr>
      <t xml:space="preserve">"C580" INSTALL BY HAND PER ECO
</t>
    </r>
    <r>
      <rPr>
        <b/>
        <sz val="11"/>
        <color rgb="FF000000"/>
        <rFont val="Calibri"/>
        <family val="2"/>
      </rPr>
      <t>DISREGARD REWORK INSTRUCTIONS PER ECO #6
DEPANEL
PACKAGE W/ EXTRA CARE</t>
    </r>
  </si>
  <si>
    <t>5/2 - 7:00</t>
  </si>
  <si>
    <t>5/2 - 8:30</t>
  </si>
  <si>
    <t>5/2 - 11:00</t>
  </si>
  <si>
    <t>DOC REL 4/11</t>
  </si>
  <si>
    <r>
      <t xml:space="preserve">clear
</t>
    </r>
    <r>
      <rPr>
        <b/>
        <strike/>
        <sz val="11"/>
        <color rgb="FF000000"/>
        <rFont val="Calibri"/>
        <family val="2"/>
      </rPr>
      <t>5/15 - out for delivery
SHORT, NO ETA 5/15 5/12</t>
    </r>
  </si>
  <si>
    <t>5/16 - kit clear
4/29 - MATERIALs CLEAR</t>
  </si>
  <si>
    <r>
      <rPr>
        <b/>
        <sz val="11"/>
        <color rgb="FF000000"/>
        <rFont val="Calibri"/>
        <family val="2"/>
      </rPr>
      <t xml:space="preserve">5/20 - shipped 20 on 5/21
</t>
    </r>
    <r>
      <rPr>
        <b/>
        <strike/>
        <sz val="11"/>
        <color rgb="FF000000"/>
        <rFont val="Calibri"/>
        <family val="2"/>
      </rPr>
      <t>5/6 - EXPEDITE QTY 20 ON 2 DAY TURN</t>
    </r>
  </si>
  <si>
    <t>132698-2
bal
NEW</t>
  </si>
  <si>
    <t>5/23
5D</t>
  </si>
  <si>
    <r>
      <rPr>
        <b/>
        <sz val="12"/>
        <color rgb="FF000000"/>
        <rFont val="Calibri"/>
        <family val="2"/>
      </rPr>
      <t xml:space="preserve">shipped 20 OF 220 ON 5/21
</t>
    </r>
    <r>
      <rPr>
        <b/>
        <sz val="12"/>
        <color rgb="FFFF0000"/>
        <rFont val="Calibri"/>
        <family val="2"/>
      </rPr>
      <t xml:space="preserve">*** </t>
    </r>
    <r>
      <rPr>
        <b/>
        <u/>
        <sz val="12"/>
        <color rgb="FFFF0000"/>
        <rFont val="Calibri"/>
        <family val="2"/>
      </rPr>
      <t xml:space="preserve">OVERAGE PCB QTY 30 - SHIP TO CUST UPON RECEIPT ***
</t>
    </r>
    <r>
      <rPr>
        <b/>
        <sz val="12"/>
        <color rgb="FF000000"/>
        <rFont val="Calibri"/>
        <family val="2"/>
      </rPr>
      <t>NO CLEAN BUILD
DEPANEL
CofC &amp; PACK SLIP MUST HAVE EXACT INFO PER ECO
SHIP EXCESS MATL W/ ASSY'S</t>
    </r>
  </si>
  <si>
    <t>5/19 - 9:00</t>
  </si>
  <si>
    <t>5/19 - 2:00</t>
  </si>
  <si>
    <t>AED</t>
  </si>
  <si>
    <t>DOC REL
4/29</t>
  </si>
  <si>
    <r>
      <t xml:space="preserve">clear
</t>
    </r>
    <r>
      <rPr>
        <b/>
        <strike/>
        <sz val="11"/>
        <color rgb="FF000000"/>
        <rFont val="Calibri"/>
        <family val="2"/>
      </rPr>
      <t>SHORT, NO ETA 5/13
5/15</t>
    </r>
  </si>
  <si>
    <r>
      <t xml:space="preserve">5/15 - kit clear
</t>
    </r>
    <r>
      <rPr>
        <b/>
        <strike/>
        <sz val="11"/>
        <color rgb="FF000000"/>
        <rFont val="Calibri"/>
        <family val="2"/>
      </rPr>
      <t>5/2 - MATERIAL CLEAR</t>
    </r>
  </si>
  <si>
    <r>
      <rPr>
        <b/>
        <sz val="11"/>
        <color rgb="FF000000"/>
        <rFont val="Calibri"/>
        <family val="2"/>
      </rPr>
      <t xml:space="preserve">5/19 - </t>
    </r>
    <r>
      <rPr>
        <b/>
        <sz val="11"/>
        <color rgb="FFFF0000"/>
        <rFont val="Calibri"/>
        <family val="2"/>
      </rPr>
      <t>"P1-P8" PCB THT holes undersized</t>
    </r>
  </si>
  <si>
    <t>132102
NEW</t>
  </si>
  <si>
    <r>
      <rPr>
        <b/>
        <sz val="14"/>
        <color rgb="FF000000"/>
        <rFont val="Calibri"/>
        <family val="2"/>
      </rPr>
      <t xml:space="preserve">5/23
</t>
    </r>
    <r>
      <rPr>
        <b/>
        <strike/>
        <sz val="14"/>
        <color rgb="FF000000"/>
        <rFont val="Calibri"/>
        <family val="2"/>
      </rPr>
      <t xml:space="preserve">5/22
</t>
    </r>
    <r>
      <rPr>
        <b/>
        <sz val="14"/>
        <color rgb="FF000000"/>
        <rFont val="Calibri"/>
        <family val="2"/>
      </rPr>
      <t>5D</t>
    </r>
  </si>
  <si>
    <r>
      <rPr>
        <b/>
        <sz val="11"/>
        <color rgb="FF000000"/>
        <rFont val="Calibri"/>
        <family val="2"/>
      </rPr>
      <t xml:space="preserve">CLASS 3
LEAD FREE WASH
</t>
    </r>
    <r>
      <rPr>
        <b/>
        <sz val="11"/>
        <color rgb="FF782170"/>
        <rFont val="Calibri"/>
        <family val="2"/>
      </rPr>
      <t>DNI &amp; SHIP #8 (P1-P8) w/ boards</t>
    </r>
  </si>
  <si>
    <t>5/16 - 9:00</t>
  </si>
  <si>
    <t>5/16 - 12:30</t>
  </si>
  <si>
    <t xml:space="preserve">Crane Aerospace
</t>
  </si>
  <si>
    <t>SHORT, ETA 4/29</t>
  </si>
  <si>
    <r>
      <rPr>
        <b/>
        <sz val="11"/>
        <color rgb="FF000000"/>
        <rFont val="Calibri"/>
        <family val="2"/>
      </rPr>
      <t xml:space="preserve">5/9 - KIT CLEAR
</t>
    </r>
    <r>
      <rPr>
        <b/>
        <strike/>
        <sz val="11"/>
        <color rgb="FF000000"/>
        <rFont val="Calibri"/>
        <family val="2"/>
      </rPr>
      <t>4/18 - SHORT U301, U602, U601, L214, L209, and L208 (SMT) WITH NO ETA</t>
    </r>
  </si>
  <si>
    <t>5/13 - FA SMT TOP COMP
4/28 - smt bot comp
4/24 - OK TO RUN BOT ONLY -  SMT SHORTAGES ALL TOP SIDE</t>
  </si>
  <si>
    <t>132496
ROWC 128513</t>
  </si>
  <si>
    <t>5/23
10D</t>
  </si>
  <si>
    <t>4/28 - 10:00
4/28 - BOT DONE 12:00</t>
  </si>
  <si>
    <t>5/13 - 9:00
5/13 -
PAUSE 11:00
5/14 - 6:00</t>
  </si>
  <si>
    <t>DOC REL 4/17</t>
  </si>
  <si>
    <t>4/18</t>
  </si>
  <si>
    <t>TOP SIDE 3X RUNTIME</t>
  </si>
  <si>
    <t>DNI S302, S401, S404 &amp; S805
P/N change
uploaded</t>
  </si>
  <si>
    <r>
      <rPr>
        <b/>
        <sz val="11"/>
        <color rgb="FF000000"/>
        <rFont val="Calibri"/>
        <family val="2"/>
      </rPr>
      <t xml:space="preserve">CLEAR
</t>
    </r>
    <r>
      <rPr>
        <b/>
        <strike/>
        <sz val="11"/>
        <color rgb="FF000000"/>
        <rFont val="Calibri"/>
        <family val="2"/>
      </rPr>
      <t xml:space="preserve">SHORT 45 DUE </t>
    </r>
    <r>
      <rPr>
        <b/>
        <strike/>
        <u/>
        <sz val="11"/>
        <color rgb="FF000000"/>
        <rFont val="Calibri"/>
        <family val="2"/>
      </rPr>
      <t xml:space="preserve">after </t>
    </r>
    <r>
      <rPr>
        <b/>
        <strike/>
        <sz val="11"/>
        <color rgb="FF000000"/>
        <rFont val="Calibri"/>
        <family val="2"/>
      </rPr>
      <t>5/9</t>
    </r>
    <r>
      <rPr>
        <b/>
        <sz val="11"/>
        <color rgb="FF000000"/>
        <rFont val="Calibri"/>
        <family val="2"/>
      </rPr>
      <t xml:space="preserve">, </t>
    </r>
    <r>
      <rPr>
        <b/>
        <strike/>
        <sz val="11"/>
        <color rgb="FF000000"/>
        <rFont val="Calibri"/>
        <family val="2"/>
      </rPr>
      <t>PARTIAL ARRV 5/5 5/12 or 5/13</t>
    </r>
  </si>
  <si>
    <r>
      <rPr>
        <b/>
        <sz val="11"/>
        <color rgb="FF000000"/>
        <rFont val="Calibri"/>
        <family val="2"/>
      </rPr>
      <t>5/12 - KIT CLEAR
5/5 -</t>
    </r>
    <r>
      <rPr>
        <b/>
        <strike/>
        <sz val="11"/>
        <color rgb="FF000000"/>
        <rFont val="Calibri"/>
        <family val="2"/>
      </rPr>
      <t xml:space="preserve"> AWT PART CONF: U1 &amp; U6
5/2 - SHORT 32 (SMT) ITEMS, EXPT TO ARRV 5/5</t>
    </r>
  </si>
  <si>
    <r>
      <t xml:space="preserve">5/7 - smt comp 50 of 95
</t>
    </r>
    <r>
      <rPr>
        <b/>
        <strike/>
        <sz val="11"/>
        <color rgb="FF000000"/>
        <rFont val="Calibri"/>
        <family val="2"/>
      </rPr>
      <t xml:space="preserve">5/6 - ON HOLD
</t>
    </r>
    <r>
      <rPr>
        <b/>
        <sz val="11"/>
        <color rgb="FF000000"/>
        <rFont val="Calibri"/>
        <family val="2"/>
      </rPr>
      <t>5/6 - OK TO RUN PARTIAL QTY 50 &amp; HOLD S/U FOR BAL</t>
    </r>
  </si>
  <si>
    <t>132663-2
bal
RONC 129215</t>
  </si>
  <si>
    <t>SHIP WITH B132662 1ST BATCH
LEAD FREE WASH
XRAY &amp; SAVE IMAGES
DEPANEL &amp; SAND - SMOOTH EDGES REQUIRED
SEE ECO #5 FOR LABELING
(last few builds use Alta Label -- see photos of prev build)
* clean excess matl part bags before returning to the customer</t>
  </si>
  <si>
    <t>5/13 - 6:00</t>
  </si>
  <si>
    <t>5/13 - 10:00</t>
  </si>
  <si>
    <t xml:space="preserve">X-Microwave - A Quantic Company
</t>
  </si>
  <si>
    <t>label ESD bag &amp; bubble wrap of board with bubbling issue</t>
  </si>
  <si>
    <t>cleaned excess material parts bags</t>
  </si>
  <si>
    <r>
      <rPr>
        <b/>
        <strike/>
        <sz val="11"/>
        <color rgb="FF000000"/>
        <rFont val="Calibri"/>
        <family val="2"/>
      </rPr>
      <t>SHORT 45 DUE after 5/9,</t>
    </r>
    <r>
      <rPr>
        <b/>
        <sz val="11"/>
        <color rgb="FF000000"/>
        <rFont val="Calibri"/>
        <family val="2"/>
      </rPr>
      <t xml:space="preserve"> PARTIAL ARRV 5/5</t>
    </r>
  </si>
  <si>
    <r>
      <rPr>
        <b/>
        <sz val="11"/>
        <color rgb="FF000000"/>
        <rFont val="Calibri"/>
        <family val="2"/>
      </rPr>
      <t>5/7 - CLEARED FOR PARTIAL (50 OF 95)
5/5 -</t>
    </r>
    <r>
      <rPr>
        <b/>
        <strike/>
        <sz val="11"/>
        <color rgb="FF000000"/>
        <rFont val="Calibri"/>
        <family val="2"/>
      </rPr>
      <t xml:space="preserve"> AWT PART CONF: U1 &amp; U6
5/2 - SHORT 32 (SMT) ITEMS, EXPT TO ARRV 5/5</t>
    </r>
  </si>
  <si>
    <t>132663-1
par
RONC 129215</t>
  </si>
  <si>
    <t>5/21
10D</t>
  </si>
  <si>
    <r>
      <rPr>
        <b/>
        <sz val="11"/>
        <color rgb="FF000000"/>
        <rFont val="Calibri"/>
        <family val="2"/>
      </rPr>
      <t>DO NOT SHIP EARLIER THAN 5/21
LEAD FREE WASH
XRAY &amp; SAVE IMAGES
DEPANEL &amp; SAND - SMOOTH EDGES REQUIRED
SEE ECO #5 FOR LABELING
(last few builds use Alta Label -- see photos of prev build)
*</t>
    </r>
    <r>
      <rPr>
        <b/>
        <sz val="11"/>
        <color rgb="FFFF0000"/>
        <rFont val="Calibri"/>
        <family val="2"/>
      </rPr>
      <t xml:space="preserve"> clean excess matl part bags before returning to the customer</t>
    </r>
  </si>
  <si>
    <t>5/7 - 6:00</t>
  </si>
  <si>
    <t>5/7 - 12:00</t>
  </si>
  <si>
    <t>complete
alta standard per previous builds</t>
  </si>
  <si>
    <t>5/21 - long long board cause increase in depanel time
5/6 - EXPEDITE QTY 20 ON 2 DAY TURN</t>
  </si>
  <si>
    <t>132698-1
par
NEW</t>
  </si>
  <si>
    <r>
      <rPr>
        <b/>
        <sz val="14"/>
        <color rgb="FF000000"/>
        <rFont val="Calibri"/>
        <family val="2"/>
      </rPr>
      <t xml:space="preserve">5/21
</t>
    </r>
    <r>
      <rPr>
        <b/>
        <sz val="14"/>
        <color rgb="FFFF0000"/>
        <rFont val="Calibri"/>
        <family val="2"/>
      </rPr>
      <t>2D</t>
    </r>
  </si>
  <si>
    <r>
      <rPr>
        <b/>
        <sz val="12"/>
        <color rgb="FFFF0000"/>
        <rFont val="Calibri"/>
        <family val="2"/>
      </rPr>
      <t xml:space="preserve">** SHIP 20 OF 220 ON 5/21 ** *** </t>
    </r>
    <r>
      <rPr>
        <b/>
        <u/>
        <sz val="12"/>
        <color rgb="FFFF0000"/>
        <rFont val="Calibri"/>
        <family val="2"/>
      </rPr>
      <t xml:space="preserve">OVERAGE PCB QTY 30 - SHIP TO CUST UPON RECEIPT ***
</t>
    </r>
    <r>
      <rPr>
        <b/>
        <sz val="12"/>
        <color rgb="FF000000"/>
        <rFont val="Calibri"/>
        <family val="2"/>
      </rPr>
      <t>NO CLEAN BUILD
DEPANEL
CofC &amp; PACK SLIP MUST HAVE EXACT INFO PER ECO
SHIP EXCESS MATL W/ ASSY'S</t>
    </r>
  </si>
  <si>
    <t>5/19 - 11:30</t>
  </si>
  <si>
    <t>LONG LONG BOARDS -- DEPANEL ISSUE</t>
  </si>
  <si>
    <r>
      <t xml:space="preserve">clear
</t>
    </r>
    <r>
      <rPr>
        <b/>
        <strike/>
        <sz val="11"/>
        <color rgb="FF000000"/>
        <rFont val="Calibri"/>
        <family val="2"/>
      </rPr>
      <t>5/19 - pcb due</t>
    </r>
  </si>
  <si>
    <r>
      <t xml:space="preserve">5/19 - kit clear
</t>
    </r>
    <r>
      <rPr>
        <b/>
        <strike/>
        <sz val="11"/>
        <color rgb="FF000000"/>
        <rFont val="Calibri"/>
        <family val="2"/>
      </rPr>
      <t>5/16 - matl clear</t>
    </r>
  </si>
  <si>
    <t>5/21 - not enough mousebite/vscore for depanel</t>
  </si>
  <si>
    <t>133115
NEW</t>
  </si>
  <si>
    <t>NOT ENOUGH MOUSEBITE / VSCORE FOR DEPANEL</t>
  </si>
  <si>
    <t>DOC REL 5/15</t>
  </si>
  <si>
    <r>
      <t xml:space="preserve">clear
</t>
    </r>
    <r>
      <rPr>
        <b/>
        <strike/>
        <sz val="11"/>
        <color rgb="FF000000"/>
        <rFont val="Calibri"/>
        <family val="2"/>
      </rPr>
      <t>SHORT, NO ETA 5/15
5/19</t>
    </r>
  </si>
  <si>
    <r>
      <t xml:space="preserve">5/14  - kit clear
5/2 - MATERIAL CLEAR
</t>
    </r>
    <r>
      <rPr>
        <b/>
        <strike/>
        <sz val="11"/>
        <color rgb="FF000000"/>
        <rFont val="Calibri"/>
        <family val="2"/>
      </rPr>
      <t>5/1 - C47, and R18 (SMT) WITH NO ETA | D6 WAIT FOR CONFIRM</t>
    </r>
  </si>
  <si>
    <t>5/15 - smt qty 15 done</t>
  </si>
  <si>
    <t>132694
NEW</t>
  </si>
  <si>
    <t>5/21
5D</t>
  </si>
  <si>
    <r>
      <rPr>
        <b/>
        <sz val="11"/>
        <color rgb="FF000000"/>
        <rFont val="Calibri"/>
        <family val="2"/>
      </rPr>
      <t xml:space="preserve">LEAD FREE WASH
</t>
    </r>
    <r>
      <rPr>
        <b/>
        <sz val="12"/>
        <color rgb="FFFF0000"/>
        <rFont val="Calibri"/>
        <family val="2"/>
      </rPr>
      <t xml:space="preserve">*** "T1" AFTER WASH </t>
    </r>
    <r>
      <rPr>
        <b/>
        <u/>
        <sz val="12"/>
        <color rgb="FFFF0000"/>
        <rFont val="Calibri"/>
        <family val="2"/>
      </rPr>
      <t>(NEED TO REMOVE THE FLUX W/ ALCOHOL</t>
    </r>
    <r>
      <rPr>
        <b/>
        <sz val="12"/>
        <color rgb="FFFF0000"/>
        <rFont val="Calibri"/>
        <family val="2"/>
      </rPr>
      <t xml:space="preserve">)
</t>
    </r>
    <r>
      <rPr>
        <b/>
        <sz val="11"/>
        <color rgb="FF000000"/>
        <rFont val="Calibri"/>
        <family val="2"/>
      </rPr>
      <t>DEPANEL
PACK PARTS W/ EXTRA CARE</t>
    </r>
  </si>
  <si>
    <t>5/15 - 11:30</t>
  </si>
  <si>
    <t>5/15 - 1:00</t>
  </si>
  <si>
    <t>5/16 - 7:00</t>
  </si>
  <si>
    <t xml:space="preserve">Disney Worldwide Shared Service
</t>
  </si>
  <si>
    <t>5/1</t>
  </si>
  <si>
    <t>5/12 - KIT CLEAR</t>
  </si>
  <si>
    <t>132936
RONC 131415</t>
  </si>
  <si>
    <t>5/21
7D</t>
  </si>
  <si>
    <r>
      <rPr>
        <b/>
        <sz val="11"/>
        <color rgb="FF000000"/>
        <rFont val="Calibri"/>
        <family val="2"/>
      </rPr>
      <t xml:space="preserve">TRUE NO CLEAN BUILD
"J1" SOLDER BEFORE "SW11, 12, 15, 16"
</t>
    </r>
    <r>
      <rPr>
        <b/>
        <sz val="12"/>
        <color rgb="FFFF0000"/>
        <rFont val="Calibri"/>
        <family val="2"/>
      </rPr>
      <t xml:space="preserve">"SW1x18" &amp; "MH1x5"  20% FAILURE RATE IN THE PAST - ALIGNMENT PEGS MUST HAVE UPPER RESTING SURFACE TOUCHING THE PCB PER ECO #5
</t>
    </r>
    <r>
      <rPr>
        <b/>
        <sz val="11"/>
        <color rgb="FF000000"/>
        <rFont val="Calibri"/>
        <family val="2"/>
      </rPr>
      <t>ALL T/H MOUNT FLUSH TO PCB
shipping: prev build tapped foam to protect "J1"</t>
    </r>
  </si>
  <si>
    <t>5/14 - 7:30</t>
  </si>
  <si>
    <t>5/14 - 9:30</t>
  </si>
  <si>
    <t>5 bad boards from boardhouse</t>
  </si>
  <si>
    <r>
      <t xml:space="preserve">clear
</t>
    </r>
    <r>
      <rPr>
        <b/>
        <strike/>
        <sz val="11"/>
        <color rgb="FF000000"/>
        <rFont val="Calibri"/>
        <family val="2"/>
      </rPr>
      <t>5/15 - PCB DUE</t>
    </r>
  </si>
  <si>
    <r>
      <t xml:space="preserve">5/15 - kit clear
5/15 - </t>
    </r>
    <r>
      <rPr>
        <b/>
        <strike/>
        <sz val="11"/>
        <color rgb="FF000000"/>
        <rFont val="Calibri"/>
        <family val="2"/>
      </rPr>
      <t>short SMT #2 (C9) due</t>
    </r>
  </si>
  <si>
    <t>5/15 - day 1 (per cust)
5/14 - maybe ship early</t>
  </si>
  <si>
    <t>132529
NEW</t>
  </si>
  <si>
    <r>
      <rPr>
        <b/>
        <sz val="11"/>
        <color rgb="FFFF0000"/>
        <rFont val="Calibri"/>
        <family val="2"/>
      </rPr>
      <t xml:space="preserve">ship asap
</t>
    </r>
    <r>
      <rPr>
        <b/>
        <sz val="11"/>
        <color rgb="FF000000"/>
        <rFont val="Calibri"/>
        <family val="2"/>
      </rPr>
      <t>FAIR REQUIRED
"US1" &amp; "U7" AAFTER WASH
install together: DOUBL_TAPE + BATT (note: switch position before soldering)</t>
    </r>
  </si>
  <si>
    <t>5/15 - 2:00</t>
  </si>
  <si>
    <t>5/16 - 10:00</t>
  </si>
  <si>
    <t>SMT BOT #10 (US2) MAY OVERHANG AND REQUIRE FIXTURE/DEPANEL</t>
  </si>
  <si>
    <r>
      <t xml:space="preserve">clear
</t>
    </r>
    <r>
      <rPr>
        <b/>
        <strike/>
        <sz val="11"/>
        <color rgb="FF000000"/>
        <rFont val="Calibri"/>
        <family val="2"/>
      </rPr>
      <t>5/9 due</t>
    </r>
  </si>
  <si>
    <r>
      <t xml:space="preserve">5/9 - KIT CLEAR
</t>
    </r>
    <r>
      <rPr>
        <b/>
        <strike/>
        <sz val="11"/>
        <color rgb="FF000000"/>
        <rFont val="Calibri"/>
        <family val="2"/>
      </rPr>
      <t>5/9 - short U1 due</t>
    </r>
  </si>
  <si>
    <t>5/13 - SMT bot done</t>
  </si>
  <si>
    <t>132966
RONC 131758</t>
  </si>
  <si>
    <t>"U7" PLACE AS IS PER ECO
DEPANEL</t>
  </si>
  <si>
    <t>5/13 - 8:00
5/13 - pause 10:00</t>
  </si>
  <si>
    <t>5/13 - 1:00</t>
  </si>
  <si>
    <t>5/14 - 12:00</t>
  </si>
  <si>
    <r>
      <t xml:space="preserve">clear </t>
    </r>
    <r>
      <rPr>
        <b/>
        <strike/>
        <sz val="11"/>
        <color rgb="FF000000"/>
        <rFont val="Calibri"/>
        <family val="2"/>
      </rPr>
      <t>SHORT, NO ETA 5/9
new eta 5/12</t>
    </r>
  </si>
  <si>
    <r>
      <rPr>
        <b/>
        <sz val="11"/>
        <color rgb="FF000000"/>
        <rFont val="Calibri"/>
        <family val="2"/>
      </rPr>
      <t xml:space="preserve">5/14 - kit clear
4/29 - </t>
    </r>
    <r>
      <rPr>
        <b/>
        <strike/>
        <sz val="11"/>
        <color rgb="FF000000"/>
        <rFont val="Calibri"/>
        <family val="2"/>
      </rPr>
      <t>SHORT U5 (SMT) NO ETA 5/7 or 5/8</t>
    </r>
  </si>
  <si>
    <r>
      <rPr>
        <b/>
        <sz val="11"/>
        <color rgb="FF000000"/>
        <rFont val="Calibri"/>
        <family val="2"/>
      </rPr>
      <t xml:space="preserve">5/14 - SMT BOT QTY 50 DONE
</t>
    </r>
    <r>
      <rPr>
        <b/>
        <strike/>
        <sz val="11"/>
        <color rgb="FF000000"/>
        <rFont val="Calibri"/>
        <family val="2"/>
      </rPr>
      <t>5/6 - OK TO SKIP U5
5/6 - "U5" IS BOT SIDE &amp; SKIPABLE BUT CHK W/ TRINH ON SKIPPING QTY 75</t>
    </r>
  </si>
  <si>
    <t>132741
NEW</t>
  </si>
  <si>
    <r>
      <rPr>
        <b/>
        <sz val="14"/>
        <color rgb="FF000000"/>
        <rFont val="Calibri"/>
        <family val="2"/>
      </rPr>
      <t xml:space="preserve">5/19
</t>
    </r>
    <r>
      <rPr>
        <b/>
        <sz val="14"/>
        <color rgb="FFFF0000"/>
        <rFont val="Calibri"/>
        <family val="2"/>
      </rPr>
      <t>3D</t>
    </r>
  </si>
  <si>
    <t>CLASS 2
LEAD WASH
"HW1x8" SEE ECO FOR MOUNTING</t>
  </si>
  <si>
    <t>5/14 - 9:00
5/14 - pause 10:00
5/14 - 1:00</t>
  </si>
  <si>
    <t>5/15 - 7:00</t>
  </si>
  <si>
    <t>5/15 - 12:00</t>
  </si>
  <si>
    <t xml:space="preserve">Raven Defense
</t>
  </si>
  <si>
    <r>
      <t xml:space="preserve">5/15 - kit clear
5/14 - </t>
    </r>
    <r>
      <rPr>
        <b/>
        <strike/>
        <sz val="11"/>
        <color rgb="FF000000"/>
        <rFont val="Calibri"/>
        <family val="2"/>
      </rPr>
      <t>short SMT #3 (D2) NO ETA</t>
    </r>
  </si>
  <si>
    <t>133034
NEW</t>
  </si>
  <si>
    <r>
      <rPr>
        <b/>
        <sz val="14"/>
        <color rgb="FF000000"/>
        <rFont val="Calibri"/>
        <family val="2"/>
      </rPr>
      <t xml:space="preserve">5/19
</t>
    </r>
    <r>
      <rPr>
        <b/>
        <sz val="14"/>
        <color rgb="FFFF0000"/>
        <rFont val="Calibri"/>
        <family val="2"/>
      </rPr>
      <t>2D</t>
    </r>
  </si>
  <si>
    <t>NO SOLDER ON TESTPOINT PADS PER ECO
"J4, J9" INSTALL PER ECO
DEPANEL</t>
  </si>
  <si>
    <t>5/16 - 6:30</t>
  </si>
  <si>
    <r>
      <rPr>
        <b/>
        <sz val="11"/>
        <color rgb="FF000000"/>
        <rFont val="Calibri"/>
        <family val="2"/>
      </rPr>
      <t xml:space="preserve">5/13 - kit clear
</t>
    </r>
    <r>
      <rPr>
        <b/>
        <strike/>
        <sz val="11"/>
        <color rgb="FF000000"/>
        <rFont val="Calibri"/>
        <family val="2"/>
      </rPr>
      <t>5/12- SHORT #5 (C3); WILL CLEAR VERY SOON (5/13)</t>
    </r>
  </si>
  <si>
    <t>5/13 - SMT QTY 40 DONE</t>
  </si>
  <si>
    <t>132845
NEW</t>
  </si>
  <si>
    <r>
      <rPr>
        <b/>
        <sz val="14"/>
        <color rgb="FF000000"/>
        <rFont val="Calibri"/>
        <family val="2"/>
      </rPr>
      <t xml:space="preserve">5/16
</t>
    </r>
    <r>
      <rPr>
        <b/>
        <sz val="14"/>
        <color rgb="FFFF0000"/>
        <rFont val="Calibri"/>
        <family val="2"/>
      </rPr>
      <t>3D</t>
    </r>
  </si>
  <si>
    <t>"R44, TP4" WIRE JUMPER REQUIRED PER ECO
DEPANEL</t>
  </si>
  <si>
    <t>5/13 - 11:00</t>
  </si>
  <si>
    <t>5/14 - 10:30</t>
  </si>
  <si>
    <t xml:space="preserve">Phenix Fiber Optics
</t>
  </si>
  <si>
    <t>JUMPER NOTES</t>
  </si>
  <si>
    <r>
      <rPr>
        <b/>
        <sz val="11"/>
        <color rgb="FF000000"/>
        <rFont val="Calibri"/>
        <family val="2"/>
      </rPr>
      <t xml:space="preserve">CLEAR
</t>
    </r>
    <r>
      <rPr>
        <b/>
        <strike/>
        <sz val="11"/>
        <color rgb="FF000000"/>
        <rFont val="Calibri"/>
        <family val="2"/>
      </rPr>
      <t>SHORT, NO ETA 5/8</t>
    </r>
  </si>
  <si>
    <r>
      <rPr>
        <b/>
        <sz val="11"/>
        <color rgb="FF000000"/>
        <rFont val="Calibri"/>
        <family val="2"/>
      </rPr>
      <t xml:space="preserve">5/8 - KIT CLEAR
4/30 - </t>
    </r>
    <r>
      <rPr>
        <b/>
        <strike/>
        <sz val="11"/>
        <color rgb="FF000000"/>
        <rFont val="Calibri"/>
        <family val="2"/>
      </rPr>
      <t>SHORT C61, and L2 (SMT) WITH NO ETA</t>
    </r>
  </si>
  <si>
    <t>132702
ROWC 130396</t>
  </si>
  <si>
    <t>5/15
5D</t>
  </si>
  <si>
    <t>DEPANEL
CofC req S/N</t>
  </si>
  <si>
    <t>5/9 - 6:00</t>
  </si>
  <si>
    <t>5/9 - 8:00</t>
  </si>
  <si>
    <t>5/9 - 11:00</t>
  </si>
  <si>
    <t>Anduril</t>
  </si>
  <si>
    <t>p/n change
new pcb lot / rev
uploaded</t>
  </si>
  <si>
    <r>
      <rPr>
        <b/>
        <sz val="11"/>
        <color rgb="FF000000"/>
        <rFont val="Calibri"/>
        <family val="2"/>
      </rPr>
      <t xml:space="preserve">CLEAR
</t>
    </r>
    <r>
      <rPr>
        <b/>
        <strike/>
        <sz val="11"/>
        <color rgb="FF000000"/>
        <rFont val="Calibri"/>
        <family val="2"/>
      </rPr>
      <t>5/12 - pcb due</t>
    </r>
  </si>
  <si>
    <t>132994
NEW</t>
  </si>
  <si>
    <r>
      <rPr>
        <b/>
        <sz val="14"/>
        <color rgb="FF000000"/>
        <rFont val="Calibri"/>
        <family val="2"/>
      </rPr>
      <t xml:space="preserve">5/15
</t>
    </r>
    <r>
      <rPr>
        <b/>
        <sz val="14"/>
        <color rgb="FFFF0000"/>
        <rFont val="Calibri"/>
        <family val="2"/>
      </rPr>
      <t>3D</t>
    </r>
  </si>
  <si>
    <t>"LS1, L3, S1" AFTER WASH
DEPANEL
CofC PER ECO - NEEDS TO STATE RoHS &amp; IPC-A-610</t>
  </si>
  <si>
    <t>5/12 - 10:00</t>
  </si>
  <si>
    <t>5/12 - 12:30</t>
  </si>
  <si>
    <t>5/13 - 9:00</t>
  </si>
  <si>
    <t>Veranex</t>
  </si>
  <si>
    <r>
      <rPr>
        <b/>
        <sz val="11"/>
        <color rgb="FF000000"/>
        <rFont val="Calibri"/>
        <family val="2"/>
      </rPr>
      <t xml:space="preserve">5/6 - KIT CLEAR
</t>
    </r>
    <r>
      <rPr>
        <b/>
        <strike/>
        <sz val="11"/>
        <color rgb="FF000000"/>
        <rFont val="Calibri"/>
        <family val="2"/>
      </rPr>
      <t>4/16</t>
    </r>
    <r>
      <rPr>
        <b/>
        <sz val="11"/>
        <color rgb="FF000000"/>
        <rFont val="Calibri"/>
        <family val="2"/>
      </rPr>
      <t xml:space="preserve"> - </t>
    </r>
    <r>
      <rPr>
        <b/>
        <strike/>
        <sz val="11"/>
        <color rgb="FF000000"/>
        <rFont val="Calibri"/>
        <family val="2"/>
      </rPr>
      <t>4/29 SHORT U6, U17 (6pcs)</t>
    </r>
    <r>
      <rPr>
        <b/>
        <sz val="11"/>
        <color rgb="FF000000"/>
        <rFont val="Calibri"/>
        <family val="2"/>
      </rPr>
      <t xml:space="preserve">, </t>
    </r>
    <r>
      <rPr>
        <b/>
        <strike/>
        <sz val="11"/>
        <color rgb="FF000000"/>
        <rFont val="Calibri"/>
        <family val="2"/>
      </rPr>
      <t>U16, L2,  J3, FB1 and  R9 (1120pcs) (SMT</t>
    </r>
    <r>
      <rPr>
        <b/>
        <sz val="11"/>
        <color rgb="FF000000"/>
        <rFont val="Calibri"/>
        <family val="2"/>
      </rPr>
      <t xml:space="preserve">), </t>
    </r>
    <r>
      <rPr>
        <b/>
        <strike/>
        <sz val="11"/>
        <color rgb="FF000000"/>
        <rFont val="Calibri"/>
        <family val="2"/>
      </rPr>
      <t>J5 (THT) ETA 4/25 (NO TRACK# YET)| CONFIRMING U22, J3, U20 and R25. SHORTAGE WERE SHIPPED TO SNA, ERIC WILL PICK-UP &amp; MIGHT BE CLEAR 4/29</t>
    </r>
  </si>
  <si>
    <r>
      <t xml:space="preserve">4/30 - SHORT QTY 6 "U17" - OK TO SKIP
</t>
    </r>
    <r>
      <rPr>
        <b/>
        <strike/>
        <sz val="11"/>
        <color rgb="FF000000"/>
        <rFont val="Calibri"/>
        <family val="2"/>
      </rPr>
      <t>4/29 - "R9" ETA 4/30
4/28 - KIT @ SNA - ERIC WIL  P/U 4/28 - COULD BE CLEAR 4/29
4/24 - many short strips</t>
    </r>
  </si>
  <si>
    <t>132066
RONC 123091</t>
  </si>
  <si>
    <r>
      <rPr>
        <b/>
        <sz val="14"/>
        <color rgb="FF000000"/>
        <rFont val="Calibri"/>
        <family val="2"/>
      </rPr>
      <t xml:space="preserve">5/15
</t>
    </r>
    <r>
      <rPr>
        <b/>
        <strike/>
        <sz val="14"/>
        <color rgb="FF000000"/>
        <rFont val="Calibri"/>
        <family val="2"/>
      </rPr>
      <t xml:space="preserve">5/20
</t>
    </r>
    <r>
      <rPr>
        <b/>
        <sz val="14"/>
        <color rgb="FF000000"/>
        <rFont val="Calibri"/>
        <family val="2"/>
      </rPr>
      <t>10D</t>
    </r>
  </si>
  <si>
    <r>
      <rPr>
        <b/>
        <sz val="11"/>
        <color rgb="FF000000"/>
        <rFont val="Calibri"/>
        <family val="2"/>
      </rPr>
      <t xml:space="preserve">do not ship earlier than 5/14
"J7, J8" RWORK PER INSTRUCTIONS
</t>
    </r>
    <r>
      <rPr>
        <b/>
        <sz val="11"/>
        <color rgb="FFFF0000"/>
        <rFont val="Calibri"/>
        <family val="2"/>
      </rPr>
      <t>*** RUN TIME TO BE CONSIDERED FOR FUTURE BUILDS - 16 MIN EA TOP SIDE / 14 MIN EA BOT SIDE</t>
    </r>
  </si>
  <si>
    <t>4/30 - 10:00</t>
  </si>
  <si>
    <t>5/1 - 6:00</t>
  </si>
  <si>
    <t>5/1 - 11:30</t>
  </si>
  <si>
    <t xml:space="preserve">Owl Cyber Defense Solutions, LLC
</t>
  </si>
  <si>
    <t>DOC REL 4/15</t>
  </si>
  <si>
    <t>4/16</t>
  </si>
  <si>
    <t>instuctions - rework</t>
  </si>
  <si>
    <r>
      <rPr>
        <b/>
        <sz val="11"/>
        <color rgb="FF000000"/>
        <rFont val="Calibri"/>
        <family val="2"/>
      </rPr>
      <t xml:space="preserve">5/7 - CLEAR
</t>
    </r>
    <r>
      <rPr>
        <b/>
        <strike/>
        <sz val="11"/>
        <color rgb="FF000000"/>
        <rFont val="Calibri"/>
        <family val="2"/>
      </rPr>
      <t>5/8 - pcb due</t>
    </r>
  </si>
  <si>
    <t>5/7 - KIT CLEAR</t>
  </si>
  <si>
    <t>5/8 - awt stencil (gerber / array no match)</t>
  </si>
  <si>
    <t>132914
RONC 109791</t>
  </si>
  <si>
    <t>5/14
5D</t>
  </si>
  <si>
    <t>TRUE NO CLEAN BUILD
CLASS 3
DEPANEL &amp; SAND</t>
  </si>
  <si>
    <t>5/9 - 12:30
5/9 - pause 1:00
5/13 - 9:30</t>
  </si>
  <si>
    <t>5/13 - 11:30</t>
  </si>
  <si>
    <t>5/13 - 1:30</t>
  </si>
  <si>
    <t xml:space="preserve">McQ
</t>
  </si>
  <si>
    <t>5/6</t>
  </si>
  <si>
    <t>split ship</t>
  </si>
  <si>
    <t>due 4/29</t>
  </si>
  <si>
    <r>
      <rPr>
        <b/>
        <sz val="11"/>
        <color rgb="FF000000"/>
        <rFont val="Calibri"/>
        <family val="2"/>
      </rPr>
      <t xml:space="preserve">5/6 - KIT CLEAR
4/17 - </t>
    </r>
    <r>
      <rPr>
        <b/>
        <strike/>
        <sz val="11"/>
        <color rgb="FF000000"/>
        <rFont val="Calibri"/>
        <family val="2"/>
      </rPr>
      <t xml:space="preserve">SHORT </t>
    </r>
    <r>
      <rPr>
        <b/>
        <sz val="11"/>
        <color rgb="FF000000"/>
        <rFont val="Calibri"/>
        <family val="2"/>
      </rPr>
      <t xml:space="preserve">D31 dni (SMT), </t>
    </r>
    <r>
      <rPr>
        <b/>
        <strike/>
        <sz val="11"/>
        <color rgb="FF000000"/>
        <rFont val="Calibri"/>
        <family val="2"/>
      </rPr>
      <t>U37, U49,  S1, and R72</t>
    </r>
    <r>
      <rPr>
        <b/>
        <sz val="11"/>
        <color rgb="FF000000"/>
        <rFont val="Calibri"/>
        <family val="2"/>
      </rPr>
      <t xml:space="preserve"> |</t>
    </r>
    <r>
      <rPr>
        <b/>
        <strike/>
        <sz val="11"/>
        <color rgb="FF000000"/>
        <rFont val="Calibri"/>
        <family val="2"/>
      </rPr>
      <t xml:space="preserve"> J9, J8, TP1  (THT) </t>
    </r>
    <r>
      <rPr>
        <b/>
        <sz val="11"/>
        <color rgb="FF000000"/>
        <rFont val="Calibri"/>
        <family val="2"/>
      </rPr>
      <t>WITH NO ETA</t>
    </r>
  </si>
  <si>
    <t>4/28 - smt comp 7 board
4/28 - "D31 MIGHT BE OK TO SKIP - PLEASE CHK W TRINH</t>
  </si>
  <si>
    <t>132000
ROWC 130306</t>
  </si>
  <si>
    <r>
      <rPr>
        <b/>
        <sz val="14"/>
        <color rgb="FF000000"/>
        <rFont val="Calibri"/>
        <family val="2"/>
      </rPr>
      <t xml:space="preserve">5/14
</t>
    </r>
    <r>
      <rPr>
        <b/>
        <strike/>
        <sz val="14"/>
        <color rgb="FF000000"/>
        <rFont val="Calibri"/>
        <family val="2"/>
      </rPr>
      <t xml:space="preserve">5/20
</t>
    </r>
    <r>
      <rPr>
        <b/>
        <sz val="14"/>
        <color rgb="FF000000"/>
        <rFont val="Calibri"/>
        <family val="2"/>
      </rPr>
      <t>10D</t>
    </r>
  </si>
  <si>
    <t>do not ship earlier than 5/14
DNI D31
DO-C9 PRIORITY RATING
LEAD WASH
DEPANEL &amp; SAND</t>
  </si>
  <si>
    <t>4/29 - 7:00</t>
  </si>
  <si>
    <t>4/29 - 9:00</t>
  </si>
  <si>
    <t>4/30 - 7:00</t>
  </si>
  <si>
    <t>DOC REL 4/16</t>
  </si>
  <si>
    <t>4/17</t>
  </si>
  <si>
    <t>drawing</t>
  </si>
  <si>
    <t>p/n changes
uploaded</t>
  </si>
  <si>
    <t>SHORT, NO ETA 5/5 5/2 4/9???</t>
  </si>
  <si>
    <r>
      <rPr>
        <b/>
        <sz val="11"/>
        <color rgb="FF000000"/>
        <rFont val="Calibri"/>
        <family val="2"/>
      </rPr>
      <t xml:space="preserve">5/5 - KIT CLEAR
3/18 - MATERIAL CLEAR
</t>
    </r>
    <r>
      <rPr>
        <b/>
        <strike/>
        <sz val="11"/>
        <color rgb="FF000000"/>
        <rFont val="Calibri"/>
        <family val="2"/>
      </rPr>
      <t>3/31 - OFF HOLD
ON-HOLD PER CUST. UNTIL FURTHER NOTICE
3/12 - SHORT C1410, C300, C143, C1103, C702, C803, C613, C824, C302, C710, C808, C600, C506, C607, C812 and C400 (SMT) ETA of 3/13</t>
    </r>
  </si>
  <si>
    <r>
      <t xml:space="preserve">5/2 - OFF SHIP HOLD
</t>
    </r>
    <r>
      <rPr>
        <b/>
        <strike/>
        <sz val="11"/>
        <color rgb="FF000000"/>
        <rFont val="Calibri"/>
        <family val="2"/>
      </rPr>
      <t xml:space="preserve">4/24 - </t>
    </r>
    <r>
      <rPr>
        <b/>
        <strike/>
        <u/>
        <sz val="11"/>
        <color rgb="FF000000"/>
        <rFont val="Calibri"/>
        <family val="2"/>
      </rPr>
      <t>BACK ON HOLD - OK TO RUN BUT NOT SHIP</t>
    </r>
  </si>
  <si>
    <t>131545
NEW</t>
  </si>
  <si>
    <t>5/19
10D</t>
  </si>
  <si>
    <r>
      <rPr>
        <b/>
        <sz val="12"/>
        <color rgb="FFFF0000"/>
        <rFont val="Calibri"/>
        <family val="2"/>
      </rPr>
      <t xml:space="preserve">*** CHK PCB'S - MAY BE OLD ***
</t>
    </r>
    <r>
      <rPr>
        <b/>
        <sz val="11"/>
        <color rgb="FF000000"/>
        <rFont val="Calibri"/>
        <family val="2"/>
      </rPr>
      <t>LEAD WASH PROCESS
MAX PCB TEMP 218c
USE Sn62 or Sn63 SOLDER
"SW1200" AFTER WASH
TRIM LEAD 0.03" MAX</t>
    </r>
  </si>
  <si>
    <t>5/6 - top
6:00</t>
  </si>
  <si>
    <t>5/6 - bot 9:00</t>
  </si>
  <si>
    <t>5/6 - 2:30</t>
  </si>
  <si>
    <t>3/12</t>
  </si>
  <si>
    <t>AS9102 = FAIR REQ FOR AS9100</t>
  </si>
  <si>
    <t>ignore fab #13 item</t>
  </si>
  <si>
    <t>5/13 - RMA BOARDS + PARTS DUE</t>
  </si>
  <si>
    <t>5/12 - qty could be more than 5 (Anne)</t>
  </si>
  <si>
    <t>131975
RMA</t>
  </si>
  <si>
    <r>
      <rPr>
        <b/>
        <sz val="14"/>
        <color rgb="FF000000"/>
        <rFont val="Calibri"/>
        <family val="2"/>
      </rPr>
      <t xml:space="preserve">5/13
</t>
    </r>
    <r>
      <rPr>
        <b/>
        <sz val="14"/>
        <color rgb="FFFF0000"/>
        <rFont val="Calibri"/>
        <family val="2"/>
      </rPr>
      <t>same day</t>
    </r>
  </si>
  <si>
    <r>
      <rPr>
        <b/>
        <sz val="11"/>
        <color rgb="FFFF0000"/>
        <rFont val="Calibri"/>
        <family val="2"/>
      </rPr>
      <t xml:space="preserve">*** SAME DAY RMA ***
</t>
    </r>
    <r>
      <rPr>
        <b/>
        <sz val="11"/>
        <color rgb="FF000000"/>
        <rFont val="Calibri"/>
        <family val="2"/>
      </rPr>
      <t>SEE RMA TRAVELER #672</t>
    </r>
  </si>
  <si>
    <t>Vieletech</t>
  </si>
  <si>
    <t>pf</t>
  </si>
  <si>
    <t>DOC REL
5/12</t>
  </si>
  <si>
    <t xml:space="preserve">4/21 -UNABLE GET NEW ETA THAT WENT TO TEXAS INSTEAD OF FREMONTSHORT, ETA 4/15 4/16 WAIT NEW ETA |
</t>
  </si>
  <si>
    <t>4/23 - KIT CLEAR
4/8 - MATERIAL CLEAR</t>
  </si>
  <si>
    <t>4/30 - HOLD - DELAM DURING DEPANEL - CUST NOTIFIED</t>
  </si>
  <si>
    <t>131911-1
PAR
NEW</t>
  </si>
  <si>
    <r>
      <rPr>
        <b/>
        <sz val="11"/>
        <color rgb="FFFF0000"/>
        <rFont val="Calibri"/>
        <family val="2"/>
      </rPr>
      <t xml:space="preserve">*** DO-C9 RATING - CLASS 3
</t>
    </r>
    <r>
      <rPr>
        <b/>
        <sz val="11"/>
        <color rgb="FF000000"/>
        <rFont val="Calibri"/>
        <family val="2"/>
      </rPr>
      <t xml:space="preserve">LEAD WASH PROCESS
</t>
    </r>
    <r>
      <rPr>
        <b/>
        <sz val="11"/>
        <color rgb="FFFF0000"/>
        <rFont val="Calibri"/>
        <family val="2"/>
      </rPr>
      <t xml:space="preserve">*** NO LOGOS/MARKINGS/STAMPS
NO QA/AOI STAMPS
NO LABELS
</t>
    </r>
    <r>
      <rPr>
        <b/>
        <sz val="11"/>
        <color rgb="FF000000"/>
        <rFont val="Calibri"/>
        <family val="2"/>
      </rPr>
      <t>depanel required</t>
    </r>
  </si>
  <si>
    <t>4/24 - 9:00</t>
  </si>
  <si>
    <t>4/25 - 11:00</t>
  </si>
  <si>
    <t>SHORT, ETA 4/25</t>
  </si>
  <si>
    <r>
      <t xml:space="preserve">4/24 - KIT CLEAR
4/23 - SMT CLEAR
</t>
    </r>
    <r>
      <rPr>
        <b/>
        <strike/>
        <sz val="11"/>
        <color rgb="FF000000"/>
        <rFont val="Calibri"/>
        <family val="2"/>
      </rPr>
      <t>4/15 - SHORT  R7 (SMT) | J2 &amp;  BT1 (THT) WITH NO ETA</t>
    </r>
  </si>
  <si>
    <t>5/12 - recv'd batt tabs
4/28 - BATT MISSING TABS, CANNOT SOLDER - CUST NOTIFIED</t>
  </si>
  <si>
    <t>132016-1st
RONC 121856</t>
  </si>
  <si>
    <r>
      <t xml:space="preserve">5/13
</t>
    </r>
    <r>
      <rPr>
        <b/>
        <strike/>
        <sz val="14"/>
        <color rgb="FF000000"/>
        <rFont val="Calibri"/>
        <family val="2"/>
      </rPr>
      <t xml:space="preserve">5/1
</t>
    </r>
    <r>
      <rPr>
        <b/>
        <sz val="14"/>
        <color rgb="FF000000"/>
        <rFont val="Calibri"/>
        <family val="2"/>
      </rPr>
      <t>5D</t>
    </r>
  </si>
  <si>
    <t>4/28 - 8:00</t>
  </si>
  <si>
    <t>4/28 - 9:00</t>
  </si>
  <si>
    <t>DOC REL 4/14</t>
  </si>
  <si>
    <t>4/15</t>
  </si>
  <si>
    <t>SHORT, NO ETA 5/6</t>
  </si>
  <si>
    <r>
      <rPr>
        <b/>
        <sz val="11"/>
        <color rgb="FF000000"/>
        <rFont val="Calibri"/>
        <family val="2"/>
      </rPr>
      <t xml:space="preserve">5/6 - KIT CLEAR
4/30 - MATERIAL CLEAR
</t>
    </r>
    <r>
      <rPr>
        <b/>
        <strike/>
        <sz val="11"/>
        <color rgb="FF000000"/>
        <rFont val="Calibri"/>
        <family val="2"/>
      </rPr>
      <t>4/29 - D4, D1 (SMT) &amp; TP4 (THT) WITH NO ETA</t>
    </r>
  </si>
  <si>
    <t>132501
NEW</t>
  </si>
  <si>
    <t>5/13
5D</t>
  </si>
  <si>
    <t>5/7 - 8:00</t>
  </si>
  <si>
    <t>5/7 - 10:00</t>
  </si>
  <si>
    <r>
      <rPr>
        <b/>
        <sz val="11"/>
        <color rgb="FF000000"/>
        <rFont val="Calibri"/>
        <family val="2"/>
      </rPr>
      <t xml:space="preserve">4/30 - KIT CLEAR
SMT CLEAR </t>
    </r>
    <r>
      <rPr>
        <b/>
        <strike/>
        <sz val="11"/>
        <color rgb="FF000000"/>
        <rFont val="Calibri"/>
        <family val="2"/>
      </rPr>
      <t>SHORT C8 (SMT), T2 (THT) WITH NO ETA</t>
    </r>
  </si>
  <si>
    <t>5/1 - TRI START BOT</t>
  </si>
  <si>
    <t>132486
ROWC 129653</t>
  </si>
  <si>
    <t>5/14
10D</t>
  </si>
  <si>
    <t xml:space="preserve">BTD "T2"
NO CLEAN BUILD
"T1.T2,  L1, L2, L4, L12, RL1, RL2, C140, C253, C257" AFTER WASH
DEPANEL
</t>
  </si>
  <si>
    <t>5/1 - 11:00</t>
  </si>
  <si>
    <t>5/1- 1:00</t>
  </si>
  <si>
    <t>5/2 - 10:00</t>
  </si>
  <si>
    <t>DOC REL 4/29</t>
  </si>
  <si>
    <t>j7 orientation follow 3d drawing</t>
  </si>
  <si>
    <t>many SMT now DNI
uploaded</t>
  </si>
  <si>
    <t>5/8 - RECV BOARDS/PARTS</t>
  </si>
  <si>
    <t>5/12
3D</t>
  </si>
  <si>
    <t xml:space="preserve">See traveler for instructions
</t>
  </si>
  <si>
    <t xml:space="preserve">Geost
</t>
  </si>
  <si>
    <t>SHORT, EXPECT SHIP TO US THIS WEEK FROM CUST.</t>
  </si>
  <si>
    <r>
      <rPr>
        <b/>
        <sz val="11"/>
        <color rgb="FF000000"/>
        <rFont val="Calibri"/>
        <family val="2"/>
      </rPr>
      <t xml:space="preserve">4/29 - KIT CLEAR
4/23 - SMT CLEAR
4/14 - </t>
    </r>
    <r>
      <rPr>
        <b/>
        <strike/>
        <sz val="11"/>
        <color rgb="FF000000"/>
        <rFont val="Calibri"/>
        <family val="2"/>
      </rPr>
      <t>D406, U417, U402, U427 WAIT FOR CONFIRM,</t>
    </r>
    <r>
      <rPr>
        <b/>
        <sz val="11"/>
        <color rgb="FF000000"/>
        <rFont val="Calibri"/>
        <family val="2"/>
      </rPr>
      <t xml:space="preserve"> U</t>
    </r>
    <r>
      <rPr>
        <b/>
        <strike/>
        <sz val="11"/>
        <color rgb="FF000000"/>
        <rFont val="Calibri"/>
        <family val="2"/>
      </rPr>
      <t>426, U401, U437, L402,</t>
    </r>
    <r>
      <rPr>
        <b/>
        <sz val="11"/>
        <color rgb="FF000000"/>
        <rFont val="Calibri"/>
        <family val="2"/>
      </rPr>
      <t xml:space="preserve"> (SMT),</t>
    </r>
    <r>
      <rPr>
        <b/>
        <strike/>
        <sz val="11"/>
        <color rgb="FF000000"/>
        <rFont val="Calibri"/>
        <family val="2"/>
      </rPr>
      <t xml:space="preserve"> J408, J405, J403, J406, J410, JP406 and J407 (THT) WITH NO ETA</t>
    </r>
  </si>
  <si>
    <r>
      <rPr>
        <b/>
        <sz val="11"/>
        <color rgb="FFFF0000"/>
        <rFont val="Calibri"/>
        <family val="2"/>
      </rPr>
      <t xml:space="preserve">4/23 - "U427" OK TO USE - SMT CLEAR
</t>
    </r>
    <r>
      <rPr>
        <b/>
        <strike/>
        <sz val="11"/>
        <color rgb="FF000000"/>
        <rFont val="Calibri"/>
        <family val="2"/>
      </rPr>
      <t>4/21 - WTG "U427" CONF - OK TO SKIP IF YOU NEED A JOB TO RUN</t>
    </r>
  </si>
  <si>
    <t>132404
ROWC 
95390</t>
  </si>
  <si>
    <r>
      <rPr>
        <b/>
        <sz val="14"/>
        <color rgb="FF000000"/>
        <rFont val="Calibri"/>
        <family val="2"/>
      </rPr>
      <t xml:space="preserve">
5/12
</t>
    </r>
    <r>
      <rPr>
        <b/>
        <strike/>
        <sz val="14"/>
        <color rgb="FF000000"/>
        <rFont val="Calibri"/>
        <family val="2"/>
      </rPr>
      <t xml:space="preserve">5/20
</t>
    </r>
    <r>
      <rPr>
        <b/>
        <sz val="14"/>
        <color rgb="FF000000"/>
        <rFont val="Calibri"/>
        <family val="2"/>
      </rPr>
      <t>15D</t>
    </r>
  </si>
  <si>
    <r>
      <rPr>
        <b/>
        <sz val="11"/>
        <color rgb="FF000000"/>
        <rFont val="Calibri"/>
        <family val="2"/>
      </rPr>
      <t xml:space="preserve">do not ship earlier than 5/12
"TP401-414" PLACE ON TOP SIDE
</t>
    </r>
    <r>
      <rPr>
        <b/>
        <u/>
        <sz val="12"/>
        <color rgb="FFFF0000"/>
        <rFont val="Calibri"/>
        <family val="2"/>
      </rPr>
      <t xml:space="preserve">"J401" DO NOT USE TOO MUCH SOLDER
</t>
    </r>
    <r>
      <rPr>
        <b/>
        <sz val="14"/>
        <color rgb="FFFF0000"/>
        <rFont val="Calibri"/>
        <family val="2"/>
      </rPr>
      <t xml:space="preserve">"J401" DO NOT TRIM LEADS!
</t>
    </r>
    <r>
      <rPr>
        <b/>
        <sz val="11"/>
        <color rgb="FF000000"/>
        <rFont val="Calibri"/>
        <family val="2"/>
      </rPr>
      <t>DEPANEL</t>
    </r>
  </si>
  <si>
    <t>4/22 - 2:00</t>
  </si>
  <si>
    <t>4/23 - 7:00</t>
  </si>
  <si>
    <t>4/23 - 9:00</t>
  </si>
  <si>
    <t xml:space="preserve">Case Western APT
</t>
  </si>
  <si>
    <t>#41 (tp401 - tp414) moved to SMT kit</t>
  </si>
  <si>
    <t>no data</t>
  </si>
  <si>
    <t>p/n changes
no photos</t>
  </si>
  <si>
    <r>
      <rPr>
        <b/>
        <sz val="11"/>
        <color rgb="FF000000"/>
        <rFont val="Calibri"/>
        <family val="2"/>
      </rPr>
      <t xml:space="preserve">4/30 - KIT CLEAR
</t>
    </r>
    <r>
      <rPr>
        <b/>
        <strike/>
        <sz val="11"/>
        <color rgb="FF000000"/>
        <rFont val="Calibri"/>
        <family val="2"/>
      </rPr>
      <t>4/29 - MATERIALs ETA 4/30</t>
    </r>
  </si>
  <si>
    <t>4/29 - GOOD CHANCE KIT WILL BE COMPLETE - AUDIT 4/30</t>
  </si>
  <si>
    <t>126221
RONC 101525</t>
  </si>
  <si>
    <t>CLASS 3
LEAD WASH
TAG ANY BOARDS WITH ANY BTD OR DNI'S</t>
  </si>
  <si>
    <t>5/2 - 10:30</t>
  </si>
  <si>
    <t>5/2 - 1:30</t>
  </si>
  <si>
    <t>5/5 - 8:00</t>
  </si>
  <si>
    <t>SHORT, ETA 5/2, 4/30</t>
  </si>
  <si>
    <r>
      <rPr>
        <b/>
        <sz val="11"/>
        <color rgb="FF000000"/>
        <rFont val="Calibri"/>
        <family val="2"/>
      </rPr>
      <t xml:space="preserve">5/2 - KIT CLEAR
4/28 - SMT CLEAR
</t>
    </r>
    <r>
      <rPr>
        <b/>
        <strike/>
        <sz val="11"/>
        <color rgb="FF000000"/>
        <rFont val="Calibri"/>
        <family val="2"/>
      </rPr>
      <t xml:space="preserve">4/25 - SHORT R41 (SMT) &amp; J4 (THT) NO ETA | CONFIRMING L2, K1, and T1 (THT) </t>
    </r>
  </si>
  <si>
    <r>
      <rPr>
        <b/>
        <sz val="11"/>
        <color rgb="FFFF0000"/>
        <rFont val="Calibri"/>
        <family val="2"/>
      </rPr>
      <t>5/5 -</t>
    </r>
    <r>
      <rPr>
        <b/>
        <strike/>
        <sz val="11"/>
        <color rgb="FFFF0000"/>
        <rFont val="Calibri"/>
        <family val="2"/>
      </rPr>
      <t xml:space="preserve"> #8 (C18, C20, C118) INCORRECT Uf 0.075 (SKIP PER TAD)</t>
    </r>
  </si>
  <si>
    <t>132637
ROWC 128997</t>
  </si>
  <si>
    <r>
      <rPr>
        <b/>
        <sz val="12"/>
        <color rgb="FFFF0000"/>
        <rFont val="Calibri"/>
        <family val="2"/>
      </rPr>
      <t xml:space="preserve">*** READ ECO AND EMAILS FROM B128997 - REVIEW W/ TAD 1ST
</t>
    </r>
    <r>
      <rPr>
        <b/>
        <sz val="11"/>
        <color rgb="FF000000"/>
        <rFont val="Calibri"/>
        <family val="2"/>
      </rPr>
      <t xml:space="preserve">LEAD PROCESS
SOLDER ON GND PAD NOT TO EXCEED 0.06"
"L1" AFTER WASH
</t>
    </r>
    <r>
      <rPr>
        <b/>
        <sz val="12"/>
        <color rgb="FFFF0000"/>
        <rFont val="Calibri"/>
        <family val="2"/>
      </rPr>
      <t xml:space="preserve">***  The temperature used for the THT parts is 800F, around 4-5 seconds for each pin.
</t>
    </r>
    <r>
      <rPr>
        <b/>
        <sz val="11"/>
        <color rgb="FF000000"/>
        <rFont val="Calibri"/>
        <family val="2"/>
      </rPr>
      <t xml:space="preserve">DEPANEL &amp; SAND SMOOTH
U1 &amp; U2 height tolerance
</t>
    </r>
    <r>
      <rPr>
        <b/>
        <u/>
        <sz val="11"/>
        <color rgb="FF000000"/>
        <rFont val="Calibri"/>
        <family val="2"/>
      </rPr>
      <t xml:space="preserve">INSTALL FUSES &amp; mounting support
shipping: anti-static sticker on bag
</t>
    </r>
  </si>
  <si>
    <t>5/5 - 11:30</t>
  </si>
  <si>
    <t xml:space="preserve">Rheem ATI Lab - Indiana
</t>
  </si>
  <si>
    <t>check email to folder</t>
  </si>
  <si>
    <t>Cleanliness Testing Waived</t>
  </si>
  <si>
    <t xml:space="preserve">label board arial 8 pt &amp; 6 pt (doc) </t>
  </si>
  <si>
    <t>bom compare: DNI heat sink
uploaded</t>
  </si>
  <si>
    <t>SHORT, ETA 5/1</t>
  </si>
  <si>
    <r>
      <rPr>
        <b/>
        <sz val="11"/>
        <color rgb="FF000000"/>
        <rFont val="Calibri"/>
        <family val="2"/>
      </rPr>
      <t xml:space="preserve">5/1 - KIT CLEAR
4/28 - MATERIALS CLEAR
</t>
    </r>
    <r>
      <rPr>
        <b/>
        <strike/>
        <sz val="11"/>
        <color rgb="FF000000"/>
        <rFont val="Calibri"/>
        <family val="2"/>
      </rPr>
      <t>4/25 - PARTIAL SHORT L2 (SMT) WITH NO ETA</t>
    </r>
    <r>
      <rPr>
        <b/>
        <sz val="11"/>
        <color rgb="FF156082"/>
        <rFont val="Calibri"/>
        <family val="2"/>
      </rPr>
      <t xml:space="preserve">. </t>
    </r>
    <r>
      <rPr>
        <b/>
        <sz val="11"/>
        <color rgb="FFFF0000"/>
        <rFont val="Calibri"/>
        <family val="2"/>
      </rPr>
      <t>*L2 CANNOT BE SKIPPED PER TAD</t>
    </r>
  </si>
  <si>
    <r>
      <rPr>
        <b/>
        <sz val="11"/>
        <color rgb="FFFF0000"/>
        <rFont val="Calibri"/>
        <family val="2"/>
      </rPr>
      <t xml:space="preserve">4/28 - MATL CLEAR FOR QTY 15
</t>
    </r>
    <r>
      <rPr>
        <b/>
        <strike/>
        <sz val="11"/>
        <color rgb="FFFF0000"/>
        <rFont val="Calibri"/>
        <family val="2"/>
      </rPr>
      <t>4/25 - RUN QTY TBD - WILL BE BASED ON SHORTAGE</t>
    </r>
    <r>
      <rPr>
        <b/>
        <sz val="11"/>
        <color rgb="FFFF0000"/>
        <rFont val="Calibri"/>
        <family val="2"/>
      </rPr>
      <t>S</t>
    </r>
  </si>
  <si>
    <t>132431
NEW</t>
  </si>
  <si>
    <t>5/8
5D</t>
  </si>
  <si>
    <r>
      <rPr>
        <b/>
        <sz val="12"/>
        <color rgb="FFFF0000"/>
        <rFont val="Calibri"/>
        <family val="2"/>
      </rPr>
      <t xml:space="preserve">*** 100% INSP REQ - BOARDS MUST BE PERFECT!!!
</t>
    </r>
    <r>
      <rPr>
        <b/>
        <sz val="11"/>
        <color rgb="FF000000"/>
        <rFont val="Calibri"/>
        <family val="2"/>
      </rPr>
      <t>SAC305 SOLDER ONLY
"U93, SW1-3" AFTER WASH
CofC PER ECO #8</t>
    </r>
  </si>
  <si>
    <t>5/5 - 8:30</t>
  </si>
  <si>
    <t>5/5 - 10:30</t>
  </si>
  <si>
    <t>notify Tad when SMT complete</t>
  </si>
  <si>
    <r>
      <rPr>
        <b/>
        <strike/>
        <sz val="11"/>
        <color rgb="FF000000"/>
        <rFont val="Calibri"/>
        <family val="2"/>
      </rPr>
      <t xml:space="preserve">SHORT 1 PCB RECVD, </t>
    </r>
    <r>
      <rPr>
        <b/>
        <sz val="11"/>
        <color rgb="FF000000"/>
        <rFont val="Calibri"/>
        <family val="2"/>
      </rPr>
      <t>CLEAR</t>
    </r>
  </si>
  <si>
    <r>
      <rPr>
        <b/>
        <sz val="11"/>
        <color rgb="FF000000"/>
        <rFont val="Calibri"/>
        <family val="2"/>
      </rPr>
      <t xml:space="preserve">5/1 - KIT CLEAR
4/28 - SMT CLEAR </t>
    </r>
    <r>
      <rPr>
        <b/>
        <strike/>
        <sz val="11"/>
        <color rgb="FF000000"/>
        <rFont val="Calibri"/>
        <family val="2"/>
      </rPr>
      <t>C147, U26, and U9 (SMT) CONFIRM OK TO USE| 
SHORT U11_H, U11_H_3, U11_H_4, U11_H_2 (THT) WITH ETA 5/1</t>
    </r>
  </si>
  <si>
    <t>4/28 - SMT CLEAR</t>
  </si>
  <si>
    <t>132070
NEW</t>
  </si>
  <si>
    <r>
      <rPr>
        <b/>
        <sz val="11"/>
        <color rgb="FF000000"/>
        <rFont val="Calibri"/>
        <family val="2"/>
      </rPr>
      <t xml:space="preserve">LEAD FREE WASH
"Y2, SW1" AFTER WASH
"U11&amp; RELATED" HEAT SINK/MECH REQ
MOUNT ALL T/H FLUSH TO PCB
</t>
    </r>
    <r>
      <rPr>
        <b/>
        <u/>
        <sz val="11"/>
        <color rgb="FF000000"/>
        <rFont val="Calibri"/>
        <family val="2"/>
      </rPr>
      <t>shipping: verify no missing washers and nuts</t>
    </r>
  </si>
  <si>
    <t>4/30 - 2:30</t>
  </si>
  <si>
    <t>5/1 - 12:30</t>
  </si>
  <si>
    <t xml:space="preserve">Cold Quanta
</t>
  </si>
  <si>
    <t>SHORT, NO ETA 5/5</t>
  </si>
  <si>
    <r>
      <rPr>
        <b/>
        <sz val="11"/>
        <color rgb="FF000000"/>
        <rFont val="Calibri"/>
        <family val="2"/>
      </rPr>
      <t xml:space="preserve">5/5 - KIT CLEAR
4/28 - MATERIALs CLEAR.
</t>
    </r>
    <r>
      <rPr>
        <b/>
        <strike/>
        <sz val="11"/>
        <color rgb="FF000000"/>
        <rFont val="Calibri"/>
        <family val="2"/>
      </rPr>
      <t>U38 WAITING FOR CONFIRM IF OK TO USE</t>
    </r>
  </si>
  <si>
    <t>131777
NEW</t>
  </si>
  <si>
    <r>
      <rPr>
        <b/>
        <sz val="14"/>
        <color rgb="FF000000"/>
        <rFont val="Calibri"/>
        <family val="2"/>
      </rPr>
      <t xml:space="preserve">5/7
</t>
    </r>
    <r>
      <rPr>
        <b/>
        <sz val="14"/>
        <color rgb="FFFF0000"/>
        <rFont val="Calibri"/>
        <family val="2"/>
      </rPr>
      <t>2D</t>
    </r>
  </si>
  <si>
    <t>LEAD PROCESS
"S1-3, FL1" AFTER WASH
DEPANEL</t>
  </si>
  <si>
    <t>5/5 - 1:00</t>
  </si>
  <si>
    <t>5/6 - 9:00</t>
  </si>
  <si>
    <t>FEDEX STANDARD</t>
  </si>
  <si>
    <t xml:space="preserve">Mercury Systems, LLC
</t>
  </si>
  <si>
    <r>
      <t>4/24 - KIT CLEAR
4</t>
    </r>
    <r>
      <rPr>
        <b/>
        <strike/>
        <sz val="11"/>
        <color rgb="FF000000"/>
        <rFont val="Calibri"/>
        <family val="2"/>
      </rPr>
      <t xml:space="preserve">/22 - SHORT Y2 (SMT), B1 (THT) WITH NO ETA 4/25 </t>
    </r>
    <r>
      <rPr>
        <b/>
        <sz val="11"/>
        <color rgb="FF000000"/>
        <rFont val="Calibri"/>
        <family val="2"/>
      </rPr>
      <t>*MANY ITEMS ARE MULTIPLE CUT STRIPS</t>
    </r>
  </si>
  <si>
    <t>4/22 - MULTIPLE CUT STRIPS</t>
  </si>
  <si>
    <t>132600
RONC 130355</t>
  </si>
  <si>
    <t>5/8
10D</t>
  </si>
  <si>
    <r>
      <rPr>
        <b/>
        <sz val="11"/>
        <color rgb="FF000000"/>
        <rFont val="Calibri"/>
        <family val="2"/>
      </rPr>
      <t xml:space="preserve">"BZ1" AFTER WASH
</t>
    </r>
    <r>
      <rPr>
        <b/>
        <sz val="12"/>
        <color rgb="FFFF0000"/>
        <rFont val="Calibri"/>
        <family val="2"/>
      </rPr>
      <t xml:space="preserve">*** DEPANEL &amp; </t>
    </r>
    <r>
      <rPr>
        <b/>
        <u/>
        <sz val="12"/>
        <color rgb="FFFF0000"/>
        <rFont val="Calibri"/>
        <family val="2"/>
      </rPr>
      <t xml:space="preserve">SAND - (SEE TAD BEFORE DEPANELING) ECO STATES ROUTED - TAD APPROVED MOUSE BITES BUT MUST BE SANDED SMOOTH
</t>
    </r>
    <r>
      <rPr>
        <b/>
        <sz val="11"/>
        <color rgb="FF000000"/>
        <rFont val="Calibri"/>
        <family val="2"/>
      </rPr>
      <t>BOARDS SHOULD BE CLEAN &amp; FREE FROM DEBRIS</t>
    </r>
  </si>
  <si>
    <t>4/28 - 11:00</t>
  </si>
  <si>
    <t>4/28 - 2:00</t>
  </si>
  <si>
    <t>4/22</t>
  </si>
  <si>
    <t>do not use solvent near BZ1</t>
  </si>
  <si>
    <t>SHORT, NO ETA 4/28</t>
  </si>
  <si>
    <r>
      <t xml:space="preserve">4/23 - KIT CLEAR
</t>
    </r>
    <r>
      <rPr>
        <b/>
        <strike/>
        <sz val="11"/>
        <color rgb="FF000000"/>
        <rFont val="Calibri"/>
        <family val="2"/>
      </rPr>
      <t>4/16 - SHORT U3 (SMT) WITH NO ETA 4/17</t>
    </r>
  </si>
  <si>
    <t>131993
RONC 129427</t>
  </si>
  <si>
    <t>5/7
10D</t>
  </si>
  <si>
    <r>
      <rPr>
        <b/>
        <sz val="12"/>
        <color rgb="FFFF0000"/>
        <rFont val="Calibri"/>
        <family val="2"/>
      </rPr>
      <t xml:space="preserve">*** ALTA QUALITY ALERT FOR "S1A, S1N" PER ECO #A - READ BEFORE SOLDERING
</t>
    </r>
    <r>
      <rPr>
        <b/>
        <sz val="11"/>
        <color rgb="FF000000"/>
        <rFont val="Calibri"/>
        <family val="2"/>
      </rPr>
      <t>"S1A, S1B" AFTER WASH
DEPANEL</t>
    </r>
  </si>
  <si>
    <t>4/24 - 12:30</t>
  </si>
  <si>
    <t>4/25 - 10:30</t>
  </si>
  <si>
    <t>see email LABEL</t>
  </si>
  <si>
    <t>SHORT, NO ETA 4/30 5/1</t>
  </si>
  <si>
    <r>
      <rPr>
        <b/>
        <sz val="11"/>
        <color rgb="FF000000"/>
        <rFont val="Calibri"/>
        <family val="2"/>
      </rPr>
      <t xml:space="preserve">5/1 - KIT CLEAR
4/28 - MATERIAL CLEAR </t>
    </r>
    <r>
      <rPr>
        <b/>
        <strike/>
        <sz val="11"/>
        <color rgb="FF000000"/>
        <rFont val="Calibri"/>
        <family val="2"/>
      </rPr>
      <t>U1 WAITING FOR CONFIRM IF OK TO USE</t>
    </r>
  </si>
  <si>
    <t>5/1 - KIT CLEAR - PLEASE HAVE TRI RUN THIS JOB</t>
  </si>
  <si>
    <t>132374
NEW</t>
  </si>
  <si>
    <r>
      <rPr>
        <b/>
        <sz val="14"/>
        <color rgb="FF000000"/>
        <rFont val="Calibri"/>
        <family val="2"/>
      </rPr>
      <t xml:space="preserve">5/6
</t>
    </r>
    <r>
      <rPr>
        <b/>
        <sz val="14"/>
        <color rgb="FFFF0000"/>
        <rFont val="Calibri"/>
        <family val="2"/>
      </rPr>
      <t>3D</t>
    </r>
  </si>
  <si>
    <r>
      <rPr>
        <b/>
        <sz val="12"/>
        <color rgb="FFFF0000"/>
        <rFont val="Calibri"/>
        <family val="2"/>
      </rPr>
      <t xml:space="preserve">*** "U1" FOLLOW _OCH2B10.PPTX PROFILE PER ECO
</t>
    </r>
    <r>
      <rPr>
        <b/>
        <sz val="11"/>
        <color rgb="FF000000"/>
        <rFont val="Calibri"/>
        <family val="2"/>
      </rPr>
      <t>CLASS 3
LEAD FREE WASH
DEPANEL</t>
    </r>
  </si>
  <si>
    <t>5/2 - 9:30</t>
  </si>
  <si>
    <t>5/2 - 11:30</t>
  </si>
  <si>
    <t>4/2 - 36 PCB RECVD - SHORT QTY 6 ETA 4/2 4/10</t>
  </si>
  <si>
    <r>
      <rPr>
        <b/>
        <sz val="11"/>
        <color rgb="FF000000"/>
        <rFont val="Calibri"/>
        <family val="2"/>
      </rPr>
      <t xml:space="preserve">4/11 - KIT CLEAR
3/11 - "U11" RCVD - MATL CLEAR
</t>
    </r>
    <r>
      <rPr>
        <b/>
        <strike/>
        <sz val="11"/>
        <color rgb="FF000000"/>
        <rFont val="Calibri"/>
        <family val="2"/>
      </rPr>
      <t>3/7 - SHORT U11 (SMT) NO ETA</t>
    </r>
  </si>
  <si>
    <t>4/4 - OK TO RUN QTY 36 OF 42</t>
  </si>
  <si>
    <t>131434
ROWC 126986</t>
  </si>
  <si>
    <t>5/9
20D</t>
  </si>
  <si>
    <r>
      <rPr>
        <b/>
        <sz val="11"/>
        <color rgb="FFFF0000"/>
        <rFont val="Calibri"/>
        <family val="2"/>
      </rPr>
      <t xml:space="preserve">*** 100% INSP REQ - BOARDS MUST BE PERFECT!!!
</t>
    </r>
    <r>
      <rPr>
        <b/>
        <sz val="14"/>
        <color rgb="FF0D0D0D"/>
        <rFont val="Calibri"/>
        <family val="2"/>
      </rPr>
      <t xml:space="preserve">*** "SW1" - MASK OUTER PADS PER ECO
</t>
    </r>
    <r>
      <rPr>
        <b/>
        <sz val="14"/>
        <color rgb="FFFF0000"/>
        <rFont val="Calibri"/>
        <family val="2"/>
      </rPr>
      <t xml:space="preserve">*** "U13" THERMAL GROUNd PAD MUST NOT CONNECT TO THE PCB
</t>
    </r>
    <r>
      <rPr>
        <b/>
        <sz val="11"/>
        <color rgb="FF000000"/>
        <rFont val="Calibri"/>
        <family val="2"/>
      </rPr>
      <t>"U31" AFTER WASH
"J1" PRESS FIT
DEPANEL</t>
    </r>
  </si>
  <si>
    <t>4/21 - 7:00</t>
  </si>
  <si>
    <t>4/21 - 8:30</t>
  </si>
  <si>
    <t>4/21 - 2:30</t>
  </si>
  <si>
    <t xml:space="preserve">Farsounder, Inc.
</t>
  </si>
  <si>
    <t>DOC REL 3/5</t>
  </si>
  <si>
    <t>3/7</t>
  </si>
  <si>
    <t>depanel 1-side 1st before SMT</t>
  </si>
  <si>
    <t>now load U37
uploaded</t>
  </si>
  <si>
    <r>
      <rPr>
        <b/>
        <sz val="11"/>
        <color rgb="FF000000"/>
        <rFont val="Calibri"/>
        <family val="2"/>
      </rPr>
      <t xml:space="preserve">4-22 - KIT CLEAR
</t>
    </r>
    <r>
      <rPr>
        <b/>
        <strike/>
        <sz val="11"/>
        <color rgb="FF000000"/>
        <rFont val="Calibri"/>
        <family val="2"/>
      </rPr>
      <t>4/22 - C1 (SMT), U3 (THT) WAIT FOR CONFIRM IF OK TO USE.</t>
    </r>
  </si>
  <si>
    <t>4/21 - PCBS &amp; MATL DUE 4/22</t>
  </si>
  <si>
    <t>126217
NEW</t>
  </si>
  <si>
    <t>5/6
10D</t>
  </si>
  <si>
    <t xml:space="preserve">CLASS 3
LEAD WASH PROCESS
IF ANY BTD OR DNI BOARDS, MARK/NOTE PER ECO #4
</t>
  </si>
  <si>
    <t>4/24 - 10:30</t>
  </si>
  <si>
    <t>4/24 - 1:00</t>
  </si>
  <si>
    <t>tag boards BTD or DNI</t>
  </si>
  <si>
    <t>4/22 - CLEAR</t>
  </si>
  <si>
    <t>4/22 - KIT CLEAR
4/22 - CLEAR LESS 2 ITEMS FOR CONFIRMATION - SHOULD BE OK TO USE</t>
  </si>
  <si>
    <r>
      <rPr>
        <b/>
        <sz val="11"/>
        <color rgb="FF000000"/>
        <rFont val="Calibri"/>
        <family val="2"/>
      </rPr>
      <t xml:space="preserve">4/22 - SHOULD CLEAR TODAY OR 4/23
</t>
    </r>
    <r>
      <rPr>
        <b/>
        <strike/>
        <sz val="11"/>
        <color rgb="FF000000"/>
        <rFont val="Calibri"/>
        <family val="2"/>
      </rPr>
      <t>4/21 - PCBS &amp; MATL DUE 4/22</t>
    </r>
  </si>
  <si>
    <t>126218
NEW</t>
  </si>
  <si>
    <t>4/25 - 9:30</t>
  </si>
  <si>
    <t>4/25 - 1:00</t>
  </si>
  <si>
    <t>4/28 - 10:00</t>
  </si>
  <si>
    <t>4/22 - KIT CLEAR</t>
  </si>
  <si>
    <t>126220
RONC 124941</t>
  </si>
  <si>
    <r>
      <rPr>
        <b/>
        <sz val="11"/>
        <color rgb="FFFF0000"/>
        <rFont val="Calibri"/>
        <family val="2"/>
      </rPr>
      <t xml:space="preserve">"P5" QUALITY ALERT!
</t>
    </r>
    <r>
      <rPr>
        <b/>
        <sz val="11"/>
        <color rgb="FF000000"/>
        <rFont val="Calibri"/>
        <family val="2"/>
      </rPr>
      <t xml:space="preserve">LEAD WASH
MINIMIZE LOSS OF PARTS
IF ANY BTD OR DNI BOARDS, MARK/NOTE PER ECO #7
</t>
    </r>
  </si>
  <si>
    <t>4/23 - 8:30</t>
  </si>
  <si>
    <t>4/23 - 12:30</t>
  </si>
  <si>
    <t>4/24 - 9:30</t>
  </si>
  <si>
    <t>SHORT, NO ETA 4/30</t>
  </si>
  <si>
    <t>4/28 - KIT CLEAR
4/25 - MATERIAL CLEAR</t>
  </si>
  <si>
    <t>132695
NEW</t>
  </si>
  <si>
    <t>5/5
5D</t>
  </si>
  <si>
    <t>SHORT, ETA 4/28</t>
  </si>
  <si>
    <r>
      <rPr>
        <b/>
        <sz val="11"/>
        <color rgb="FF000000"/>
        <rFont val="Calibri"/>
        <family val="2"/>
      </rPr>
      <t xml:space="preserve">4/25 - KIT CLEAR
</t>
    </r>
    <r>
      <rPr>
        <b/>
        <strike/>
        <sz val="11"/>
        <color rgb="FF000000"/>
        <rFont val="Calibri"/>
        <family val="2"/>
      </rPr>
      <t>4/15 - SHORT C67, C2, C7, C4, D13, D5, U41, U32, R14, R79, R8, R6, R13, R74, R81 &amp; R14 (SMT), J3, S1, DS1 &amp; BZ1 (THT) ETA NEXT WEEK. *MOST OF SHORTAGES WILL BE ARE HERE 4/17 FR. DIGIKEY</t>
    </r>
  </si>
  <si>
    <t>131985-1st
NEW</t>
  </si>
  <si>
    <t>5/2
5D</t>
  </si>
  <si>
    <t>LEADED NO-CLEAN
J5 &amp; J9 (THT) SMT placed
KIT &amp; VERIFY STENCIL UPDATED
DS1,DS2 &amp; DS3 HEIGHT REQ</t>
  </si>
  <si>
    <t>4/28 - 12:00</t>
  </si>
  <si>
    <t>J5 &amp; J9 needs moved to SMT kit</t>
  </si>
  <si>
    <t>SEE MFG NOTES</t>
  </si>
  <si>
    <t>might need to depanel before top side SMT</t>
  </si>
  <si>
    <t>SHORT, NO ETA 4/24</t>
  </si>
  <si>
    <t>4/24 - KIT CLEAR
4/18- MATERIALS CLEAR</t>
  </si>
  <si>
    <t>132571
ROWC 130508</t>
  </si>
  <si>
    <t>5/1
5D</t>
  </si>
  <si>
    <t>#2 (J3-J11) SMT place
REVIEW ECO #2 MFG-PartECN-REVPartRev.PDF
DEPANEL</t>
  </si>
  <si>
    <t>4/25 - 8:30</t>
  </si>
  <si>
    <t>4/25 - 11:30</t>
  </si>
  <si>
    <t>moved #2 to SMT kit</t>
  </si>
  <si>
    <t>SHORT, NO WAIT FOR NEW ETA 4/1 4/17 4/28</t>
  </si>
  <si>
    <t>3/21 - SHORT U200, J1000_1, R1419, R1420, and R1418 (SMT), and J1300 (THT) WITH NO ETA.</t>
  </si>
  <si>
    <t>131523
NEW</t>
  </si>
  <si>
    <r>
      <rPr>
        <b/>
        <sz val="14"/>
        <color rgb="FF000000"/>
        <rFont val="Calibri"/>
        <family val="2"/>
      </rPr>
      <t xml:space="preserve">5/1
</t>
    </r>
    <r>
      <rPr>
        <b/>
        <sz val="14"/>
        <color rgb="FFFF0000"/>
        <rFont val="Calibri"/>
        <family val="2"/>
      </rPr>
      <t>3D</t>
    </r>
  </si>
  <si>
    <r>
      <rPr>
        <b/>
        <sz val="11"/>
        <color rgb="FF000000"/>
        <rFont val="Calibri"/>
        <family val="2"/>
      </rPr>
      <t xml:space="preserve">LEAD WASH
</t>
    </r>
    <r>
      <rPr>
        <b/>
        <sz val="12"/>
        <color rgb="FFFF0000"/>
        <rFont val="Calibri"/>
        <family val="2"/>
      </rPr>
      <t xml:space="preserve">*** SMT - DO NOT RUN ALL 6 BOARDS AT ONCE - RUN ONE FIRST AND HAVE ROBERT CHECK ITM 47 BEFORE RUNNING 2ND BOARD
</t>
    </r>
    <r>
      <rPr>
        <b/>
        <sz val="12"/>
        <color rgb="FF000000"/>
        <rFont val="Calibri"/>
        <family val="2"/>
      </rPr>
      <t>*** RAN SIMILAR JOB B128661 - ITEM 47 WAS TRIANGULAR SHAPE PART WHICH HAD BAD SOLDERING ISSUES - NEW PART "U200x31" MPD-0422FCSP2 IS SQUARE WITH FINE PITCH PADS
shipping: ensure nuts installed J300, J301</t>
    </r>
  </si>
  <si>
    <t>4/29 - 10:00</t>
  </si>
  <si>
    <t>4/30 - 10:45</t>
  </si>
  <si>
    <t>4:30 - 3:00</t>
  </si>
  <si>
    <t xml:space="preserve">Augustus Aero
</t>
  </si>
  <si>
    <t>SMT BOT side 1st</t>
  </si>
  <si>
    <t>DOC REL 3/21</t>
  </si>
  <si>
    <t>verified updated ECO in folder</t>
  </si>
  <si>
    <t>SHORT, ETA 5/2</t>
  </si>
  <si>
    <r>
      <rPr>
        <b/>
        <sz val="11"/>
        <color rgb="FF000000"/>
        <rFont val="Calibri"/>
        <family val="2"/>
      </rPr>
      <t xml:space="preserve">4/23 - KIT CLEAR
4/17 - MATERIALS CLEAR FOR FA QTY.3
</t>
    </r>
    <r>
      <rPr>
        <b/>
        <strike/>
        <sz val="11"/>
        <color rgb="FF000000"/>
        <rFont val="Calibri"/>
        <family val="2"/>
      </rPr>
      <t>4/11 - SHORT C1, D4, U27, U15, U69, and U79 (SMT) WITH NO ETA</t>
    </r>
  </si>
  <si>
    <r>
      <rPr>
        <b/>
        <sz val="11"/>
        <color rgb="FF156082"/>
        <rFont val="Calibri"/>
        <family val="2"/>
      </rPr>
      <t xml:space="preserve">5/1 - OK TO SHIP
</t>
    </r>
    <r>
      <rPr>
        <b/>
        <strike/>
        <sz val="11"/>
        <color rgb="FF156082"/>
        <rFont val="Calibri"/>
        <family val="2"/>
      </rPr>
      <t>4/30 - HARDWARE QUESTION</t>
    </r>
  </si>
  <si>
    <t>126415-1st
NEW</t>
  </si>
  <si>
    <r>
      <rPr>
        <b/>
        <strike/>
        <sz val="14"/>
        <color rgb="FF000000"/>
        <rFont val="Calibri"/>
        <family val="2"/>
      </rPr>
      <t xml:space="preserve">5/1
4/30
</t>
    </r>
    <r>
      <rPr>
        <b/>
        <sz val="14"/>
        <color rgb="FF000000"/>
        <rFont val="Calibri"/>
        <family val="2"/>
      </rPr>
      <t>5D</t>
    </r>
  </si>
  <si>
    <r>
      <rPr>
        <b/>
        <sz val="11"/>
        <color rgb="FFFF0000"/>
        <rFont val="Calibri"/>
        <family val="2"/>
      </rPr>
      <t xml:space="preserve">*** 100% INSP REQ - BOARDS MUST BE PERFECT!!
</t>
    </r>
    <r>
      <rPr>
        <b/>
        <sz val="11"/>
        <color rgb="FF000000"/>
        <rFont val="Calibri"/>
        <family val="2"/>
      </rPr>
      <t xml:space="preserve">MUST AOI
XRAY &amp; SAVE IMAGES
DEPANEL
</t>
    </r>
    <r>
      <rPr>
        <b/>
        <u/>
        <sz val="11"/>
        <color rgb="FF782170"/>
        <rFont val="Calibri"/>
        <family val="2"/>
      </rPr>
      <t>shipping: verify nuts &amp; washer installed</t>
    </r>
  </si>
  <si>
    <t>4/25 - 7:30</t>
  </si>
  <si>
    <t>#27 (u79) BTD</t>
  </si>
  <si>
    <t>4/11</t>
  </si>
  <si>
    <t>VERIFY
complete
ECO label</t>
  </si>
  <si>
    <t>SHORT, NO ETA 4/22 4/23</t>
  </si>
  <si>
    <r>
      <rPr>
        <b/>
        <sz val="11"/>
        <color rgb="FF000000"/>
        <rFont val="Calibri"/>
        <family val="2"/>
      </rPr>
      <t xml:space="preserve">4/23-KIT CLEAR
4/17 - MATERIALS CLEAR
</t>
    </r>
    <r>
      <rPr>
        <b/>
        <sz val="11"/>
        <color rgb="FFFF0000"/>
        <rFont val="Calibri"/>
        <family val="2"/>
      </rPr>
      <t>*4/28 - NEW J6, J18, and JP3 RECEVED</t>
    </r>
  </si>
  <si>
    <r>
      <rPr>
        <b/>
        <sz val="11"/>
        <color rgb="FF000000"/>
        <rFont val="Calibri"/>
        <family val="2"/>
      </rPr>
      <t xml:space="preserve">4/25- "JP3" IS NOW DNI. "J6,J18" CHANGE FROM PCC03SAAN TO PCC02SAAN 
</t>
    </r>
    <r>
      <rPr>
        <b/>
        <strike/>
        <sz val="11"/>
        <color rgb="FF000000"/>
        <rFont val="Calibri"/>
        <family val="2"/>
      </rPr>
      <t>4/24 - CUST HOLD FOR T/H CHANGE</t>
    </r>
  </si>
  <si>
    <t>131946
NEW</t>
  </si>
  <si>
    <r>
      <rPr>
        <b/>
        <sz val="14"/>
        <color rgb="FF000000"/>
        <rFont val="Calibri"/>
        <family val="2"/>
      </rPr>
      <t xml:space="preserve">4/30
</t>
    </r>
    <r>
      <rPr>
        <b/>
        <strike/>
        <sz val="14"/>
        <color rgb="FF000000"/>
        <rFont val="Calibri"/>
        <family val="2"/>
      </rPr>
      <t xml:space="preserve">4/30
</t>
    </r>
    <r>
      <rPr>
        <b/>
        <sz val="14"/>
        <color rgb="FF000000"/>
        <rFont val="Calibri"/>
        <family val="2"/>
      </rPr>
      <t>5D</t>
    </r>
  </si>
  <si>
    <t>"LS1, K1, U16" AFTER WASH
ENSURE PROPER MOISTURE SENSITIVITY LEVEL
*** 4/25- "JP3" IS NOW DNI. "J6,J18" CHANGE FROM PCC03SAAN TO PCC02SAAN 
DEPANEL</t>
  </si>
  <si>
    <t xml:space="preserve">Adona Medical, Inc.
</t>
  </si>
  <si>
    <t>ensure proper moisture level?</t>
  </si>
  <si>
    <r>
      <rPr>
        <b/>
        <sz val="11"/>
        <color rgb="FF000000"/>
        <rFont val="Calibri"/>
        <family val="2"/>
      </rPr>
      <t>4/7 - KIT CLEAR</t>
    </r>
    <r>
      <rPr>
        <b/>
        <strike/>
        <sz val="11"/>
        <color rgb="FF000000"/>
        <rFont val="Calibri"/>
        <family val="2"/>
      </rPr>
      <t xml:space="preserve"> BUT WAIT FOR AA ENG. RELEASE FILES</t>
    </r>
  </si>
  <si>
    <t xml:space="preserve">4/7 - 2ND ARTI APPVD - WTG FOR RE-AUDIT
2/26 - NEW STENCIL RECEIVED FOR SMT INSTALL B1_A, ETC. </t>
  </si>
  <si>
    <t>130385-2nd
RONC 1st</t>
  </si>
  <si>
    <r>
      <rPr>
        <b/>
        <sz val="14"/>
        <color rgb="FF000000"/>
        <rFont val="Calibri"/>
        <family val="2"/>
      </rPr>
      <t xml:space="preserve">4/30
</t>
    </r>
    <r>
      <rPr>
        <b/>
        <strike/>
        <sz val="14"/>
        <color rgb="FF000000"/>
        <rFont val="Calibri"/>
        <family val="2"/>
      </rPr>
      <t xml:space="preserve">5/6
</t>
    </r>
    <r>
      <rPr>
        <b/>
        <sz val="14"/>
        <color rgb="FF000000"/>
        <rFont val="Calibri"/>
        <family val="2"/>
      </rPr>
      <t>20D</t>
    </r>
  </si>
  <si>
    <r>
      <rPr>
        <b/>
        <sz val="11"/>
        <color rgb="FFFF0000"/>
        <rFont val="Calibri"/>
        <family val="2"/>
      </rPr>
      <t xml:space="preserve">*** QUALITY ALERT -- SEE ECO
</t>
    </r>
    <r>
      <rPr>
        <b/>
        <sz val="11"/>
        <color rgb="FF000000"/>
        <rFont val="Calibri"/>
        <family val="2"/>
      </rPr>
      <t>LEAD-FREE NO-CLEAN
TRUE NO CLEAN BUILD
REMINDER: B1_A... SMT INSTALL</t>
    </r>
  </si>
  <si>
    <t>4/11 - 9:00
4/14 - pause 11:00
4/17 - 6:00</t>
  </si>
  <si>
    <t>4/17 - 7:30
4/17 - pause 12:30
4/21 - 10:00</t>
  </si>
  <si>
    <t>4/21 - 12:30</t>
  </si>
  <si>
    <t>moved #1 (b1_A..) from THT to SMT kit</t>
  </si>
  <si>
    <t>SHORT, NO ETA 4/22</t>
  </si>
  <si>
    <r>
      <rPr>
        <b/>
        <sz val="11"/>
        <color rgb="FF000000"/>
        <rFont val="Calibri"/>
        <family val="2"/>
      </rPr>
      <t xml:space="preserve">4/22 - KIT CLEAR
4/21 - MATERIAL CLEAR
4/18 - SMT CLEAR |
</t>
    </r>
    <r>
      <rPr>
        <b/>
        <strike/>
        <sz val="11"/>
        <color rgb="FF000000"/>
        <rFont val="Calibri"/>
        <family val="2"/>
      </rPr>
      <t>SHORT J5 (THT) WITH NO ETA.</t>
    </r>
  </si>
  <si>
    <t>132426
ROWC 128129</t>
  </si>
  <si>
    <t>4/29
5D</t>
  </si>
  <si>
    <r>
      <rPr>
        <b/>
        <sz val="11"/>
        <color rgb="FFFF0000"/>
        <rFont val="Calibri"/>
        <family val="2"/>
      </rPr>
      <t xml:space="preserve">*** 100% INSP REQ - BOARDS MUST BE PERFECT!!!
</t>
    </r>
    <r>
      <rPr>
        <b/>
        <sz val="11"/>
        <color rgb="FF000000"/>
        <rFont val="Calibri"/>
        <family val="2"/>
      </rPr>
      <t xml:space="preserve">LEAD FREE NO CLEAN
</t>
    </r>
    <r>
      <rPr>
        <b/>
        <u/>
        <sz val="11"/>
        <color rgb="FFFF0000"/>
        <rFont val="Calibri"/>
        <family val="2"/>
      </rPr>
      <t xml:space="preserve">*** SAC305 REQUIRED
</t>
    </r>
    <r>
      <rPr>
        <b/>
        <sz val="11"/>
        <color rgb="FF000000"/>
        <rFont val="Calibri"/>
        <family val="2"/>
      </rPr>
      <t>"U13, SW1" ARE MOISTURE SENSITIVE
DEPANEL &amp; SAND
SEE ECO #10 FOR CofC
PACKAGE W/ EXTRA CARE</t>
    </r>
  </si>
  <si>
    <t>4/23 - 10:00</t>
  </si>
  <si>
    <t>yes
filled out</t>
  </si>
  <si>
    <t>CofC label requirement06-6586-01
rev 2
b132426</t>
  </si>
  <si>
    <t>SHORT, NO ETA 4/21</t>
  </si>
  <si>
    <t>4/21 - KIT CLEAR
4/18 - MATERIALS CLEAR</t>
  </si>
  <si>
    <t>132017-1st
NEW</t>
  </si>
  <si>
    <t>4/28
5D</t>
  </si>
  <si>
    <t>4/22 - 10:00</t>
  </si>
  <si>
    <t>4/22 - 11:00</t>
  </si>
  <si>
    <t>4/22 - 1:00</t>
  </si>
  <si>
    <t>132627
NEW</t>
  </si>
  <si>
    <t>4/22 - 3:00</t>
  </si>
  <si>
    <t xml:space="preserve">Forza Ametek
</t>
  </si>
  <si>
    <t>4/21 - KIT CLEAR
4/14 - MATERIAL CLEAR</t>
  </si>
  <si>
    <t>132291
NEW</t>
  </si>
  <si>
    <r>
      <rPr>
        <b/>
        <sz val="11"/>
        <color rgb="FF000000"/>
        <rFont val="Calibri"/>
        <family val="2"/>
      </rPr>
      <t xml:space="preserve">"D23, 27" LENS FACE BOARD EDGE
"SW1, PZ1" AFTER WASH
</t>
    </r>
    <r>
      <rPr>
        <b/>
        <u/>
        <sz val="11"/>
        <color rgb="FF000000"/>
        <rFont val="Calibri"/>
        <family val="2"/>
      </rPr>
      <t>PLACE JUMBERS ON "J10"</t>
    </r>
    <r>
      <rPr>
        <b/>
        <sz val="11"/>
        <color rgb="FF000000"/>
        <rFont val="Calibri"/>
        <family val="2"/>
      </rPr>
      <t xml:space="preserve"> PER ECO
DEPANEL &amp; SAND</t>
    </r>
  </si>
  <si>
    <t>4/21 - 12:00</t>
  </si>
  <si>
    <t>4/22 - 8:00</t>
  </si>
  <si>
    <t>4/22 - 10:30</t>
  </si>
  <si>
    <t>SHORT, NO ETA 4/23</t>
  </si>
  <si>
    <r>
      <rPr>
        <b/>
        <strike/>
        <sz val="11"/>
        <color rgb="FF000000"/>
        <rFont val="Calibri"/>
        <family val="2"/>
      </rPr>
      <t>4</t>
    </r>
    <r>
      <rPr>
        <b/>
        <sz val="11"/>
        <color rgb="FF000000"/>
        <rFont val="Calibri"/>
        <family val="2"/>
      </rPr>
      <t xml:space="preserve">/17 - KIT CLEAR
</t>
    </r>
    <r>
      <rPr>
        <b/>
        <strike/>
        <sz val="11"/>
        <color rgb="FF000000"/>
        <rFont val="Calibri"/>
        <family val="2"/>
      </rPr>
      <t>4/10 - SHORT KA1 WITH NO ETA THIS WEEK 4/17, TRACKING PROVD</t>
    </r>
  </si>
  <si>
    <t>4/14 - OK TO START - ONLY SHORT "KA1"</t>
  </si>
  <si>
    <t>132206
RONC 128451</t>
  </si>
  <si>
    <r>
      <rPr>
        <b/>
        <sz val="14"/>
        <color rgb="FF000000"/>
        <rFont val="Calibri"/>
        <family val="2"/>
      </rPr>
      <t xml:space="preserve">4/28
</t>
    </r>
    <r>
      <rPr>
        <b/>
        <strike/>
        <sz val="14"/>
        <color rgb="FF000000"/>
        <rFont val="Calibri"/>
        <family val="2"/>
      </rPr>
      <t xml:space="preserve">4/25
5/1
</t>
    </r>
    <r>
      <rPr>
        <b/>
        <sz val="14"/>
        <color rgb="FF000000"/>
        <rFont val="Calibri"/>
        <family val="2"/>
      </rPr>
      <t>10D</t>
    </r>
  </si>
  <si>
    <t>DO NOT SHIP EARLIER THAN 4/28
T/H ONLY
"LED1-10" PLACE PER ECO
DEPANEL</t>
  </si>
  <si>
    <t>SHORT, ETA 4/22</t>
  </si>
  <si>
    <r>
      <rPr>
        <b/>
        <sz val="11"/>
        <color rgb="FF000000"/>
        <rFont val="Calibri"/>
        <family val="2"/>
      </rPr>
      <t xml:space="preserve">4/17 - KIT CLEAR
4/14 - MATERIAL CLEAR
</t>
    </r>
    <r>
      <rPr>
        <b/>
        <strike/>
        <sz val="11"/>
        <color rgb="FF000000"/>
        <rFont val="Calibri"/>
        <family val="2"/>
      </rPr>
      <t>4/11 - SHORT C19, C3, J3, R1 (SMT), J2, J4 (THT) WITH ETA 4/14.</t>
    </r>
  </si>
  <si>
    <t>132413
RONC 129204</t>
  </si>
  <si>
    <r>
      <rPr>
        <b/>
        <sz val="14"/>
        <color rgb="FF000000"/>
        <rFont val="Calibri"/>
        <family val="2"/>
      </rPr>
      <t xml:space="preserve">4/30
</t>
    </r>
    <r>
      <rPr>
        <b/>
        <strike/>
        <sz val="14"/>
        <color rgb="FF000000"/>
        <rFont val="Calibri"/>
        <family val="2"/>
      </rPr>
      <t xml:space="preserve">5/1
</t>
    </r>
    <r>
      <rPr>
        <b/>
        <sz val="14"/>
        <color rgb="FF000000"/>
        <rFont val="Calibri"/>
        <family val="2"/>
      </rPr>
      <t>10D</t>
    </r>
  </si>
  <si>
    <t>4/18 - 9:00</t>
  </si>
  <si>
    <t>4/18 - 10:30</t>
  </si>
  <si>
    <t>4/18 - 12:30</t>
  </si>
  <si>
    <t>images</t>
  </si>
  <si>
    <r>
      <t>SHORT, ETA 4/18.</t>
    </r>
    <r>
      <rPr>
        <b/>
        <sz val="11"/>
        <color rgb="FF000000"/>
        <rFont val="Calibri"/>
        <family val="2"/>
      </rPr>
      <t xml:space="preserve"> 4/3 RECVD</t>
    </r>
  </si>
  <si>
    <r>
      <t xml:space="preserve">4/16 - KIT CLEAR
</t>
    </r>
    <r>
      <rPr>
        <b/>
        <strike/>
        <sz val="11"/>
        <color rgb="FF000000"/>
        <rFont val="Calibri"/>
        <family val="2"/>
      </rPr>
      <t>4/2 - SHORT U49, U14 &amp; R83 (SMT) WITH NO ETA, J8 (SMT) ETA 6/20</t>
    </r>
  </si>
  <si>
    <t>126414-1st
NEW</t>
  </si>
  <si>
    <t>4/30
10D</t>
  </si>
  <si>
    <r>
      <rPr>
        <b/>
        <sz val="11"/>
        <color rgb="FFFF0000"/>
        <rFont val="Calibri"/>
        <family val="2"/>
      </rPr>
      <t xml:space="preserve">*** 100% INSP REQ - BOARDS MUST BE PERFECT!!!
*** SOLDER BRIDGE REQ @ "U14, U15, U20, U21, U26, U27, U32 and U33" @ PINS 22, 23 &amp; 24
</t>
    </r>
    <r>
      <rPr>
        <b/>
        <sz val="11"/>
        <color rgb="FF000000"/>
        <rFont val="Calibri"/>
        <family val="2"/>
      </rPr>
      <t>XRAY &amp; SAVE IMAGES
DEPANEL
*** dni "J4K" &amp; SHIP WITH ASSYS</t>
    </r>
  </si>
  <si>
    <t>4/18 - 9:30</t>
  </si>
  <si>
    <t>4/18 - 11:00</t>
  </si>
  <si>
    <t>4/18 - 2:00</t>
  </si>
  <si>
    <t>DOC REL 3/28</t>
  </si>
  <si>
    <t>label req maches with ECO</t>
  </si>
  <si>
    <t>4/23 - KIT CLEAR
4/21 - MATERIAL CLEAR</t>
  </si>
  <si>
    <t>132638
NEW</t>
  </si>
  <si>
    <r>
      <rPr>
        <b/>
        <sz val="14"/>
        <color rgb="FF000000"/>
        <rFont val="Calibri"/>
        <family val="2"/>
      </rPr>
      <t xml:space="preserve">4/25
</t>
    </r>
    <r>
      <rPr>
        <b/>
        <sz val="14"/>
        <color rgb="FFFF0000"/>
        <rFont val="Calibri"/>
        <family val="2"/>
      </rPr>
      <t>2D</t>
    </r>
  </si>
  <si>
    <t>TRIM T/H LEADS 2.0 MAX PER ECO
DEPANEL &amp; SAND</t>
  </si>
  <si>
    <t>4/23 - 1:30</t>
  </si>
  <si>
    <t>4/24 - 7:00</t>
  </si>
  <si>
    <t>DOC REL 4/18</t>
  </si>
  <si>
    <t>4/21</t>
  </si>
  <si>
    <r>
      <rPr>
        <b/>
        <sz val="11"/>
        <color rgb="FF000000"/>
        <rFont val="Calibri"/>
        <family val="2"/>
      </rPr>
      <t>SHORT,</t>
    </r>
    <r>
      <rPr>
        <b/>
        <strike/>
        <sz val="11"/>
        <color rgb="FF000000"/>
        <rFont val="Calibri"/>
        <family val="2"/>
      </rPr>
      <t xml:space="preserve"> NO </t>
    </r>
    <r>
      <rPr>
        <b/>
        <sz val="11"/>
        <color rgb="FF000000"/>
        <rFont val="Calibri"/>
        <family val="2"/>
      </rPr>
      <t>ET</t>
    </r>
    <r>
      <rPr>
        <b/>
        <strike/>
        <sz val="11"/>
        <color rgb="FF000000"/>
        <rFont val="Calibri"/>
        <family val="2"/>
      </rPr>
      <t>A 4/23</t>
    </r>
  </si>
  <si>
    <r>
      <t xml:space="preserve">4/7 - MATERIAL CLEAR
4/4 - SMT CLEAR.
</t>
    </r>
    <r>
      <rPr>
        <b/>
        <strike/>
        <sz val="11"/>
        <color rgb="FF000000"/>
        <rFont val="Calibri"/>
        <family val="2"/>
      </rPr>
      <t>SHORT U10, and XF1 (THT) NO ETA</t>
    </r>
  </si>
  <si>
    <t>132073
NEW</t>
  </si>
  <si>
    <r>
      <rPr>
        <b/>
        <sz val="14"/>
        <color rgb="FF000000"/>
        <rFont val="Calibri"/>
        <family val="2"/>
      </rPr>
      <t xml:space="preserve">4/24
</t>
    </r>
    <r>
      <rPr>
        <b/>
        <strike/>
        <sz val="14"/>
        <color rgb="FF000000"/>
        <rFont val="Calibri"/>
        <family val="2"/>
      </rPr>
      <t xml:space="preserve">4/30
</t>
    </r>
    <r>
      <rPr>
        <b/>
        <sz val="14"/>
        <color rgb="FF000000"/>
        <rFont val="Calibri"/>
        <family val="2"/>
      </rPr>
      <t>15D</t>
    </r>
  </si>
  <si>
    <r>
      <rPr>
        <b/>
        <sz val="11"/>
        <color rgb="FF000000"/>
        <rFont val="Calibri"/>
        <family val="2"/>
      </rPr>
      <t xml:space="preserve">DO NOT SHIP EARLIER THAN 4/24
"U10" THT - MAKE SURE THIS CAME AS DAUGHTER BOARD ASSY &amp; NOT IC COMPONENT </t>
    </r>
    <r>
      <rPr>
        <b/>
        <u/>
        <sz val="11"/>
        <color rgb="FF000000"/>
        <rFont val="Calibri"/>
        <family val="2"/>
      </rPr>
      <t xml:space="preserve">(INSTALL U10 IN J7, J8)
F1 INSTALL INTO XF1
</t>
    </r>
    <r>
      <rPr>
        <b/>
        <sz val="11"/>
        <color rgb="FF000000"/>
        <rFont val="Calibri"/>
        <family val="2"/>
      </rPr>
      <t>ok to touch up via holes (TAD)
*** "U10" OK TO TRIM LEAD PER CUSTOMER EMAIL</t>
    </r>
  </si>
  <si>
    <t>4/15 - 12:30</t>
  </si>
  <si>
    <t>DOC REL 4/3</t>
  </si>
  <si>
    <t>4/4</t>
  </si>
  <si>
    <r>
      <rPr>
        <b/>
        <sz val="11"/>
        <color rgb="FF000000"/>
        <rFont val="Calibri"/>
        <family val="2"/>
      </rPr>
      <t xml:space="preserve">4/17 - KIT CLEAR
</t>
    </r>
    <r>
      <rPr>
        <b/>
        <strike/>
        <sz val="11"/>
        <color rgb="FF000000"/>
        <rFont val="Calibri"/>
        <family val="2"/>
      </rPr>
      <t>SHORT R31 x30 (SMT) CONFIRM IF OKAY TO USE ALTA STOCK &amp; U38 (SMT) WAIT FOR CONFIRM.</t>
    </r>
  </si>
  <si>
    <t>4/22 - 8 boards SMT comp top + bot
4/17 - CONF W. CUST IF OK TO USE "R31" ALTA STOCK</t>
  </si>
  <si>
    <t>132405
NEW</t>
  </si>
  <si>
    <t xml:space="preserve">
4/24
5D</t>
  </si>
  <si>
    <r>
      <rPr>
        <b/>
        <sz val="11"/>
        <color rgb="FFFF0000"/>
        <rFont val="Calibri"/>
        <family val="2"/>
      </rPr>
      <t xml:space="preserve">QUALITY ALERT! - CUSTOMER HAD </t>
    </r>
    <r>
      <rPr>
        <b/>
        <sz val="11"/>
        <color rgb="FF000000"/>
        <rFont val="Calibri"/>
        <family val="2"/>
      </rPr>
      <t>SOLDERING ISSUES PER ECO, PLEASE XRAY
DEPANEL
"T1" (MS293-20C) IS DNI -  IF ORDERED OR IN KIT SEND BACK WITH BOARDS</t>
    </r>
  </si>
  <si>
    <t>4/22 - 6:00</t>
  </si>
  <si>
    <t>4/23 - 10:30</t>
  </si>
  <si>
    <t>4/24 - 6:30</t>
  </si>
  <si>
    <t>SMT run bot 1st (verified by Robert/Tri)</t>
  </si>
  <si>
    <t>verify U4 soldered well</t>
  </si>
  <si>
    <t>added quality alert</t>
  </si>
  <si>
    <r>
      <t xml:space="preserve">4/18 - KIT CLEAR
</t>
    </r>
    <r>
      <rPr>
        <b/>
        <strike/>
        <sz val="11"/>
        <color rgb="FF000000"/>
        <rFont val="Calibri"/>
        <family val="2"/>
      </rPr>
      <t>4/14 - SHORT L200 (SMT) WITH NO ETA</t>
    </r>
  </si>
  <si>
    <r>
      <rPr>
        <b/>
        <sz val="11"/>
        <color rgb="FF000000"/>
        <rFont val="Calibri"/>
        <family val="2"/>
      </rPr>
      <t xml:space="preserve">4/18 - run top side 1st
</t>
    </r>
    <r>
      <rPr>
        <b/>
        <sz val="11"/>
        <color rgb="FFFF0000"/>
        <rFont val="Calibri"/>
        <family val="2"/>
      </rPr>
      <t>4/14 - OK TO SKIP "L200" IF YOU NEED A JOB TO RUN</t>
    </r>
  </si>
  <si>
    <t>132254
NEW</t>
  </si>
  <si>
    <t>4/25
5D</t>
  </si>
  <si>
    <t>LEAD-FREE WASH
#23 (J200-J208,etc.) SMT place
Depanel &amp; sand</t>
  </si>
  <si>
    <t>4/18 - 12:30
4/18 - pause 2:00
4/21 - 9:00</t>
  </si>
  <si>
    <t>4/21 - 11:00</t>
  </si>
  <si>
    <t>moved #23 to SMT kit</t>
  </si>
  <si>
    <t>4/21 - kit clear</t>
  </si>
  <si>
    <t>4/24
3D</t>
  </si>
  <si>
    <t>R&amp;R R68 w/ MPN: PCS1206FR0020ET</t>
  </si>
  <si>
    <t>PCBS CLEAR</t>
  </si>
  <si>
    <r>
      <rPr>
        <b/>
        <sz val="11"/>
        <color rgb="FF000000"/>
        <rFont val="Calibri"/>
        <family val="2"/>
      </rPr>
      <t xml:space="preserve">4/16 - KIT CLEAR
</t>
    </r>
    <r>
      <rPr>
        <b/>
        <strike/>
        <sz val="11"/>
        <color rgb="FF000000"/>
        <rFont val="Calibri"/>
        <family val="2"/>
      </rPr>
      <t>4/14 - SHORT C88 (SMT) WITH NO ETA</t>
    </r>
  </si>
  <si>
    <t>4/17 - smt bot comp qty 37</t>
  </si>
  <si>
    <t>131040-2nd
ROWC 1st Article</t>
  </si>
  <si>
    <t>4/23
5D</t>
  </si>
  <si>
    <r>
      <rPr>
        <b/>
        <u/>
        <sz val="14"/>
        <color rgb="FFFF0000"/>
        <rFont val="Calibri"/>
        <family val="2"/>
      </rPr>
      <t xml:space="preserve">*** "D6 &amp; D16" CHANGED TO ROTATE 180 DEG FOR 2ND ART
</t>
    </r>
    <r>
      <rPr>
        <b/>
        <sz val="11"/>
        <color rgb="FF000000"/>
        <rFont val="Calibri"/>
        <family val="2"/>
      </rPr>
      <t xml:space="preserve">"SW1" AFTER WASH
DEPANEL
</t>
    </r>
    <r>
      <rPr>
        <b/>
        <strike/>
        <sz val="11"/>
        <color rgb="FF000000"/>
        <rFont val="Calibri"/>
        <family val="2"/>
      </rPr>
      <t>Re-bake PCBs before run</t>
    </r>
    <r>
      <rPr>
        <b/>
        <sz val="11"/>
        <color rgb="FF000000"/>
        <rFont val="Calibri"/>
        <family val="2"/>
      </rPr>
      <t xml:space="preserve"> (done 4/15)</t>
    </r>
  </si>
  <si>
    <t>4/17 - 11:00</t>
  </si>
  <si>
    <t>4/18 - 7:30</t>
  </si>
  <si>
    <t>4/18 - 12:00</t>
  </si>
  <si>
    <t xml:space="preserve">ABB Inc.
</t>
  </si>
  <si>
    <t>4 items DNI + 1 polarity change
uploaded</t>
  </si>
  <si>
    <t>added 2nd article note to ECO for D6 &amp; D16</t>
  </si>
  <si>
    <t>4/14 - KIT CLEAR
4/9 - MATERIAL CLEAR</t>
  </si>
  <si>
    <t>132412
RONC 130735</t>
  </si>
  <si>
    <r>
      <rPr>
        <b/>
        <sz val="14"/>
        <color rgb="FF000000"/>
        <rFont val="Calibri"/>
        <family val="2"/>
      </rPr>
      <t xml:space="preserve">4/23
</t>
    </r>
    <r>
      <rPr>
        <b/>
        <strike/>
        <sz val="14"/>
        <color rgb="FF000000"/>
        <rFont val="Calibri"/>
        <family val="2"/>
      </rPr>
      <t xml:space="preserve">4/28
</t>
    </r>
    <r>
      <rPr>
        <b/>
        <sz val="14"/>
        <color rgb="FF000000"/>
        <rFont val="Calibri"/>
        <family val="2"/>
      </rPr>
      <t>10D</t>
    </r>
  </si>
  <si>
    <t>do not ship earlier than 4/23
LEAD-FREE NO-CLEAN
DEPANEL</t>
  </si>
  <si>
    <t>4/16 - 1:00</t>
  </si>
  <si>
    <t>4/16 - 2:30</t>
  </si>
  <si>
    <t>completed (ESD bag)
alta standard</t>
  </si>
  <si>
    <t>images attached to folder</t>
  </si>
  <si>
    <t>SHORT, 4/7</t>
  </si>
  <si>
    <t>4/2 - KIT CLEAR
3/14 - MATERIAL CLEAR</t>
  </si>
  <si>
    <t>4/4 - via holes larger than pads</t>
  </si>
  <si>
    <t>131632
NEW</t>
  </si>
  <si>
    <r>
      <rPr>
        <b/>
        <sz val="14"/>
        <color rgb="FF000000"/>
        <rFont val="Calibri"/>
        <family val="2"/>
      </rPr>
      <t xml:space="preserve">4/23
</t>
    </r>
    <r>
      <rPr>
        <b/>
        <strike/>
        <sz val="14"/>
        <color rgb="FF000000"/>
        <rFont val="Calibri"/>
        <family val="2"/>
      </rPr>
      <t xml:space="preserve">4/30
</t>
    </r>
    <r>
      <rPr>
        <b/>
        <sz val="14"/>
        <color rgb="FF000000"/>
        <rFont val="Calibri"/>
        <family val="2"/>
      </rPr>
      <t>20D</t>
    </r>
  </si>
  <si>
    <t>do not ship earlier than 4/23
"Q40" FOOTPRINT DOES NOT HAVE THERMAL PAD - PLACE AS IS
DEPANEL</t>
  </si>
  <si>
    <t>4/7 - 1:00</t>
  </si>
  <si>
    <t>4/9 - 8:30</t>
  </si>
  <si>
    <t xml:space="preserve">White Buffalo Inc.
</t>
  </si>
  <si>
    <t>3/14</t>
  </si>
  <si>
    <t>SHORT 26+1 due 4/21 - 4/23</t>
  </si>
  <si>
    <r>
      <rPr>
        <b/>
        <sz val="11"/>
        <color rgb="FF000000"/>
        <rFont val="Calibri"/>
        <family val="2"/>
      </rPr>
      <t xml:space="preserve">4/17 - KIT CLEAR
4/11 - MATERIAL CLEAR
</t>
    </r>
    <r>
      <rPr>
        <b/>
        <strike/>
        <sz val="11"/>
        <color rgb="FF000000"/>
        <rFont val="Calibri"/>
        <family val="2"/>
      </rPr>
      <t>SHORT C28 &amp; U5 (SMT), U6 (THT) ETA 4/11-4/14.
*WE AGREED TO RUN 74 BRDS ONCE CLEAR</t>
    </r>
  </si>
  <si>
    <t>4/17 - PCBA plating issue (Lanh repaired &amp; Robert accepted)</t>
  </si>
  <si>
    <t>132253-2 BAL
RONC 120153</t>
  </si>
  <si>
    <t>4/24
5D</t>
  </si>
  <si>
    <r>
      <rPr>
        <b/>
        <sz val="11"/>
        <color rgb="FF000000"/>
        <rFont val="Calibri"/>
        <family val="2"/>
      </rPr>
      <t xml:space="preserve">LEAD WASH
"SSR2" POST BAKE PER ECO
</t>
    </r>
    <r>
      <rPr>
        <b/>
        <sz val="11"/>
        <color rgb="FF782170"/>
        <rFont val="Calibri"/>
        <family val="2"/>
      </rPr>
      <t>bake req: 60 min 100 degrees C</t>
    </r>
  </si>
  <si>
    <t>4/17 - 2:00</t>
  </si>
  <si>
    <t>yes
FILLED</t>
  </si>
  <si>
    <t>4/15 - KIT CLEAR</t>
  </si>
  <si>
    <t>131536
NEW</t>
  </si>
  <si>
    <t>4/22
5D</t>
  </si>
  <si>
    <r>
      <rPr>
        <b/>
        <sz val="11"/>
        <color rgb="FFFF0000"/>
        <rFont val="Calibri"/>
        <family val="2"/>
      </rPr>
      <t xml:space="preserve">*** 100% INSP REQ - BOARDS MUST BE PERFECT!!!
</t>
    </r>
    <r>
      <rPr>
        <b/>
        <sz val="11"/>
        <color rgb="FF000000"/>
        <rFont val="Calibri"/>
        <family val="2"/>
      </rPr>
      <t xml:space="preserve">LEAD WASH
DEPANEL
</t>
    </r>
    <r>
      <rPr>
        <b/>
        <sz val="11"/>
        <color rgb="FF782170"/>
        <rFont val="Calibri"/>
        <family val="2"/>
      </rPr>
      <t>SHIPPING: VERIFY GASKETS ARE INSTALLED</t>
    </r>
  </si>
  <si>
    <t>4/17 - 7:30</t>
  </si>
  <si>
    <t>4/17 - 10:00</t>
  </si>
  <si>
    <t>FEDEX  GRD</t>
  </si>
  <si>
    <t xml:space="preserve">US Army Picatinny Arsenal
</t>
  </si>
  <si>
    <t>SHIPPING: INSTALLED COVERS</t>
  </si>
  <si>
    <t>complee
alta standard</t>
  </si>
  <si>
    <t>131656-2
RONC 1st Article</t>
  </si>
  <si>
    <t>LEAD-FREE WASH
F1,F2,F3,F4 PLACE AS-IS
AFTER WASH T2,T3,T1_1 &amp; RELx14,U32,SW1</t>
  </si>
  <si>
    <t>4/16 - 11:00</t>
  </si>
  <si>
    <t xml:space="preserve">DE Design Works
</t>
  </si>
  <si>
    <t>4/10 - KIT CLEAR
4/9 - MATERIAL CLEAR</t>
  </si>
  <si>
    <t>132411
RONC 130732</t>
  </si>
  <si>
    <t>4/24
10D</t>
  </si>
  <si>
    <t>LEAD-FREE WASH
DEPANEL</t>
  </si>
  <si>
    <t>4/15 - 10:00</t>
  </si>
  <si>
    <t>4/16 - 6:30</t>
  </si>
  <si>
    <t>SHORT, ETA 4/14</t>
  </si>
  <si>
    <r>
      <rPr>
        <b/>
        <sz val="11"/>
        <color rgb="FF000000"/>
        <rFont val="Calibri"/>
        <family val="2"/>
      </rPr>
      <t xml:space="preserve">4/17 - KIT CLEAR
</t>
    </r>
    <r>
      <rPr>
        <b/>
        <strike/>
        <sz val="11"/>
        <color rgb="FF000000"/>
        <rFont val="Calibri"/>
        <family val="2"/>
      </rPr>
      <t>4/4 - SHORT STRIPS.  NEED SPLICING
4/10 - SHORT U402, J300 (SMT) | CUT STRIPS D200, U100, U403, U202, U400, U101 &amp; U102 (SMT) WITH NO ETA.</t>
    </r>
  </si>
  <si>
    <t>4/15 - ship 132 of 148 on 4/18
4/11 - CAN RUN BOT SIDE ONCE PCB'S ARRIVE
CAN RUN TOP ONCE ITEM 10 ARRIVES - OK TO SKIP ITEMS  15, 18, 22</t>
  </si>
  <si>
    <t>132104-2
BAL
NEW</t>
  </si>
  <si>
    <t>4/22
3D</t>
  </si>
  <si>
    <t>LEAD WASH PROCESS
CARE REQUIRED (ZERO ATTRITION &amp; EXPENSIVE) - #10, #13, #15 &amp; #18
Please be advised: immersion silver coated PCBs should be handled with special care that differs from typical coatings like ENIG. We use gloves and VAC seal when handling PCBs finished with silver and would strongly recommend Summit does the same, if not already doing this.”</t>
  </si>
  <si>
    <t>4/15 - 8:30
4/15 - PAUSE 10:00
4/16 - 6:30</t>
  </si>
  <si>
    <t>4/16 - PAUSE 1:00
4/17 - 12:30</t>
  </si>
  <si>
    <t>4/17 - 2:30</t>
  </si>
  <si>
    <t>4/4 - SHORT STRIPS.  NEED SPLICING
4/10 - SHORT U402, J300 (SMT) | CUT STRIPS D200, U100, U403, U202, U400, U101 &amp; U102 (SMT) WITH NO ETA.</t>
  </si>
  <si>
    <r>
      <rPr>
        <b/>
        <sz val="11"/>
        <color rgb="FF000000"/>
        <rFont val="Calibri"/>
        <family val="2"/>
      </rPr>
      <t xml:space="preserve">4/15 - ship 132 of 148 on 4/18
</t>
    </r>
    <r>
      <rPr>
        <b/>
        <sz val="11"/>
        <color rgb="FFFF0000"/>
        <rFont val="Calibri"/>
        <family val="2"/>
      </rPr>
      <t>4/11 - CAN RUN BOT SIDE ONCE PCB'S ARRIVE
CAN RUN TOP ONCE ITEM 10 ARRIVES - OK TO SKIP ITEMS  15, 18, 22</t>
    </r>
  </si>
  <si>
    <t>132104-1
PAR
NEW</t>
  </si>
  <si>
    <t>4/18
3D</t>
  </si>
  <si>
    <r>
      <rPr>
        <b/>
        <sz val="11"/>
        <color rgb="FF000000"/>
        <rFont val="Calibri"/>
        <family val="2"/>
      </rPr>
      <t xml:space="preserve">LEAD WASH PROCESS
</t>
    </r>
    <r>
      <rPr>
        <b/>
        <sz val="11"/>
        <color rgb="FF782170"/>
        <rFont val="Calibri"/>
        <family val="2"/>
      </rPr>
      <t>CARE REQUIRED (ZERO ATTRITION &amp; EXPENSIVE) - #10, #13, #15 &amp; #18
Please be advised: immersion silver coated PCBs should be handled with special care that differs from typical coatings like ENIG. We use gloves and VAC seal when handling PCBs finished with silver and would strongly recommend Summit does the same, if not already doing this.”</t>
    </r>
  </si>
  <si>
    <r>
      <rPr>
        <b/>
        <sz val="11"/>
        <color rgb="FF000000"/>
        <rFont val="Calibri"/>
        <family val="2"/>
      </rPr>
      <t xml:space="preserve">4/11- PCB RECVD
</t>
    </r>
    <r>
      <rPr>
        <b/>
        <strike/>
        <sz val="11"/>
        <color rgb="FF000000"/>
        <rFont val="Calibri"/>
        <family val="2"/>
      </rPr>
      <t>SHORT, NO ETA 4/14</t>
    </r>
  </si>
  <si>
    <r>
      <rPr>
        <b/>
        <sz val="11"/>
        <color rgb="FF000000"/>
        <rFont val="Calibri"/>
        <family val="2"/>
      </rPr>
      <t xml:space="preserve">4/11 - KIT CLEAR
4/8 - SMT CLEAR
</t>
    </r>
    <r>
      <rPr>
        <b/>
        <strike/>
        <sz val="11"/>
        <color rgb="FF000000"/>
        <rFont val="Calibri"/>
        <family val="2"/>
      </rPr>
      <t>SHORT U105 (THT) WITH NO ETA</t>
    </r>
  </si>
  <si>
    <t>132279
NEW</t>
  </si>
  <si>
    <t>4/18
5D</t>
  </si>
  <si>
    <r>
      <rPr>
        <b/>
        <sz val="14"/>
        <color rgb="FFFF0000"/>
        <rFont val="Calibri"/>
        <family val="2"/>
      </rPr>
      <t xml:space="preserve">*** HAND LOAD "L4, 7, 11" EXACT ONLY - DO NOT LOSE
</t>
    </r>
    <r>
      <rPr>
        <b/>
        <sz val="11"/>
        <color rgb="FF000000"/>
        <rFont val="Calibri"/>
        <family val="2"/>
      </rPr>
      <t>"L8, 12" AFTER WASH
"W1-5" SEE ECO FOR PLACEMENT
DI WATER WASH &amp; BATCH CLEAN W/ AQUANOX A4639 PER ECO
HEAT SINK MECH ASSY REQ
DEPANEL</t>
    </r>
  </si>
  <si>
    <t>4/15 - 8:30</t>
  </si>
  <si>
    <t xml:space="preserve">Lake Shore Cryotronics, Inc.
</t>
  </si>
  <si>
    <t>AQUANOX A4639 solution</t>
  </si>
  <si>
    <t>many individual images of orientation
---
printed &amp; included some in folder</t>
  </si>
  <si>
    <r>
      <t xml:space="preserve">4/11 - PCBS CLEAR FOR QTY 73
</t>
    </r>
    <r>
      <rPr>
        <b/>
        <strike/>
        <sz val="11"/>
        <color rgb="FF000000"/>
        <rFont val="Calibri"/>
        <family val="2"/>
      </rPr>
      <t xml:space="preserve">SHORT 74 PCB ETA 4/11-4/14 |
SHORT 26 </t>
    </r>
  </si>
  <si>
    <r>
      <rPr>
        <b/>
        <sz val="11"/>
        <color rgb="FF000000"/>
        <rFont val="Calibri"/>
        <family val="2"/>
      </rPr>
      <t xml:space="preserve">4/11 - CLEAR FOR QTY 73
</t>
    </r>
    <r>
      <rPr>
        <b/>
        <strike/>
        <sz val="11"/>
        <color rgb="FF000000"/>
        <rFont val="Calibri"/>
        <family val="2"/>
      </rPr>
      <t>4/10 - SHORT C28 &amp; U5 (SMT), U6 (THT) ETA 4/11-4/14.
*WE AGREED TO RUN 74 BRDS ONCE CLEAR</t>
    </r>
  </si>
  <si>
    <r>
      <rPr>
        <b/>
        <sz val="11"/>
        <color rgb="FF000000"/>
        <rFont val="Calibri"/>
        <family val="2"/>
      </rPr>
      <t xml:space="preserve">4/11 - MATL CLEAR FOR QTY73
</t>
    </r>
    <r>
      <rPr>
        <b/>
        <strike/>
        <sz val="11"/>
        <color rgb="FF000000"/>
        <rFont val="Calibri"/>
        <family val="2"/>
      </rPr>
      <t>4/10 - RUN QTY 74 PARTIAL</t>
    </r>
  </si>
  <si>
    <r>
      <rPr>
        <b/>
        <sz val="14"/>
        <color rgb="FF000000"/>
        <rFont val="Calibri"/>
        <family val="2"/>
      </rPr>
      <t xml:space="preserve">132253-1 PAR
</t>
    </r>
    <r>
      <rPr>
        <b/>
        <sz val="14"/>
        <color rgb="FF156082"/>
        <rFont val="Calibri"/>
        <family val="2"/>
      </rPr>
      <t>RONC 120153</t>
    </r>
  </si>
  <si>
    <t>4/14 - 11:00</t>
  </si>
  <si>
    <t>4/15 - 6:30</t>
  </si>
  <si>
    <t>complete 73 of 100
alta standard</t>
  </si>
  <si>
    <t>SHORT, ETA 4/10 
NO ETA 4/7</t>
  </si>
  <si>
    <r>
      <rPr>
        <b/>
        <sz val="11"/>
        <color rgb="FF000000"/>
        <rFont val="Calibri"/>
        <family val="2"/>
      </rPr>
      <t xml:space="preserve">4/8 - KIT CLEAR
3/26 - MATERIAL CLEAR
</t>
    </r>
    <r>
      <rPr>
        <b/>
        <strike/>
        <sz val="11"/>
        <color rgb="FF000000"/>
        <rFont val="Calibri"/>
        <family val="2"/>
      </rPr>
      <t>3/24 - SHORT CH300 (SMT) and PSE1 (THT) WITH NO ETA</t>
    </r>
  </si>
  <si>
    <t>131975
NEW</t>
  </si>
  <si>
    <t>4/22
10D</t>
  </si>
  <si>
    <r>
      <rPr>
        <b/>
        <sz val="11"/>
        <color rgb="FF000000"/>
        <rFont val="Calibri"/>
        <family val="2"/>
      </rPr>
      <t xml:space="preserve">DEPANEL
</t>
    </r>
    <r>
      <rPr>
        <b/>
        <sz val="11"/>
        <color rgb="FF782170"/>
        <rFont val="Calibri"/>
        <family val="2"/>
      </rPr>
      <t>shipping: verify nut &amp; washer installed</t>
    </r>
  </si>
  <si>
    <t>4/10 - 6:00</t>
  </si>
  <si>
    <t>4/10 - 10:30</t>
  </si>
  <si>
    <t>4/10 - 2:00</t>
  </si>
  <si>
    <t>SHORT, NO ETA 4/14 4/7</t>
  </si>
  <si>
    <t>4/10 - KIT CLEAR
3/26 - MATERIALS CLEAR</t>
  </si>
  <si>
    <t>129203
NEW</t>
  </si>
  <si>
    <t>4/17
5D</t>
  </si>
  <si>
    <r>
      <rPr>
        <b/>
        <sz val="11"/>
        <color rgb="FF782170"/>
        <rFont val="Calibri"/>
        <family val="2"/>
      </rPr>
      <t xml:space="preserve">run day 1 or sooner (U1 tends to have open solder issue)
</t>
    </r>
    <r>
      <rPr>
        <b/>
        <sz val="11"/>
        <color rgb="FF000000"/>
        <rFont val="Calibri"/>
        <family val="2"/>
      </rPr>
      <t>"U5, SW1,2,3" AFTER WASH
"J9,10" SEE ECO
DEPANEL</t>
    </r>
  </si>
  <si>
    <t>4/11 - 2:30</t>
  </si>
  <si>
    <t>4/15 - 8:00</t>
  </si>
  <si>
    <t>2T 2B</t>
  </si>
  <si>
    <t>DOC REL 3/25</t>
  </si>
  <si>
    <t>8500HC Main Board Rev C – ASSEMBLY NOTES
--- orientation notes</t>
  </si>
  <si>
    <r>
      <t xml:space="preserve">4/3 - RECVD
</t>
    </r>
    <r>
      <rPr>
        <b/>
        <strike/>
        <sz val="11"/>
        <color rgb="FF000000"/>
        <rFont val="Calibri"/>
        <family val="2"/>
      </rPr>
      <t>4/2 - ETA 4/3
3/27 - ETA 4/1
3/24 - ETA 3/27
SHORT 9PCS NO ETA/NOT EXPECT TO BE CLEAR NEXT WEEK</t>
    </r>
  </si>
  <si>
    <r>
      <t xml:space="preserve">4/3 - KIT CLEAR
</t>
    </r>
    <r>
      <rPr>
        <b/>
        <strike/>
        <sz val="11"/>
        <color rgb="FF000000"/>
        <rFont val="Calibri"/>
        <family val="2"/>
      </rPr>
      <t>1/23 - SHORT U3101 (SMT), J3901, and CON3000 (THT) WITH NO ETA</t>
    </r>
  </si>
  <si>
    <t>130219-2 BAL
NEW</t>
  </si>
  <si>
    <t>4/17
10D</t>
  </si>
  <si>
    <t>QTY 11 of 20 PARTIAL shipped 3/10
LEAD FREE WASH
"SW3900" AFTER WASH
XRAY &amp; SAVE IMAGES
AS9102 FAIR REQ</t>
  </si>
  <si>
    <t>4/8 - 1:00</t>
  </si>
  <si>
    <t xml:space="preserve">Tomorrow.io
</t>
  </si>
  <si>
    <t>1/23</t>
  </si>
  <si>
    <t>4/3 - CLEAR</t>
  </si>
  <si>
    <r>
      <rPr>
        <b/>
        <sz val="11"/>
        <color rgb="FF000000"/>
        <rFont val="Calibri"/>
        <family val="2"/>
      </rPr>
      <t xml:space="preserve">4/7 - KIT CLEAR
</t>
    </r>
    <r>
      <rPr>
        <b/>
        <strike/>
        <sz val="11"/>
        <color rgb="FF000000"/>
        <rFont val="Calibri"/>
        <family val="2"/>
      </rPr>
      <t>4/3 - SHORT C563, C214, C126A, D2A, R104 (SMT) AND NEED ATTR FOR C217, U29, R118A, R117A, R116A, R112A, R215A, R30, R173 (SMT) WITH NO ETA</t>
    </r>
  </si>
  <si>
    <t>4/3 - REALLY ONLY SHORT ATTRITION - ANNE WILL BUY MATL - OK TO SET UP &amp; RUN</t>
  </si>
  <si>
    <t>129502-2nd
RONC 1st Article</t>
  </si>
  <si>
    <t>4/21
10D</t>
  </si>
  <si>
    <r>
      <rPr>
        <b/>
        <sz val="11"/>
        <color rgb="FFFF0000"/>
        <rFont val="Calibri"/>
        <family val="2"/>
      </rPr>
      <t xml:space="preserve">*** check boards for abrasians
*** BAKE ICs BEFORE RUN
</t>
    </r>
    <r>
      <rPr>
        <b/>
        <sz val="11"/>
        <color rgb="FF782170"/>
        <rFont val="Calibri"/>
        <family val="2"/>
      </rPr>
      <t>U50 slight misalignment (verify)
before ship: Clean SW1 flux residue
LEAD-FREE WASH
REVIEW: ASSEMBLY DRAWING PDF
XRAY &amp; SAVE IMAGES
SOLDER PROFILE SENT TO CUSTOMER (INCLUDE PHOTOS, TESTING METHOD &amp; RECOMMENDATIONS) PER ECO &amp; DRAWING
AFTER WASH: SW1</t>
    </r>
  </si>
  <si>
    <t>4/8 - 8:00</t>
  </si>
  <si>
    <t>4/8 - 11:00</t>
  </si>
  <si>
    <t>4/9 - 1:30</t>
  </si>
  <si>
    <t>Fermilab</t>
  </si>
  <si>
    <t>4/3</t>
  </si>
  <si>
    <t>ECO #15 (new)</t>
  </si>
  <si>
    <t>abrasians &amp; clean flux</t>
  </si>
  <si>
    <t>u50 misaligned</t>
  </si>
  <si>
    <t>4/8 - KIT CLEAR</t>
  </si>
  <si>
    <t>4/8 - prev build STNDFF doesn't fit 29 boards</t>
  </si>
  <si>
    <t>132246
RONC 126086</t>
  </si>
  <si>
    <t>4/15
5D</t>
  </si>
  <si>
    <r>
      <rPr>
        <b/>
        <sz val="11"/>
        <color rgb="FF000000"/>
        <rFont val="Calibri"/>
        <family val="2"/>
      </rPr>
      <t xml:space="preserve">LEAD PROCESS
</t>
    </r>
    <r>
      <rPr>
        <b/>
        <sz val="11"/>
        <color rgb="FFFF0000"/>
        <rFont val="Calibri"/>
        <family val="2"/>
      </rPr>
      <t xml:space="preserve">*** "P3" QUALITY ALERT - SEE ECO
</t>
    </r>
    <r>
      <rPr>
        <b/>
        <sz val="11"/>
        <color rgb="FF000000"/>
        <rFont val="Calibri"/>
        <family val="2"/>
      </rPr>
      <t>DEPANEL</t>
    </r>
  </si>
  <si>
    <t>4/10 - 8:30</t>
  </si>
  <si>
    <t>4/11 - 9:00</t>
  </si>
  <si>
    <t xml:space="preserve">Avtron Power Solutions
</t>
  </si>
  <si>
    <t>ECO, prev run &amp; photos REVIEWED
----
- LABELED</t>
  </si>
  <si>
    <t>DOC REL 4/1</t>
  </si>
  <si>
    <t>1/23 - KIT CLEAR</t>
  </si>
  <si>
    <t>2/4 - SMT 1.1MIN/BORD</t>
  </si>
  <si>
    <t>4/15
15D</t>
  </si>
  <si>
    <r>
      <rPr>
        <b/>
        <u/>
        <sz val="14"/>
        <color rgb="FF000000"/>
        <rFont val="Calibri"/>
        <family val="2"/>
      </rPr>
      <t xml:space="preserve">SCHEDULED SHIPMENT
</t>
    </r>
    <r>
      <rPr>
        <b/>
        <u/>
        <sz val="14"/>
        <color rgb="FFFF0000"/>
        <rFont val="Calibri"/>
        <family val="2"/>
      </rPr>
      <t xml:space="preserve">"U3" MIXED POP PER ECO
</t>
    </r>
    <r>
      <rPr>
        <b/>
        <sz val="11"/>
        <color rgb="FF000000"/>
        <rFont val="Calibri"/>
        <family val="2"/>
      </rPr>
      <t xml:space="preserve">"U2" AFTER WASH
"U1" POST BAKE IF BOARDS ARE WASHED
*** "J1" SEE ECO 7 BEFORE INSTALLING
ALL T/H HEADERS/TEST PIONTS FLUSH TO BOARD
</t>
    </r>
    <r>
      <rPr>
        <b/>
        <sz val="14"/>
        <color rgb="FFFF0000"/>
        <rFont val="Calibri"/>
        <family val="2"/>
      </rPr>
      <t>*** DEPANEL &amp; SAND (CUST COMPLAINED FA NOT SANDED)</t>
    </r>
  </si>
  <si>
    <t>2/4 - BOT 7:30</t>
  </si>
  <si>
    <t>2/4 - TOP 10:30</t>
  </si>
  <si>
    <t>2/4 - AOI 2:00</t>
  </si>
  <si>
    <t xml:space="preserve">Micro Precision Automation
</t>
  </si>
  <si>
    <t>ECO CHANGE (SANDING REQUIRED)</t>
  </si>
  <si>
    <t>01/23 - KIT CLEAR</t>
  </si>
  <si>
    <t>1/23 - #41 UPSIDE DOWN IN T&amp;R
2/3 - SMT COMP QTY 60</t>
  </si>
  <si>
    <t>2/3 - BOT 7:00</t>
  </si>
  <si>
    <t>2/3 - TOP 12:00</t>
  </si>
  <si>
    <t>2/4 - AOI 7:30</t>
  </si>
  <si>
    <t>4/7 - CLEAR</t>
  </si>
  <si>
    <r>
      <rPr>
        <b/>
        <sz val="11"/>
        <color rgb="FF000000"/>
        <rFont val="Calibri"/>
        <family val="2"/>
      </rPr>
      <t xml:space="preserve">4/7 - KIT CLEAR/ SMT CLEAR
</t>
    </r>
    <r>
      <rPr>
        <b/>
        <strike/>
        <sz val="11"/>
        <color rgb="FF000000"/>
        <rFont val="Calibri"/>
        <family val="2"/>
      </rPr>
      <t>RB1 (THT) WAIT TO BE APPROVED</t>
    </r>
  </si>
  <si>
    <t>132247
RONC 125564</t>
  </si>
  <si>
    <t>4/14
5D</t>
  </si>
  <si>
    <t>LEADED WASH
DEPANEL</t>
  </si>
  <si>
    <t>4/9 - 7:30</t>
  </si>
  <si>
    <t>4/10 - 6:30</t>
  </si>
  <si>
    <t>4/3 - RECVD</t>
  </si>
  <si>
    <t>4/3 - KIT CLEAR</t>
  </si>
  <si>
    <t>131633
NEW</t>
  </si>
  <si>
    <t>4/14
7D</t>
  </si>
  <si>
    <r>
      <rPr>
        <b/>
        <sz val="11"/>
        <color rgb="FF000000"/>
        <rFont val="Calibri"/>
        <family val="2"/>
      </rPr>
      <t xml:space="preserve">"SW1-7" AFTER WASH
</t>
    </r>
    <r>
      <rPr>
        <b/>
        <sz val="11"/>
        <color rgb="FFFF0000"/>
        <rFont val="Calibri"/>
        <family val="2"/>
      </rPr>
      <t xml:space="preserve">*** "J6" DO NOT INSTALL HARDWARE
</t>
    </r>
    <r>
      <rPr>
        <b/>
        <sz val="11"/>
        <color rgb="FF000000"/>
        <rFont val="Calibri"/>
        <family val="2"/>
      </rPr>
      <t>VERIFY POLARITY MATCHES RID DOCUMENT
SHIPPING: ENSURE XTRA active components ARE RETURNED IN ESD-SAFE BAGS</t>
    </r>
  </si>
  <si>
    <t>4/4 - 6:00</t>
  </si>
  <si>
    <t>4/4 - 9:30</t>
  </si>
  <si>
    <t>4/4 - 2:00</t>
  </si>
  <si>
    <t>ECO &amp; XTRA DOC reviewed
- LABELED</t>
  </si>
  <si>
    <t xml:space="preserve">4/3 - 35 PCBS RECVD (SHORT 5)
3/27 - RE-MAKE, NEW ETA 4/8
SHORT, ETA 3/25 3/17 </t>
  </si>
  <si>
    <r>
      <rPr>
        <b/>
        <sz val="11"/>
        <color rgb="FF000000"/>
        <rFont val="Calibri"/>
        <family val="2"/>
      </rPr>
      <t xml:space="preserve">4/7 - KIT CLEAR FOR TOTAL 40 BRDS.
3/24 - KIT CLEAR
3/7 - MATERIAL CLEAR
</t>
    </r>
    <r>
      <rPr>
        <b/>
        <strike/>
        <sz val="11"/>
        <color rgb="FF000000"/>
        <rFont val="Calibri"/>
        <family val="2"/>
      </rPr>
      <t xml:space="preserve">3/5 - U8 (SMT) C/F </t>
    </r>
  </si>
  <si>
    <t>4/4 - SMT COMP 4 BOARDS
4/4 - QTY 4 BOARDS SMALL PAD ISSUE
4/3 - RUN QTY 35 PARTIAL &amp; LEAVE S/U</t>
  </si>
  <si>
    <r>
      <rPr>
        <b/>
        <sz val="14"/>
        <color rgb="FF000000"/>
        <rFont val="Calibri"/>
        <family val="2"/>
      </rPr>
      <t xml:space="preserve">131564
</t>
    </r>
    <r>
      <rPr>
        <b/>
        <sz val="14"/>
        <color rgb="FF156082"/>
        <rFont val="Calibri"/>
        <family val="2"/>
      </rPr>
      <t>NEW</t>
    </r>
  </si>
  <si>
    <r>
      <t xml:space="preserve">4/14
</t>
    </r>
    <r>
      <rPr>
        <b/>
        <strike/>
        <sz val="14"/>
        <color rgb="FF000000"/>
        <rFont val="Calibri"/>
        <family val="2"/>
      </rPr>
      <t xml:space="preserve">3/31
</t>
    </r>
    <r>
      <rPr>
        <b/>
        <sz val="14"/>
        <color rgb="FF000000"/>
        <rFont val="Calibri"/>
        <family val="2"/>
      </rPr>
      <t>5D</t>
    </r>
  </si>
  <si>
    <r>
      <rPr>
        <b/>
        <sz val="11"/>
        <color rgb="FF782170"/>
        <rFont val="Calibri"/>
        <family val="2"/>
      </rPr>
      <t xml:space="preserve">LEAD-FREE NO-CLEAN
</t>
    </r>
    <r>
      <rPr>
        <b/>
        <sz val="11"/>
        <color rgb="FF000000"/>
        <rFont val="Calibri"/>
        <family val="2"/>
      </rPr>
      <t xml:space="preserve">TRUE NO CLEAN
DO NOT WASH
</t>
    </r>
    <r>
      <rPr>
        <b/>
        <u/>
        <sz val="14"/>
        <color rgb="FFFF0000"/>
        <rFont val="Calibri"/>
        <family val="2"/>
      </rPr>
      <t xml:space="preserve">*** "U9" MICROPHONE - *** SENSITIVE PART *** - </t>
    </r>
    <r>
      <rPr>
        <b/>
        <u/>
        <sz val="16"/>
        <color rgb="FFFF0000"/>
        <rFont val="Calibri"/>
        <family val="2"/>
      </rPr>
      <t>CAN BE DAMAGED BY COMPRESSED AIR</t>
    </r>
    <r>
      <rPr>
        <b/>
        <u/>
        <sz val="14"/>
        <color rgb="FFFF0000"/>
        <rFont val="Calibri"/>
        <family val="2"/>
      </rPr>
      <t xml:space="preserve">, ALCHOHOL, TEMPERATURE PER ECO
</t>
    </r>
    <r>
      <rPr>
        <b/>
        <sz val="11"/>
        <color rgb="FF000000"/>
        <rFont val="Calibri"/>
        <family val="2"/>
      </rPr>
      <t>DEPANEL</t>
    </r>
  </si>
  <si>
    <t>4/4 - 8:30</t>
  </si>
  <si>
    <t>4/4 - 10:30
4/4 - pause 2:30
4/8 - 8:00</t>
  </si>
  <si>
    <t xml:space="preserve">Go Chromatic
</t>
  </si>
  <si>
    <t>ECO &amp; ADDITIONAL DOCUMENTS REVIEWED
---
- labeled</t>
  </si>
  <si>
    <t>3/5</t>
  </si>
  <si>
    <t>SHORT, NO ETA 4/4 4/3</t>
  </si>
  <si>
    <t>4/4 - KIT CLEAR
3/28 - MATERIAL CLEAR</t>
  </si>
  <si>
    <t>132041
NEW</t>
  </si>
  <si>
    <t>4/11
5D</t>
  </si>
  <si>
    <t>4/7 - 11:00</t>
  </si>
  <si>
    <t>ECO &amp; drawing reviewed
- LABELED</t>
  </si>
  <si>
    <t>DOC REL 3/27</t>
  </si>
  <si>
    <t>3/28</t>
  </si>
  <si>
    <t>SHORT, NO ETA 4/7</t>
  </si>
  <si>
    <r>
      <rPr>
        <b/>
        <sz val="11"/>
        <color rgb="FF000000"/>
        <rFont val="Calibri"/>
        <family val="2"/>
      </rPr>
      <t xml:space="preserve">4/2 - KIT CLEAR
3/31 - MATERIAL CLEAR
</t>
    </r>
    <r>
      <rPr>
        <b/>
        <strike/>
        <sz val="11"/>
        <color rgb="FF000000"/>
        <rFont val="Calibri"/>
        <family val="2"/>
      </rPr>
      <t>3/24 - SHORT C201 and CH400 (SMT) WITH ETA 3/26</t>
    </r>
  </si>
  <si>
    <t>131973
NEW</t>
  </si>
  <si>
    <t>4/16
10D</t>
  </si>
  <si>
    <t>DEPANEL
mech assy required</t>
  </si>
  <si>
    <t>4/7 - 6:00</t>
  </si>
  <si>
    <t>4/7 - 9:00</t>
  </si>
  <si>
    <t>ECO &amp; drawing reviewed</t>
  </si>
  <si>
    <t>SHORT, NO ETA 4/4 3/28 3/14</t>
  </si>
  <si>
    <r>
      <rPr>
        <b/>
        <sz val="11"/>
        <color rgb="FF000000"/>
        <rFont val="Calibri"/>
        <family val="2"/>
      </rPr>
      <t xml:space="preserve">4/4 - KIT CLEAR
3/10 - MATERIAL CLEAR (U22 NOW DNI)
</t>
    </r>
    <r>
      <rPr>
        <b/>
        <strike/>
        <sz val="11"/>
        <color rgb="FFFF0000"/>
        <rFont val="Calibri"/>
        <family val="2"/>
      </rPr>
      <t xml:space="preserve">3/7 ON-HOLD per NATION
</t>
    </r>
    <r>
      <rPr>
        <b/>
        <strike/>
        <sz val="11"/>
        <color rgb="FF000000"/>
        <rFont val="Calibri"/>
        <family val="2"/>
      </rPr>
      <t>3/6 - MATERIAL CLEAR
*ADDED U22 TO BOM</t>
    </r>
  </si>
  <si>
    <t>130987
NEW</t>
  </si>
  <si>
    <r>
      <rPr>
        <b/>
        <sz val="11"/>
        <color rgb="FF782170"/>
        <rFont val="Calibri"/>
        <family val="2"/>
      </rPr>
      <t xml:space="preserve">CLASS 3
LEAD-FREE WASH
</t>
    </r>
    <r>
      <rPr>
        <b/>
        <strike/>
        <sz val="14"/>
        <color rgb="FFFF0000"/>
        <rFont val="Calibri"/>
        <family val="2"/>
      </rPr>
      <t xml:space="preserve">*** DO NOT DEPANEL *** </t>
    </r>
    <r>
      <rPr>
        <b/>
        <sz val="14"/>
        <color rgb="FFFF0000"/>
        <rFont val="Calibri"/>
        <family val="2"/>
      </rPr>
      <t xml:space="preserve">(OK TO DEPANEL to install press fit connectors)
</t>
    </r>
    <r>
      <rPr>
        <b/>
        <sz val="11"/>
        <color rgb="FF782170"/>
        <rFont val="Calibri"/>
        <family val="2"/>
      </rPr>
      <t xml:space="preserve">XRAY, SAVE IMAGES &amp; SEND WHEN BOARDS ARE SHIPPED
</t>
    </r>
    <r>
      <rPr>
        <b/>
        <sz val="11"/>
        <color rgb="FFFF0000"/>
        <rFont val="Calibri"/>
        <family val="2"/>
      </rPr>
      <t xml:space="preserve">THERMAL PROFILE TO BE INCLUDED IN CofC
</t>
    </r>
    <r>
      <rPr>
        <b/>
        <sz val="11"/>
        <color rgb="FF782170"/>
        <rFont val="Calibri"/>
        <family val="2"/>
      </rPr>
      <t>CARE WHEN PACKING TO NOT PUNCTURE ESD BAGS (IF NEEDED</t>
    </r>
    <r>
      <rPr>
        <b/>
        <sz val="11"/>
        <color rgb="FF000000"/>
        <rFont val="Calibri"/>
        <family val="2"/>
      </rPr>
      <t xml:space="preserve">)
DNI U22
</t>
    </r>
    <r>
      <rPr>
        <b/>
        <sz val="11"/>
        <color rgb="FF782170"/>
        <rFont val="Calibri"/>
        <family val="2"/>
      </rPr>
      <t>MECH ASSY REQ</t>
    </r>
  </si>
  <si>
    <t xml:space="preserve">Genuen, LL
</t>
  </si>
  <si>
    <t>ECO &amp; DWG REVIEWED
cui</t>
  </si>
  <si>
    <t>3/6</t>
  </si>
  <si>
    <r>
      <t xml:space="preserve">RCVD 3/4 </t>
    </r>
    <r>
      <rPr>
        <b/>
        <strike/>
        <sz val="11"/>
        <color rgb="FF000000"/>
        <rFont val="Calibri"/>
        <family val="2"/>
      </rPr>
      <t>SHORT, NO ETA 3/6</t>
    </r>
  </si>
  <si>
    <r>
      <rPr>
        <b/>
        <sz val="11"/>
        <color rgb="FF000000"/>
        <rFont val="Calibri"/>
        <family val="2"/>
      </rPr>
      <t xml:space="preserve">3/18 - wrong u16 received; awt new u16
3/12 - KIT CLEAR
</t>
    </r>
    <r>
      <rPr>
        <b/>
        <strike/>
        <sz val="11"/>
        <color rgb="FF000000"/>
        <rFont val="Calibri"/>
        <family val="2"/>
      </rPr>
      <t>2/21 - SHORT JP2, and U16 (THT) WITH NO ETA</t>
    </r>
    <r>
      <rPr>
        <b/>
        <sz val="11"/>
        <color rgb="FF000000"/>
        <rFont val="Calibri"/>
        <family val="2"/>
      </rPr>
      <t>|(SMT CLEAR)</t>
    </r>
  </si>
  <si>
    <r>
      <rPr>
        <b/>
        <sz val="11"/>
        <color rgb="FF000000"/>
        <rFont val="Calibri"/>
        <family val="2"/>
      </rPr>
      <t xml:space="preserve">3/10 - SMT CLEAR
</t>
    </r>
    <r>
      <rPr>
        <b/>
        <strike/>
        <sz val="11"/>
        <color rgb="FF000000"/>
        <rFont val="Calibri"/>
        <family val="2"/>
      </rPr>
      <t>2/24 - SMT CLEAR ONCE PCB'S COME</t>
    </r>
  </si>
  <si>
    <t>131467
ROWC 125560</t>
  </si>
  <si>
    <r>
      <rPr>
        <b/>
        <strike/>
        <sz val="14"/>
        <color rgb="FF000000"/>
        <rFont val="Calibri"/>
        <family val="2"/>
      </rPr>
      <t xml:space="preserve">4/10
3/19
</t>
    </r>
    <r>
      <rPr>
        <b/>
        <sz val="14"/>
        <color rgb="FF000000"/>
        <rFont val="Calibri"/>
        <family val="2"/>
      </rPr>
      <t>5D</t>
    </r>
  </si>
  <si>
    <r>
      <rPr>
        <b/>
        <sz val="11"/>
        <color rgb="FF000000"/>
        <rFont val="Calibri"/>
        <family val="2"/>
      </rPr>
      <t xml:space="preserve">CLASS 3
</t>
    </r>
    <r>
      <rPr>
        <b/>
        <sz val="11"/>
        <color rgb="FF7030A0"/>
        <rFont val="Calibri"/>
        <family val="2"/>
      </rPr>
      <t xml:space="preserve">LEAD-FREE WASH
</t>
    </r>
    <r>
      <rPr>
        <b/>
        <u/>
        <sz val="14"/>
        <color rgb="FFFF0000"/>
        <rFont val="Calibri"/>
        <family val="2"/>
      </rPr>
      <t xml:space="preserve">*** NO QUALITY STAMPS ALLOWED ***
</t>
    </r>
    <r>
      <rPr>
        <b/>
        <sz val="11"/>
        <color rgb="FF000000"/>
        <rFont val="Calibri"/>
        <family val="2"/>
      </rPr>
      <t>JP2 &amp; JP3 REQ EPOXY (ECO#7)
"BATT1" APPLY ADHEDIVE PRIOR TO SOLDERING PER ECO 4
"U13, U15" AFTER WASH &amp; SOLDER PER ECO
BOARDS MUST BE FULLY CLEANED PRIOR TO SHIPPING - TO BE FREE OR FLUX AND DEBRIS</t>
    </r>
  </si>
  <si>
    <t>3/11 - BOT 11:30
3/11 - PAUSE 2:30
3/12 - BOT 10:00</t>
  </si>
  <si>
    <t>3/12 - TOP 11:00</t>
  </si>
  <si>
    <t>3/12 - AOI 2:30</t>
  </si>
  <si>
    <t>ECO, photos, PREV RUN &amp; BOM COMPARE REVIEWED
- labeled</t>
  </si>
  <si>
    <t>2/21</t>
  </si>
  <si>
    <r>
      <rPr>
        <b/>
        <strike/>
        <sz val="11"/>
        <color rgb="FF000000"/>
        <rFont val="Calibri"/>
        <family val="2"/>
      </rPr>
      <t xml:space="preserve">2/14 - RECVD 122, SHORT 168 RECVD PENDING  ETA. </t>
    </r>
    <r>
      <rPr>
        <b/>
        <sz val="11"/>
        <color rgb="FF000000"/>
        <rFont val="Calibri"/>
        <family val="2"/>
      </rPr>
      <t>PCB CLEAR</t>
    </r>
  </si>
  <si>
    <r>
      <t xml:space="preserve">4/4 - KIT CLEAR
2/20 - SMT CLEAR
2/14 - </t>
    </r>
    <r>
      <rPr>
        <b/>
        <strike/>
        <sz val="11"/>
        <color rgb="FF000000"/>
        <rFont val="Calibri"/>
        <family val="2"/>
      </rPr>
      <t>SHORT C4, U22, SW1 (SMT) BALANCE MAY RECVD END THIS WEEK or EARLY NEXT WEEK</t>
    </r>
    <r>
      <rPr>
        <b/>
        <sz val="11"/>
        <color rgb="FF000000"/>
        <rFont val="Calibri"/>
        <family val="2"/>
      </rPr>
      <t xml:space="preserve"> . </t>
    </r>
    <r>
      <rPr>
        <b/>
        <strike/>
        <sz val="11"/>
        <color rgb="FF000000"/>
        <rFont val="Calibri"/>
        <family val="2"/>
      </rPr>
      <t xml:space="preserve">U23 (THT) ETA 2/18 RECVD ENOUGH 11 BDS, BALANCE DON'T EXPECT TO ARRV TILL MAY. </t>
    </r>
  </si>
  <si>
    <t>3/18 - smt comp qty 264
3/14 - SMT COMP QTY 98
3/5 - SMT FA BOT COMP
2/14 - START ON DAY ONE
2/19 - RUN PARTIAL AND TRY TO SHIP IN MONTH (SMT RUN ALL BOT &amp; qty 11 TOP)</t>
  </si>
  <si>
    <t>129323-1
BAL
RONC 102114</t>
  </si>
  <si>
    <r>
      <rPr>
        <b/>
        <sz val="14"/>
        <color rgb="FF000000"/>
        <rFont val="Calibri"/>
        <family val="2"/>
      </rPr>
      <t xml:space="preserve">4/11
</t>
    </r>
    <r>
      <rPr>
        <b/>
        <strike/>
        <sz val="14"/>
        <color rgb="FF000000"/>
        <rFont val="Calibri"/>
        <family val="2"/>
      </rPr>
      <t xml:space="preserve">5/2
</t>
    </r>
    <r>
      <rPr>
        <b/>
        <sz val="14"/>
        <color rgb="FF000000"/>
        <rFont val="Calibri"/>
        <family val="2"/>
      </rPr>
      <t>20D</t>
    </r>
  </si>
  <si>
    <r>
      <rPr>
        <b/>
        <sz val="11"/>
        <color rgb="FF782170"/>
        <rFont val="Calibri"/>
        <family val="2"/>
      </rPr>
      <t xml:space="preserve">PARTIAL SHIPPED 3/20
LEADED WASH
</t>
    </r>
    <r>
      <rPr>
        <b/>
        <sz val="11"/>
        <color rgb="FF000000"/>
        <rFont val="Calibri"/>
        <family val="2"/>
      </rPr>
      <t xml:space="preserve">IF ANY BTD OR DNI, BOARDS MUST BE TAGGED PER ECO
</t>
    </r>
    <r>
      <rPr>
        <b/>
        <u/>
        <sz val="14"/>
        <color rgb="FFFF0000"/>
        <rFont val="Calibri"/>
        <family val="2"/>
      </rPr>
      <t xml:space="preserve">"SW2,4,6,8" VERIFY THE P/N RECEIVED - IF ENDING NUMBER IS B1 OR B2 PLACE AFTER WASH - IF "B" THEN OK TO WASH PER ECO </t>
    </r>
    <r>
      <rPr>
        <b/>
        <u/>
        <sz val="12"/>
        <color rgb="FFFF0000"/>
        <rFont val="Calibri"/>
        <family val="2"/>
      </rPr>
      <t>(</t>
    </r>
    <r>
      <rPr>
        <b/>
        <u/>
        <sz val="12"/>
        <color rgb="FF782170"/>
        <rFont val="Calibri"/>
        <family val="2"/>
      </rPr>
      <t>verified end with B)</t>
    </r>
  </si>
  <si>
    <t>3/5 - BOT 9:00
3/5 - pause 10:00
3/11 - BOT 8:30
3/11 - PAUSE 11:30
3/13 - BOT 6:00</t>
  </si>
  <si>
    <t>3/14 - TOP 7:00
3/17 - pause 10:30
3/18 - TOP 10:30</t>
  </si>
  <si>
    <t>3/19 - AOI 7:00</t>
  </si>
  <si>
    <t>ECO, photos &amp; PREV RUN REVIEWED
cui
- temp labeled (date code)</t>
  </si>
  <si>
    <t>DOC REL 1/6</t>
  </si>
  <si>
    <t>2/14</t>
  </si>
  <si>
    <t>SHORT, ETA 4/7 4/1</t>
  </si>
  <si>
    <r>
      <rPr>
        <b/>
        <sz val="11"/>
        <color rgb="FF000000"/>
        <rFont val="Calibri"/>
        <family val="2"/>
      </rPr>
      <t xml:space="preserve">4/1 - KIT CLEAR
3/31 - MATERIAL CLEAR
</t>
    </r>
    <r>
      <rPr>
        <b/>
        <strike/>
        <sz val="11"/>
        <color rgb="FF000000"/>
        <rFont val="Calibri"/>
        <family val="2"/>
      </rPr>
      <t>3/28 - SHORT U10, XF1 (THT) WITH NO ETA.</t>
    </r>
  </si>
  <si>
    <t>3/28 - prev build has via holes on pads</t>
  </si>
  <si>
    <t>131983
ROWC 130962</t>
  </si>
  <si>
    <t>4/15
10D</t>
  </si>
  <si>
    <t>INSTALL "F1" TO "XF1"
"U10" "J7,8,12,13" SEE ECO
DEPANEL</t>
  </si>
  <si>
    <t>4/1 - TOP 8:00</t>
  </si>
  <si>
    <t>4/1 - AOI 11:00</t>
  </si>
  <si>
    <t>ECO, bom compare, photos &amp; drawing reviewed
- labeled</t>
  </si>
  <si>
    <r>
      <rPr>
        <b/>
        <sz val="11"/>
        <color rgb="FF000000"/>
        <rFont val="Calibri"/>
        <family val="2"/>
      </rPr>
      <t xml:space="preserve">3/31 - KIT CLEAR
3/24 </t>
    </r>
    <r>
      <rPr>
        <b/>
        <strike/>
        <sz val="11"/>
        <color rgb="FF000000"/>
        <rFont val="Calibri"/>
        <family val="2"/>
      </rPr>
      <t>- SHORT</t>
    </r>
    <r>
      <rPr>
        <b/>
        <sz val="11"/>
        <color rgb="FF000000"/>
        <rFont val="Calibri"/>
        <family val="2"/>
      </rPr>
      <t xml:space="preserve"> J1 (THT) DNI </t>
    </r>
    <r>
      <rPr>
        <b/>
        <strike/>
        <sz val="11"/>
        <color rgb="FF000000"/>
        <rFont val="Calibri"/>
        <family val="2"/>
      </rPr>
      <t>WITH NO ETA</t>
    </r>
  </si>
  <si>
    <t>131976
NEW</t>
  </si>
  <si>
    <t>4/14
10D</t>
  </si>
  <si>
    <t>DEPANEL
"J1" IS DNI</t>
  </si>
  <si>
    <t>4/1 - TOP 12:30</t>
  </si>
  <si>
    <t>4/1 - AOI 1:30</t>
  </si>
  <si>
    <t>ECO &amp; drawing reviewed
- labeled</t>
  </si>
  <si>
    <r>
      <t xml:space="preserve">3-31 - KIT CLEAR
3/25 - SMT CLEAR.
</t>
    </r>
    <r>
      <rPr>
        <b/>
        <strike/>
        <sz val="11"/>
        <color rgb="FF000000"/>
        <rFont val="Calibri"/>
        <family val="2"/>
      </rPr>
      <t>SHORT CS1 (THT) WITH NO ETA</t>
    </r>
  </si>
  <si>
    <t>131974
NEW</t>
  </si>
  <si>
    <t>4/1 - 12:30</t>
  </si>
  <si>
    <t>SHORT, NO ETA 4/2</t>
  </si>
  <si>
    <r>
      <rPr>
        <b/>
        <sz val="11"/>
        <color rgb="FF000000"/>
        <rFont val="Calibri"/>
        <family val="2"/>
      </rPr>
      <t xml:space="preserve">3/28 - SMT CLEAR
</t>
    </r>
    <r>
      <rPr>
        <b/>
        <sz val="11"/>
        <color rgb="FF156082"/>
        <rFont val="Calibri"/>
        <family val="2"/>
      </rPr>
      <t xml:space="preserve">3/28 </t>
    </r>
    <r>
      <rPr>
        <b/>
        <sz val="11"/>
        <color rgb="FF000000"/>
        <rFont val="Calibri"/>
        <family val="2"/>
      </rPr>
      <t xml:space="preserve">- </t>
    </r>
    <r>
      <rPr>
        <b/>
        <sz val="11"/>
        <color rgb="FF156082"/>
        <rFont val="Calibri"/>
        <family val="2"/>
      </rPr>
      <t xml:space="preserve">SHORT THERMAL (THT) TRACK END OF 4/8 </t>
    </r>
    <r>
      <rPr>
        <b/>
        <strike/>
        <sz val="11"/>
        <color rgb="FF156082"/>
        <rFont val="Calibri"/>
        <family val="2"/>
      </rPr>
      <t xml:space="preserve">WITH NO ETA 4/7. </t>
    </r>
    <r>
      <rPr>
        <b/>
        <sz val="11"/>
        <color rgb="FF156082"/>
        <rFont val="Calibri"/>
        <family val="2"/>
      </rPr>
      <t xml:space="preserve"> *HARDWARES ADDED TO JOB BUT NO ON BOM</t>
    </r>
  </si>
  <si>
    <t>132034
NEW</t>
  </si>
  <si>
    <r>
      <rPr>
        <b/>
        <sz val="14"/>
        <color rgb="FF000000"/>
        <rFont val="Calibri"/>
        <family val="2"/>
      </rPr>
      <t xml:space="preserve">???
</t>
    </r>
    <r>
      <rPr>
        <b/>
        <sz val="14"/>
        <color rgb="FFFF0000"/>
        <rFont val="Calibri"/>
        <family val="2"/>
      </rPr>
      <t>3D</t>
    </r>
  </si>
  <si>
    <t>"C29,30" AFTER WASH
LEAD PROTRUSION NOT TO EXCEED 0.04 MAX
POST BAKE 30 MIN ASSYS IF WASHED
HEAT SINK ASSY W. THERMAL COMPOUND REQ
INSTALL FUSES
DEPANEL</t>
  </si>
  <si>
    <t>4/2 - TOP 6:00</t>
  </si>
  <si>
    <t>4/2: AOI 10:30</t>
  </si>
  <si>
    <r>
      <rPr>
        <b/>
        <sz val="11"/>
        <color rgb="FF000000"/>
        <rFont val="Calibri"/>
        <family val="2"/>
      </rPr>
      <t xml:space="preserve">4/4 - BOARDS / MATERIAL CLEAR / PROCEED 79BRD PER CUSTOMER. 
</t>
    </r>
    <r>
      <rPr>
        <b/>
        <sz val="11"/>
        <color rgb="FFFF0000"/>
        <rFont val="Calibri"/>
        <family val="2"/>
      </rPr>
      <t>*PACKING LIST STATED 80 BRDS, ACTUAL COUNT 79. PENDING ON PHUONG TO CONFIRM.</t>
    </r>
  </si>
  <si>
    <r>
      <rPr>
        <b/>
        <strike/>
        <sz val="14"/>
        <color rgb="FF000000"/>
        <rFont val="Calibri"/>
        <family val="2"/>
      </rPr>
      <t xml:space="preserve">80
</t>
    </r>
    <r>
      <rPr>
        <b/>
        <sz val="14"/>
        <color rgb="FF000000"/>
        <rFont val="Calibri"/>
        <family val="2"/>
      </rPr>
      <t>79</t>
    </r>
  </si>
  <si>
    <t>1. REMOVE R126
2. ADD 32AWG R122 pin1 &amp; R126 pin2
3. REPLACE R147, R148 w/ 2.2k 0201 RESISTORS
SHIPPING: PHOTOS OF FRONT/BACK REQUIRED</t>
  </si>
  <si>
    <t>Amazon</t>
  </si>
  <si>
    <t xml:space="preserve">RWK TRAVELER REVIEWED
</t>
  </si>
  <si>
    <t>SHORT, NO ETA 4/3</t>
  </si>
  <si>
    <r>
      <t xml:space="preserve">4/1 - KIT CLEAR
</t>
    </r>
    <r>
      <rPr>
        <b/>
        <strike/>
        <sz val="11"/>
        <color rgb="FF000000"/>
        <rFont val="Calibri"/>
        <family val="2"/>
      </rPr>
      <t>3/27 - SHORT R18 (SMT) WITH NO ETA</t>
    </r>
  </si>
  <si>
    <t>3/28 - OK TO SKIP "R18"</t>
  </si>
  <si>
    <t>131181
NEW</t>
  </si>
  <si>
    <t>4/8
5D</t>
  </si>
  <si>
    <t>4/1 - TOP 10:00</t>
  </si>
  <si>
    <t>4/1 - AOI 2:30</t>
  </si>
  <si>
    <t>ECO &amp; drawings REVIEWED
----
- labeled</t>
  </si>
  <si>
    <t>SHORT, NO ETA 3/31</t>
  </si>
  <si>
    <t>3/31 - KIT CLEAR
3/10 - MATERIAL CLEAR</t>
  </si>
  <si>
    <t>4/1 - "C188O" MISSING PLATING - CUST NOTIFIED
4/1 - CUST SAID TO DNI &amp; REPORT SER #S</t>
  </si>
  <si>
    <t>131469
ROWC 130400</t>
  </si>
  <si>
    <t>4/7
5D</t>
  </si>
  <si>
    <r>
      <rPr>
        <b/>
        <sz val="11"/>
        <color rgb="FF000000"/>
        <rFont val="Calibri"/>
        <family val="2"/>
      </rPr>
      <t xml:space="preserve">DNI LOCATIONS TO BE FREE OF SOLDER
USE ALPHA WS-820 Lead free solder paste 
"SW1. 8. 28" AFTER WASH
DEPANEL
</t>
    </r>
    <r>
      <rPr>
        <b/>
        <sz val="11"/>
        <color rgb="FFFF0000"/>
        <rFont val="Calibri"/>
        <family val="2"/>
      </rPr>
      <t xml:space="preserve">*** MAKE SURE BOARDS ARE FREE AND CLEAN OF DEBRIS - WIPE DOWN WITH WIPES
INTL - SHIP EXCESS MATL W/ BOARDS
</t>
    </r>
    <r>
      <rPr>
        <b/>
        <sz val="14"/>
        <color rgb="FFFF0000"/>
        <rFont val="Calibri"/>
        <family val="2"/>
      </rPr>
      <t>*** "C1880" DNI ON QTY 12 - SEND CUST SER #'S AFFECTED</t>
    </r>
  </si>
  <si>
    <t>4/1 - BOT 6:00</t>
  </si>
  <si>
    <t>4/1  - TOP 10:00</t>
  </si>
  <si>
    <t>4/2 - AOI 10:00</t>
  </si>
  <si>
    <r>
      <rPr>
        <b/>
        <sz val="11"/>
        <color rgb="FFFF0000"/>
        <rFont val="Calibri"/>
        <family val="2"/>
      </rPr>
      <t xml:space="preserve">INTL
</t>
    </r>
    <r>
      <rPr>
        <b/>
        <sz val="11"/>
        <color rgb="FF000000"/>
        <rFont val="Calibri"/>
        <family val="2"/>
      </rPr>
      <t>FEDEX 2DAY</t>
    </r>
  </si>
  <si>
    <t xml:space="preserve">Alphawave IP Inc.
</t>
  </si>
  <si>
    <t>ECO, prev run &amp; photos REVIEWED
-----
LABEL / eco CHANGE
- depanel 1 side 1st
- labeled</t>
  </si>
  <si>
    <t>DOC REL 3/7</t>
  </si>
  <si>
    <t>SHORT, ETA 3/24</t>
  </si>
  <si>
    <r>
      <t xml:space="preserve">3/26 - KIT CLEAR
</t>
    </r>
    <r>
      <rPr>
        <b/>
        <strike/>
        <sz val="11"/>
        <color rgb="FF000000"/>
        <rFont val="Calibri"/>
        <family val="2"/>
      </rPr>
      <t>3/18 - SHORT U12, U18 NO ETA, Q3, Q5 (SMT) and J3, J1 (THT) WITH NO ETA.</t>
    </r>
  </si>
  <si>
    <t>3/27 - SMT COMP QTY 229</t>
  </si>
  <si>
    <t>131744
NEW</t>
  </si>
  <si>
    <t>4/9
10D</t>
  </si>
  <si>
    <r>
      <rPr>
        <b/>
        <sz val="11"/>
        <color rgb="FF000000"/>
        <rFont val="Calibri"/>
        <family val="2"/>
      </rPr>
      <t xml:space="preserve">CHECK PCB FOR INK/COPPER STAMPS - </t>
    </r>
    <r>
      <rPr>
        <b/>
        <sz val="11"/>
        <color rgb="FFFF0000"/>
        <rFont val="Calibri"/>
        <family val="2"/>
      </rPr>
      <t xml:space="preserve">NO ADDED STAMPS/labels/markings ALLOWED - REPORT TO CUSTOMER IF FOUND
</t>
    </r>
    <r>
      <rPr>
        <b/>
        <sz val="11"/>
        <color rgb="FF000000"/>
        <rFont val="Calibri"/>
        <family val="2"/>
      </rPr>
      <t>LEAD FREE SOLDER
MAKE SURE ALL FLUX IS REMOVED
DEPANEL</t>
    </r>
  </si>
  <si>
    <t>3/27 - TOP 6:00
3/27 - PAUSE 2:30</t>
  </si>
  <si>
    <t>4/1 - AOI 8:00</t>
  </si>
  <si>
    <t>ECO &amp; DWG REVIEWED
- temp label (no labels)</t>
  </si>
  <si>
    <t>SHORT, ETA 4/3</t>
  </si>
  <si>
    <r>
      <rPr>
        <b/>
        <sz val="11"/>
        <color rgb="FF000000"/>
        <rFont val="Calibri"/>
        <family val="2"/>
      </rPr>
      <t xml:space="preserve">3/31 - KIT CLEAR
</t>
    </r>
    <r>
      <rPr>
        <b/>
        <strike/>
        <sz val="11"/>
        <color rgb="FF000000"/>
        <rFont val="Calibri"/>
        <family val="2"/>
      </rPr>
      <t>3/24 - SHORT U1 (SMT), MP1 (THT) WITH NO ETA 3/31</t>
    </r>
  </si>
  <si>
    <t>3/28 - "U1" IS SKIPABLE - CHK W/ TRINH BCUZ OF QTY 100</t>
  </si>
  <si>
    <t>131785
NEW</t>
  </si>
  <si>
    <r>
      <rPr>
        <b/>
        <sz val="11"/>
        <color rgb="FF000000"/>
        <rFont val="Calibri"/>
        <family val="2"/>
      </rPr>
      <t xml:space="preserve">SOLDER BUILD UP ON GROUND PAD NOT TO EXCEED 0.06" IN HEIGHT
"C1-C4" MAX HEIGHT PER ECO
</t>
    </r>
    <r>
      <rPr>
        <b/>
        <sz val="11"/>
        <color rgb="FFFF0000"/>
        <rFont val="Calibri"/>
        <family val="2"/>
      </rPr>
      <t>*** TRIM LEADS 0.140" MA</t>
    </r>
    <r>
      <rPr>
        <b/>
        <sz val="11"/>
        <color rgb="FF000000"/>
        <rFont val="Calibri"/>
        <family val="2"/>
      </rPr>
      <t>X
SHIPPING: mech assy req, ESD ANTI-STATIC LABEL REQUIRED ON ESD BAGS
SPLIT SHIPMENT: 60 BOARDS TO INDUSTRIALEX &amp; 40 BOARDS TO CUSTOMER</t>
    </r>
  </si>
  <si>
    <t>4/1 - TOP 9:00</t>
  </si>
  <si>
    <t>4/1 - AOI 12:30</t>
  </si>
  <si>
    <t>ECO &amp; drawing reviewed
- label on box required (ECO)</t>
  </si>
  <si>
    <t>4/2 - closed short</t>
  </si>
  <si>
    <r>
      <rPr>
        <b/>
        <strike/>
        <sz val="11"/>
        <color rgb="FF156082"/>
        <rFont val="Calibri"/>
        <family val="2"/>
      </rPr>
      <t xml:space="preserve">SHORT, ETA 2/14 </t>
    </r>
    <r>
      <rPr>
        <b/>
        <sz val="11"/>
        <color rgb="FF156082"/>
        <rFont val="Calibri"/>
        <family val="2"/>
      </rPr>
      <t>2/12 - RECVD</t>
    </r>
  </si>
  <si>
    <r>
      <rPr>
        <b/>
        <sz val="11"/>
        <color rgb="FF156082"/>
        <rFont val="Calibri"/>
        <family val="2"/>
      </rPr>
      <t xml:space="preserve">2/10 - SHORT SMT U1 QTY.50 BUT NO ETA. </t>
    </r>
    <r>
      <rPr>
        <b/>
        <strike/>
        <sz val="11"/>
        <color rgb="FF156082"/>
        <rFont val="Calibri"/>
        <family val="2"/>
      </rPr>
      <t>(750pcs) &amp; HAVE TRACKING FOR 700pcs WITH ETA 2/11</t>
    </r>
    <r>
      <rPr>
        <b/>
        <sz val="11"/>
        <color rgb="FF156082"/>
        <rFont val="Calibri"/>
        <family val="2"/>
      </rPr>
      <t xml:space="preserve">, </t>
    </r>
  </si>
  <si>
    <t>2/12 - TALK TO TAD BEFORE RUNNING</t>
  </si>
  <si>
    <t>130917-2
bal
RONC 129940</t>
  </si>
  <si>
    <r>
      <rPr>
        <b/>
        <sz val="14"/>
        <color rgb="FFFF0000"/>
        <rFont val="Calibri"/>
        <family val="2"/>
      </rPr>
      <t xml:space="preserve">*** DO NOT OPEN "U1" UNTIL READY TO RUN (THE DAY OF)
</t>
    </r>
    <r>
      <rPr>
        <b/>
        <sz val="11"/>
        <color rgb="FF782170"/>
        <rFont val="Calibri"/>
        <family val="2"/>
      </rPr>
      <t xml:space="preserve">LEAD-FREE NO-CLEAN
</t>
    </r>
    <r>
      <rPr>
        <b/>
        <sz val="11"/>
        <color rgb="FF000000"/>
        <rFont val="Calibri"/>
        <family val="2"/>
      </rPr>
      <t xml:space="preserve">"U1" BAKING IS NOT REQUIRED
</t>
    </r>
    <r>
      <rPr>
        <b/>
        <sz val="14"/>
        <color rgb="FFFF0000"/>
        <rFont val="Calibri"/>
        <family val="2"/>
      </rPr>
      <t>*** "U1" HAND LOAD ONLY, USE SILICONE RUBBER PLUGS, HAND LOAD, THEN REFLOW</t>
    </r>
  </si>
  <si>
    <t>JP</t>
  </si>
  <si>
    <t>ECO, photos, prev run reviewed
SENSORS JOB</t>
  </si>
  <si>
    <r>
      <rPr>
        <b/>
        <strike/>
        <sz val="11"/>
        <color rgb="FF000000"/>
        <rFont val="Calibri"/>
        <family val="2"/>
      </rPr>
      <t xml:space="preserve">NO ETA 1/17 </t>
    </r>
    <r>
      <rPr>
        <b/>
        <sz val="11"/>
        <color rgb="FF000000"/>
        <rFont val="Calibri"/>
        <family val="2"/>
      </rPr>
      <t>| 1/14 - RECVD</t>
    </r>
  </si>
  <si>
    <r>
      <rPr>
        <b/>
        <strike/>
        <sz val="11"/>
        <color rgb="FF000000"/>
        <rFont val="Calibri"/>
        <family val="2"/>
      </rPr>
      <t>12/20 - SHORT SW1.. (THT) WITH NO ETA</t>
    </r>
    <r>
      <rPr>
        <b/>
        <sz val="11"/>
        <color rgb="FF000000"/>
        <rFont val="Calibri"/>
        <family val="2"/>
      </rPr>
      <t xml:space="preserve"> | </t>
    </r>
    <r>
      <rPr>
        <b/>
        <strike/>
        <sz val="11"/>
        <color rgb="FF000000"/>
        <rFont val="Calibri"/>
        <family val="2"/>
      </rPr>
      <t xml:space="preserve">K1 WAITING FOR CONFIRM. </t>
    </r>
    <r>
      <rPr>
        <b/>
        <sz val="11"/>
        <color rgb="FF000000"/>
        <rFont val="Calibri"/>
        <family val="2"/>
      </rPr>
      <t>1/14-KIT CLEAR</t>
    </r>
  </si>
  <si>
    <t>4/1 - SW1 RECEIVED
1/28 - awt reply on part issue (#13 "sw1..sw10")
1/29 - #13 keyway issue</t>
  </si>
  <si>
    <t>129732
NEW</t>
  </si>
  <si>
    <t>1/24 - TOP 11:30</t>
  </si>
  <si>
    <t>1/24 - AOI 1:00</t>
  </si>
  <si>
    <t>FEDEX 2ND</t>
  </si>
  <si>
    <t xml:space="preserve">The Boeing Company
</t>
  </si>
  <si>
    <t>3/19 - RECVD</t>
  </si>
  <si>
    <r>
      <t xml:space="preserve">3/21 - KIT CLEAR
</t>
    </r>
    <r>
      <rPr>
        <b/>
        <strike/>
        <sz val="11"/>
        <color rgb="FF000000"/>
        <rFont val="Calibri"/>
        <family val="2"/>
      </rPr>
      <t>3/19 - SHORT PARTIAL C2, U54 (SMT) ETA 3/21 , SN1 (THT) DNI WITH NO ETA</t>
    </r>
  </si>
  <si>
    <t>3/20 - SMT OK TO SKIP SHORTAGES</t>
  </si>
  <si>
    <t>131874
ROWC 127831</t>
  </si>
  <si>
    <t>4/4
10D</t>
  </si>
  <si>
    <t>DNI #208 (SN1)
LEADED WASH
tag boards &amp; note on paperwork BTD or DNI'd parts</t>
  </si>
  <si>
    <t>3/21 - BOT 6:00</t>
  </si>
  <si>
    <t>3/21 - TOP 10:00</t>
  </si>
  <si>
    <t>3/21 - AOI 12:30</t>
  </si>
  <si>
    <t>UPS 3D</t>
  </si>
  <si>
    <t>ECO, BOM compare,  photos &amp; prev run reviewed
---
- 1 SMT &amp; 1 THT no-load to load
- cui
- labeled</t>
  </si>
  <si>
    <t>03/19 - CLEAR</t>
  </si>
  <si>
    <r>
      <t xml:space="preserve">3/21 - KIT CLEAR
</t>
    </r>
    <r>
      <rPr>
        <b/>
        <strike/>
        <sz val="11"/>
        <color rgb="FF000000"/>
        <rFont val="Calibri"/>
        <family val="2"/>
      </rPr>
      <t>3/19 - SHORT PARTIAL OF R173, R229 and R225 (SMT) NO ETA 3/21</t>
    </r>
  </si>
  <si>
    <t>3/19 - SMT OK TO SKIP SHORTAGES</t>
  </si>
  <si>
    <t>131875
ROWC 127832</t>
  </si>
  <si>
    <t>LEADED WASH
tag boards &amp; note on paperwork BTD or DNI'd parts</t>
  </si>
  <si>
    <t>3/24 - BOT 9:30</t>
  </si>
  <si>
    <t>3/24 - TOP 10:30</t>
  </si>
  <si>
    <t>3/24 - aoi 1:00</t>
  </si>
  <si>
    <t>3/19 - CLEAR</t>
  </si>
  <si>
    <r>
      <t xml:space="preserve">3/20 - KIT CLEAR
</t>
    </r>
    <r>
      <rPr>
        <b/>
        <strike/>
        <sz val="11"/>
        <color rgb="FF000000"/>
        <rFont val="Calibri"/>
        <family val="2"/>
      </rPr>
      <t>3/19 - SHORT R28 (SMT) WITH NO ETA 3/21</t>
    </r>
  </si>
  <si>
    <t>131873
ROWC 127830</t>
  </si>
  <si>
    <t>4/3
10D</t>
  </si>
  <si>
    <t>3/24 - BOT 6:00</t>
  </si>
  <si>
    <t>3/24 - TOP</t>
  </si>
  <si>
    <t>3/24 - aoi 9:30</t>
  </si>
  <si>
    <t>ECO, BOM compare,  photos &amp; prev run reviewed
---
- cui
- labeled</t>
  </si>
  <si>
    <r>
      <rPr>
        <b/>
        <strike/>
        <sz val="11"/>
        <color rgb="FF000000"/>
        <rFont val="Calibri"/>
        <family val="2"/>
      </rPr>
      <t xml:space="preserve">SHORT, NO ETA
</t>
    </r>
    <r>
      <rPr>
        <b/>
        <sz val="11"/>
        <color rgb="FF000000"/>
        <rFont val="Calibri"/>
        <family val="2"/>
      </rPr>
      <t>2/13 - PCB RECVD</t>
    </r>
  </si>
  <si>
    <r>
      <rPr>
        <b/>
        <sz val="11"/>
        <color rgb="FF000000"/>
        <rFont val="Calibri"/>
        <family val="2"/>
      </rPr>
      <t xml:space="preserve">3/28 - KIT CKEAR
</t>
    </r>
    <r>
      <rPr>
        <b/>
        <strike/>
        <sz val="11"/>
        <color rgb="FF000000"/>
        <rFont val="Calibri"/>
        <family val="2"/>
      </rPr>
      <t>2/7 - SHORT 50 PCS C18, L2, J5, AE2 (SMT), QTY 1/3 OF J1 &amp;</t>
    </r>
    <r>
      <rPr>
        <b/>
        <sz val="11"/>
        <color rgb="FF000000"/>
        <rFont val="Calibri"/>
        <family val="2"/>
      </rPr>
      <t xml:space="preserve"> J6 RECVD 97, SHORT BAL 103 EXPECT RECVD 150pcs ON 2/21, </t>
    </r>
    <r>
      <rPr>
        <b/>
        <strike/>
        <sz val="11"/>
        <color rgb="FF000000"/>
        <rFont val="Calibri"/>
        <family val="2"/>
      </rPr>
      <t xml:space="preserve">SHORT COMPLETE BT1 (THT) WITH NO ETA. *PCB &amp; PARTS ARE CUSTOMER SUPPLIED.
2/13 - AWT PART CONF L2
</t>
    </r>
    <r>
      <rPr>
        <b/>
        <sz val="11"/>
        <color rgb="FF000000"/>
        <rFont val="Calibri"/>
        <family val="2"/>
      </rPr>
      <t>2/14 - DNI BT1
2/19 - SMT CLEAR</t>
    </r>
  </si>
  <si>
    <r>
      <rPr>
        <b/>
        <strike/>
        <sz val="11"/>
        <color rgb="FF000000"/>
        <rFont val="Calibri"/>
        <family val="2"/>
      </rPr>
      <t xml:space="preserve">2/14 - ALMOST SMT CLEAR
</t>
    </r>
    <r>
      <rPr>
        <b/>
        <sz val="11"/>
        <color rgb="FF000000"/>
        <rFont val="Calibri"/>
        <family val="2"/>
      </rPr>
      <t>2/19 - SMT CLEAR; ONLY SHORT "J6" T/H
2/26 - TOP SIDE 1ST DUE TO STENCIL DESIGN</t>
    </r>
  </si>
  <si>
    <t>130474-3
bal
ROWC 128842</t>
  </si>
  <si>
    <t>4/1
10D</t>
  </si>
  <si>
    <r>
      <rPr>
        <b/>
        <sz val="11"/>
        <color rgb="FFFF0000"/>
        <rFont val="Calibri"/>
        <family val="2"/>
      </rPr>
      <t xml:space="preserve">*** QTY 200 SMT CLEAR / QTY 97 100% CLEAR - SHIP QTY 97 3/5 ***
</t>
    </r>
    <r>
      <rPr>
        <b/>
        <sz val="11"/>
        <color rgb="FF000000"/>
        <rFont val="Calibri"/>
        <family val="2"/>
      </rPr>
      <t xml:space="preserve">LEAD PROCESS
TRUE NO CLEAN BUILD
"BT1, BT2" AFTER REFLOW
"J1,J2,J3,J4" INSTALL TOGETHER PER ECO
</t>
    </r>
    <r>
      <rPr>
        <b/>
        <sz val="11"/>
        <color rgb="FFFF0000"/>
        <rFont val="Calibri"/>
        <family val="2"/>
      </rPr>
      <t xml:space="preserve">*** "H1" DNI BUT SHIP WITH BOARDS
</t>
    </r>
    <r>
      <rPr>
        <b/>
        <sz val="11"/>
        <color rgb="FF000000"/>
        <rFont val="Calibri"/>
        <family val="2"/>
      </rPr>
      <t xml:space="preserve">DEPANEL
</t>
    </r>
    <r>
      <rPr>
        <b/>
        <sz val="11"/>
        <color rgb="FF782170"/>
        <rFont val="Calibri"/>
        <family val="2"/>
      </rPr>
      <t>DNI BT1</t>
    </r>
  </si>
  <si>
    <t>2/25 - BOT 1:30</t>
  </si>
  <si>
    <t>2/26 - TOP 10:30
2/26 - pause 2:30
3/4 - TOP 9:30</t>
  </si>
  <si>
    <t>3/4 - AOI 12:30</t>
  </si>
  <si>
    <t>ECO, photos &amp; DWG REVIEWED
- labeled</t>
  </si>
  <si>
    <t>DOC REL 2/6</t>
  </si>
  <si>
    <t>2/7</t>
  </si>
  <si>
    <t>3/25 - CLEAR</t>
  </si>
  <si>
    <r>
      <t xml:space="preserve">3/25 - KIT CLEAR
</t>
    </r>
    <r>
      <rPr>
        <b/>
        <strike/>
        <sz val="11"/>
        <color rgb="FF000000"/>
        <rFont val="Calibri"/>
        <family val="2"/>
      </rPr>
      <t>*WILL UPDATE SHIP DATE ONCE DOC RELEASED</t>
    </r>
  </si>
  <si>
    <t>131613-2nd
RONC 1st</t>
  </si>
  <si>
    <t>4/1
5D</t>
  </si>
  <si>
    <r>
      <rPr>
        <b/>
        <sz val="11"/>
        <color rgb="FF782170"/>
        <rFont val="Calibri"/>
        <family val="2"/>
      </rPr>
      <t xml:space="preserve">THT ONLY
SEE ECO FOR ALL "JMOD" LOCATIONS
</t>
    </r>
    <r>
      <rPr>
        <b/>
        <sz val="11"/>
        <color rgb="FFFF0000"/>
        <rFont val="Calibri"/>
        <family val="2"/>
      </rPr>
      <t xml:space="preserve">TRIM REQUIREMENTS (ECO #12)
</t>
    </r>
    <r>
      <rPr>
        <b/>
        <sz val="11"/>
        <color rgb="FF782170"/>
        <rFont val="Calibri"/>
        <family val="2"/>
      </rPr>
      <t>DEPANEL</t>
    </r>
  </si>
  <si>
    <t>3/25 - BACK</t>
  </si>
  <si>
    <t xml:space="preserve">United Therapeutics
</t>
  </si>
  <si>
    <t xml:space="preserve">ECO &amp;  PREV RUN REVIEWED
- </t>
  </si>
  <si>
    <t>3/19 - KIT CLEAR</t>
  </si>
  <si>
    <r>
      <rPr>
        <b/>
        <sz val="11"/>
        <color rgb="FF7030A0"/>
        <rFont val="Calibri"/>
        <family val="2"/>
      </rPr>
      <t xml:space="preserve">3/21 - SMT comp qty 158
</t>
    </r>
    <r>
      <rPr>
        <b/>
        <sz val="11"/>
        <color rgb="FF000000"/>
        <rFont val="Calibri"/>
        <family val="2"/>
      </rPr>
      <t>3/20 - qty 12 unaesthetic pleasing boards; run 7 and await replacements of the worst 5</t>
    </r>
  </si>
  <si>
    <t>131415
RONC 130517</t>
  </si>
  <si>
    <t>3/28
7D</t>
  </si>
  <si>
    <r>
      <rPr>
        <b/>
        <sz val="11"/>
        <color rgb="FF000000"/>
        <rFont val="Calibri"/>
        <family val="2"/>
      </rPr>
      <t xml:space="preserve">NO CLEAN BUILD
MOUNT ALL T/H FLUSH TO THE PCB
SOLDER "J1" BEFORE "SW11,12,15,16"
</t>
    </r>
    <r>
      <rPr>
        <b/>
        <sz val="12"/>
        <color rgb="FFFF0000"/>
        <rFont val="Calibri"/>
        <family val="2"/>
      </rPr>
      <t>*** SEE BEKOW - (20% DEFECT RATE ON LAST RUN)
"SW1 x 18" SEE ECO FOR MOUNTING
"MH1 x 5" SEE ECO FOR MOUNTING</t>
    </r>
  </si>
  <si>
    <t>3/20 - BOT 10:30
3/20 - pause 8:30
3/20 - BOT</t>
  </si>
  <si>
    <t>3/24 - AOI 9:00</t>
  </si>
  <si>
    <t>ECO, prev run &amp; photos
REVIEWED
- req relabel</t>
  </si>
  <si>
    <t>SHORT, NO ETA 3/17</t>
  </si>
  <si>
    <r>
      <rPr>
        <b/>
        <sz val="11"/>
        <color rgb="FF000000"/>
        <rFont val="Calibri"/>
        <family val="2"/>
      </rPr>
      <t xml:space="preserve">3/10 - KIT CLEAR
</t>
    </r>
    <r>
      <rPr>
        <b/>
        <strike/>
        <sz val="11"/>
        <color rgb="FF000000"/>
        <rFont val="Calibri"/>
        <family val="2"/>
      </rPr>
      <t>2/25 - MATERIALS CLEAR</t>
    </r>
  </si>
  <si>
    <t>131307
NEW</t>
  </si>
  <si>
    <t>3/31
15D</t>
  </si>
  <si>
    <r>
      <rPr>
        <b/>
        <sz val="11"/>
        <color rgb="FF782170"/>
        <rFont val="Calibri"/>
        <family val="2"/>
      </rPr>
      <t xml:space="preserve">LEAD-FREE WASH
</t>
    </r>
    <r>
      <rPr>
        <b/>
        <sz val="11"/>
        <color rgb="FF000000"/>
        <rFont val="Calibri"/>
        <family val="2"/>
      </rPr>
      <t>DEPANEL</t>
    </r>
  </si>
  <si>
    <t>3/19 - TOP 7:30</t>
  </si>
  <si>
    <t>3/19 - AOI 8:30</t>
  </si>
  <si>
    <t>ECO &amp; DWG REVIEWED
- labeled</t>
  </si>
  <si>
    <t>2/25</t>
  </si>
  <si>
    <r>
      <rPr>
        <b/>
        <strike/>
        <sz val="11"/>
        <color rgb="FF000000"/>
        <rFont val="Calibri"/>
        <family val="2"/>
      </rPr>
      <t>2/7 - SHORT 50 PCS C18, L2, J5, AE2 (SMT), QTY 1/3 OF J1 &amp;</t>
    </r>
    <r>
      <rPr>
        <b/>
        <sz val="11"/>
        <color rgb="FF000000"/>
        <rFont val="Calibri"/>
        <family val="2"/>
      </rPr>
      <t xml:space="preserve"> J6 RECVD 97, SHORT BAL 103 EXPECT RECVD 150pcs ON 2/21, </t>
    </r>
    <r>
      <rPr>
        <b/>
        <strike/>
        <sz val="11"/>
        <color rgb="FF000000"/>
        <rFont val="Calibri"/>
        <family val="2"/>
      </rPr>
      <t xml:space="preserve">SHORT COMPLETE BT1 (THT) WITH NO ETA. *PCB &amp; PARTS ARE CUSTOMER SUPPLIED.
2/13 - AWT PART CONF L2
</t>
    </r>
    <r>
      <rPr>
        <b/>
        <sz val="11"/>
        <color rgb="FF000000"/>
        <rFont val="Calibri"/>
        <family val="2"/>
      </rPr>
      <t>2/14 - DNI BT1
2/19 - SMT CLEAR</t>
    </r>
  </si>
  <si>
    <t>130474-2
PAR
ROWC 128842</t>
  </si>
  <si>
    <t>3/27
10D</t>
  </si>
  <si>
    <t>3/20 - KIT CLEAR</t>
  </si>
  <si>
    <t>131036-2nd
RONC 1st</t>
  </si>
  <si>
    <t>3/27
5D</t>
  </si>
  <si>
    <t>"SW1, PS1_6, PS2_6, PS3_6, PS4_6" AFTER WASH
"PS1_6, PS2_6, PS3_6, PS4_6" HEIGHT REQ 0.14-0.122 PER ECO</t>
  </si>
  <si>
    <t>3/21 - BOT 8:30</t>
  </si>
  <si>
    <t>3/21 - TOP 11:30</t>
  </si>
  <si>
    <t>3/21 - AOI 2:00</t>
  </si>
  <si>
    <t>ECO, drawing, prev run &amp; photos
REVIEWED
- labeled</t>
  </si>
  <si>
    <t>SHORT, WAIT FOR ETA 3/24</t>
  </si>
  <si>
    <r>
      <t xml:space="preserve">3/20 - KIT CLEAR
3/18 - MATERIAL CLEAR
</t>
    </r>
    <r>
      <rPr>
        <b/>
        <strike/>
        <sz val="11"/>
        <color rgb="FF000000"/>
        <rFont val="Calibri"/>
        <family val="2"/>
      </rPr>
      <t>3/7 - SHORT C17, R9 (THT) WAIT FOR ET</t>
    </r>
    <r>
      <rPr>
        <b/>
        <sz val="11"/>
        <color rgb="FF000000"/>
        <rFont val="Calibri"/>
        <family val="2"/>
      </rPr>
      <t>A</t>
    </r>
  </si>
  <si>
    <t>131682
NEW</t>
  </si>
  <si>
    <t xml:space="preserve">"J17,J18" CUT/REMOVE PINS PER ECO
DO NOT SHIP PARTIALS
</t>
  </si>
  <si>
    <t>3/21 - TOP 2:00</t>
  </si>
  <si>
    <t>3/24 - AOI</t>
  </si>
  <si>
    <t xml:space="preserve">PC Krause &amp; Associates
</t>
  </si>
  <si>
    <t>ECO REVIEWED
- labaled</t>
  </si>
  <si>
    <t>3/24/25 CANCELLED</t>
  </si>
  <si>
    <t>5/16 - SHORT PCB THEN SMT CLEAR</t>
  </si>
  <si>
    <t>Cancelled 03-24-2025</t>
  </si>
  <si>
    <t>ON FEEDERS</t>
  </si>
  <si>
    <t>125202
NEW</t>
  </si>
  <si>
    <t>???
10D</t>
  </si>
  <si>
    <t>LEAD-FREE WASH
ROSE TESTING
MECH ASSY REQUIRED
NO SPACER UNDER J1 (ECO)
PCA CLEANING REQUIRED
DEPANEL USING ROUTER METHOD ONLY
LABEL @ LOC ON DRAWING
SHIPPING NOTE @ BOTTOM OF ECO</t>
  </si>
  <si>
    <t xml:space="preserve">SUMMIT HOLLISTER </t>
  </si>
  <si>
    <t>LABEL LOCATION PER  DOCS
____
ECO &amp; DWG REVIEWED</t>
  </si>
  <si>
    <r>
      <rPr>
        <b/>
        <strike/>
        <sz val="11"/>
        <color rgb="FFFF0000"/>
        <rFont val="Calibri"/>
        <family val="2"/>
      </rPr>
      <t xml:space="preserve">3/18 - RWK PCBS DUE
</t>
    </r>
    <r>
      <rPr>
        <b/>
        <strike/>
        <sz val="11"/>
        <color rgb="FF000000"/>
        <rFont val="Calibri"/>
        <family val="2"/>
      </rPr>
      <t xml:space="preserve">3/11 - PCBS SENT BACK FOR RWK - NO ETA
</t>
    </r>
  </si>
  <si>
    <t>3/18 - eta for fixed boards
3/5 - KIT CLEAR
2/27 - MATERIAL CLEAR</t>
  </si>
  <si>
    <t>3/10 - Q1 PAD UNDERSIZED; SMT COMP BOT QTY 171
2/24 - SMT CLEAR ONCE PCB'S COME</t>
  </si>
  <si>
    <t>131572-2
BAL
NEW</t>
  </si>
  <si>
    <r>
      <t xml:space="preserve">3/26
</t>
    </r>
    <r>
      <rPr>
        <b/>
        <strike/>
        <sz val="14"/>
        <color rgb="FF000000"/>
        <rFont val="Calibri"/>
        <family val="2"/>
      </rPr>
      <t xml:space="preserve">3/12
</t>
    </r>
    <r>
      <rPr>
        <b/>
        <sz val="14"/>
        <color rgb="FF000000"/>
        <rFont val="Calibri"/>
        <family val="2"/>
      </rPr>
      <t>5D</t>
    </r>
  </si>
  <si>
    <r>
      <rPr>
        <b/>
        <sz val="11"/>
        <color rgb="FF000000"/>
        <rFont val="Calibri"/>
        <family val="2"/>
      </rPr>
      <t xml:space="preserve">SHIP PARTIAL (MIN 50 BOARDS) ON 3/13
LEAD-FREE WASH
DEPANEL
</t>
    </r>
    <r>
      <rPr>
        <b/>
        <sz val="11"/>
        <color rgb="FFFF0000"/>
        <rFont val="Calibri"/>
        <family val="2"/>
      </rPr>
      <t>NOTE: 3/11 PCBS SEND BACK FOR "Q1" PAD RWK
3/19 - REC'D BUT NOT ALL BOARDS WERE RWK'D -- OK TO SCRATCH MASK</t>
    </r>
  </si>
  <si>
    <t>3/20 - BOT 8:00</t>
  </si>
  <si>
    <t>3/20 - TOP 1:30</t>
  </si>
  <si>
    <t>3/21 - AOI 10:30</t>
  </si>
  <si>
    <t>Biosonix</t>
  </si>
  <si>
    <t>ECO &amp; DWG REVIEWED
- temp labeled (label bag)</t>
  </si>
  <si>
    <t>3/12 - ETA 3/14</t>
  </si>
  <si>
    <r>
      <rPr>
        <b/>
        <sz val="11"/>
        <color rgb="FF000000"/>
        <rFont val="Calibri"/>
        <family val="2"/>
      </rPr>
      <t xml:space="preserve">3/14 - KIT CLEAR
</t>
    </r>
    <r>
      <rPr>
        <b/>
        <strike/>
        <sz val="11"/>
        <color rgb="FF000000"/>
        <rFont val="Calibri"/>
        <family val="2"/>
      </rPr>
      <t>3/12 - SHORT "TB1, TB2" NO ETA</t>
    </r>
  </si>
  <si>
    <t>131803
ROWC 130019</t>
  </si>
  <si>
    <r>
      <rPr>
        <b/>
        <sz val="14"/>
        <color rgb="FF000000"/>
        <rFont val="Calibri"/>
        <family val="2"/>
      </rPr>
      <t xml:space="preserve">3/26
</t>
    </r>
    <r>
      <rPr>
        <b/>
        <strike/>
        <sz val="14"/>
        <color rgb="FF000000"/>
        <rFont val="Calibri"/>
        <family val="2"/>
      </rPr>
      <t xml:space="preserve">3/19
</t>
    </r>
    <r>
      <rPr>
        <b/>
        <sz val="14"/>
        <color rgb="FFFF0000"/>
        <rFont val="Calibri"/>
        <family val="2"/>
      </rPr>
      <t>3D</t>
    </r>
  </si>
  <si>
    <r>
      <rPr>
        <b/>
        <sz val="11"/>
        <color rgb="FFFF0000"/>
        <rFont val="Calibri"/>
        <family val="2"/>
      </rPr>
      <t xml:space="preserve">DO NOT SHIP EARLY
</t>
    </r>
    <r>
      <rPr>
        <b/>
        <sz val="11"/>
        <color rgb="FF000000"/>
        <rFont val="Calibri"/>
        <family val="2"/>
      </rPr>
      <t>MOUNT ALL COMPONENTS FLUSH W/ PCB
MECH REQ W/ THERMAL GREASE</t>
    </r>
  </si>
  <si>
    <t>3/17 - TOP 6:00</t>
  </si>
  <si>
    <t>3/17 - AOI</t>
  </si>
  <si>
    <t>ECO, prev run, bom compare &amp; photos REVIEWED
----
LABEL CHANGE
- LABELED</t>
  </si>
  <si>
    <r>
      <rPr>
        <b/>
        <sz val="11"/>
        <color rgb="FF000000"/>
        <rFont val="Calibri"/>
        <family val="2"/>
      </rPr>
      <t xml:space="preserve">3/17-RECVD
</t>
    </r>
    <r>
      <rPr>
        <b/>
        <strike/>
        <sz val="11"/>
        <color rgb="FF000000"/>
        <rFont val="Calibri"/>
        <family val="2"/>
      </rPr>
      <t>SHORT, ETA 3/14</t>
    </r>
  </si>
  <si>
    <r>
      <rPr>
        <b/>
        <sz val="11"/>
        <color rgb="FF000000"/>
        <rFont val="Calibri"/>
        <family val="2"/>
      </rPr>
      <t xml:space="preserve">3/19 - KIT CLEAR
</t>
    </r>
    <r>
      <rPr>
        <b/>
        <strike/>
        <sz val="11"/>
        <color rgb="FF000000"/>
        <rFont val="Calibri"/>
        <family val="2"/>
      </rPr>
      <t>3/14 - SHORT PARTIALS L3 and J6 EXPECT 3/17, R88 ETA 3/17</t>
    </r>
    <r>
      <rPr>
        <b/>
        <sz val="11"/>
        <color rgb="FF000000"/>
        <rFont val="Calibri"/>
        <family val="2"/>
      </rPr>
      <t xml:space="preserve"> |</t>
    </r>
    <r>
      <rPr>
        <b/>
        <strike/>
        <sz val="11"/>
        <color rgb="FF000000"/>
        <rFont val="Calibri"/>
        <family val="2"/>
      </rPr>
      <t xml:space="preserve"> SHORT D49 ETA 3/19 or 3/20</t>
    </r>
    <r>
      <rPr>
        <b/>
        <sz val="11"/>
        <color rgb="FF000000"/>
        <rFont val="Calibri"/>
        <family val="2"/>
      </rPr>
      <t xml:space="preserve"> </t>
    </r>
    <r>
      <rPr>
        <b/>
        <strike/>
        <sz val="11"/>
        <color rgb="FF000000"/>
        <rFont val="Calibri"/>
        <family val="2"/>
      </rPr>
      <t>WAIT FOR C/F.
3/12 - RCVD 35 ITEMS, THE REST ON THE WAY BUT NO ETA. (TOTAL 175 SMT ITEMS)</t>
    </r>
  </si>
  <si>
    <t>3/19 - SMT COMPLETE 50 BOARDS
3/18 - OK TO SKIP "D49"</t>
  </si>
  <si>
    <t>131719
NEW</t>
  </si>
  <si>
    <t xml:space="preserve">
3/26
5D</t>
  </si>
  <si>
    <r>
      <rPr>
        <b/>
        <sz val="11"/>
        <color rgb="FF000000"/>
        <rFont val="Calibri"/>
        <family val="2"/>
      </rPr>
      <t xml:space="preserve">"L2" "SW1,2,3, U43"AFTER WASH
DEPANEL &amp; SAND
</t>
    </r>
    <r>
      <rPr>
        <b/>
        <sz val="11"/>
        <color rgb="FF782170"/>
        <rFont val="Calibri"/>
        <family val="2"/>
      </rPr>
      <t>POST-bake 30 minutes</t>
    </r>
  </si>
  <si>
    <t>3/18 - BOT 11:00</t>
  </si>
  <si>
    <t>3/18 - TOP 2:00</t>
  </si>
  <si>
    <t>3/20 - AOI 8:00</t>
  </si>
  <si>
    <t>ECO &amp; DWG REVIEWED
----
3 labels / board
- temp label (req date)</t>
  </si>
  <si>
    <t>11/20 - PCB DUE</t>
  </si>
  <si>
    <r>
      <rPr>
        <b/>
        <sz val="11"/>
        <color rgb="FF000000"/>
        <rFont val="Calibri"/>
        <family val="2"/>
        <scheme val="minor"/>
      </rPr>
      <t xml:space="preserve">3/14 -  KIT CLEAR
</t>
    </r>
    <r>
      <rPr>
        <b/>
        <strike/>
        <sz val="11"/>
        <color rgb="FF000000"/>
        <rFont val="Calibri"/>
        <family val="2"/>
        <scheme val="minor"/>
      </rPr>
      <t>SHORT J1 &amp; J3 (THT)
11/5 - "J1/J3" ETA 2/25/25 2/24/25 RECVD PARTIAL BUT STILL SHORT: J1 (501pcs) J3 (520pcs)</t>
    </r>
  </si>
  <si>
    <r>
      <rPr>
        <b/>
        <strike/>
        <u/>
        <sz val="10"/>
        <color rgb="FF000000"/>
        <rFont val="Calibri"/>
        <family val="2"/>
        <scheme val="minor"/>
      </rPr>
      <t xml:space="preserve">11/7 - ON HOLD DUE TO CHANGES
</t>
    </r>
    <r>
      <rPr>
        <b/>
        <sz val="10"/>
        <color rgb="FF000000"/>
        <rFont val="Calibri"/>
        <family val="2"/>
        <scheme val="minor"/>
      </rPr>
      <t xml:space="preserve">11/13 - RUN ON L1
11/19 - OFF HOLD
11/26 - qty 400 TOP COMP
</t>
    </r>
    <r>
      <rPr>
        <b/>
        <strike/>
        <u/>
        <sz val="10"/>
        <color rgb="FF000000"/>
        <rFont val="Calibri"/>
        <family val="2"/>
        <scheme val="minor"/>
      </rPr>
      <t xml:space="preserve">12/12 - HOLD - POSS CHANGE TO LEAD FREE
</t>
    </r>
    <r>
      <rPr>
        <b/>
        <sz val="10"/>
        <color rgb="FF000000"/>
        <rFont val="Calibri"/>
        <family val="2"/>
        <scheme val="minor"/>
      </rPr>
      <t>12/12 - LEAD OK
1/6 - TOP COMP ALL
1/29 - SMT COMP 400</t>
    </r>
  </si>
  <si>
    <r>
      <rPr>
        <b/>
        <sz val="14"/>
        <color rgb="FF000000"/>
        <rFont val="Calibri"/>
        <family val="2"/>
        <scheme val="minor"/>
      </rPr>
      <t>129418
ROWC 127349</t>
    </r>
  </si>
  <si>
    <t>3/28
10D</t>
  </si>
  <si>
    <r>
      <rPr>
        <b/>
        <sz val="11"/>
        <color rgb="FFFF0000"/>
        <rFont val="Aptos Narrow"/>
        <family val="2"/>
      </rPr>
      <t xml:space="preserve">(SHIP EARLY)
</t>
    </r>
    <r>
      <rPr>
        <b/>
        <sz val="11"/>
        <color rgb="FF000000"/>
        <rFont val="Aptos Narrow"/>
        <family val="2"/>
      </rPr>
      <t xml:space="preserve">CLASS 3
LEAD WASH
</t>
    </r>
    <r>
      <rPr>
        <b/>
        <u/>
        <sz val="11"/>
        <color rgb="FFFF0000"/>
        <rFont val="Aptos Narrow"/>
        <family val="2"/>
      </rPr>
      <t xml:space="preserve">XRAY &amp; SAVE IMAGES FOR ALL BTC (BOT TERMINATED COMPONENTS)
</t>
    </r>
    <r>
      <rPr>
        <b/>
        <sz val="11"/>
        <color rgb="FF000000"/>
        <rFont val="Aptos Narrow"/>
        <family val="2"/>
      </rPr>
      <t>QR CODE REQ
DEPANEL</t>
    </r>
  </si>
  <si>
    <t xml:space="preserve">11/26 - TOP 7:30
11/26 - PAUSE 10:00
11/26 - TOP 11:30
11/26 - PAUSE 1:30
1/6 - TOP 10:00
1/6 - PAUSE 11:30
</t>
  </si>
  <si>
    <t>1/29 - BOT 6:00
1/29 - PAUSE 10:30
2/5 - TOP 9:00</t>
  </si>
  <si>
    <t>2/5 - AOI 11:00</t>
  </si>
  <si>
    <t xml:space="preserve"> Industrialex Manufacturing
</t>
  </si>
  <si>
    <t>ECO &amp; prev run REVIEWED</t>
  </si>
  <si>
    <r>
      <rPr>
        <b/>
        <strike/>
        <sz val="11"/>
        <color rgb="FF000000"/>
        <rFont val="Calibri"/>
        <family val="2"/>
      </rPr>
      <t>SHORT 1pcs</t>
    </r>
    <r>
      <rPr>
        <b/>
        <sz val="11"/>
        <color rgb="FF000000"/>
        <rFont val="Calibri"/>
        <family val="2"/>
      </rPr>
      <t xml:space="preserve"> </t>
    </r>
  </si>
  <si>
    <r>
      <t xml:space="preserve">3/18 - KIT CLEAR
3/17 - SMT CLEAR. </t>
    </r>
    <r>
      <rPr>
        <b/>
        <strike/>
        <sz val="11"/>
        <color rgb="FF000000"/>
        <rFont val="Calibri"/>
        <family val="2"/>
      </rPr>
      <t xml:space="preserve">*WAIT FOR EPOXY*
3/10 - SHORT U5600 (5pcs) U7900, U2 (SMT) WAITING ETA 3/12 or 3/13 </t>
    </r>
    <r>
      <rPr>
        <b/>
        <sz val="11"/>
        <color rgb="FF000000"/>
        <rFont val="Calibri"/>
        <family val="2"/>
      </rPr>
      <t xml:space="preserve">| P2 (THT) DNI </t>
    </r>
    <r>
      <rPr>
        <b/>
        <strike/>
        <sz val="11"/>
        <color rgb="FF000000"/>
        <rFont val="Calibri"/>
        <family val="2"/>
      </rPr>
      <t xml:space="preserve">NO ETA.  
</t>
    </r>
    <r>
      <rPr>
        <b/>
        <sz val="11"/>
        <color rgb="FF000000"/>
        <rFont val="Calibri"/>
        <family val="2"/>
      </rPr>
      <t>*TAD &amp; ROBERT WORKING ON PROFILE.</t>
    </r>
  </si>
  <si>
    <t>3/17 - SMT COMP 2 BOARDS
3/12 - EXPECT TO CLEAR SMT 3/12-3/13</t>
  </si>
  <si>
    <t>131558
NEW</t>
  </si>
  <si>
    <r>
      <rPr>
        <b/>
        <sz val="14"/>
        <color rgb="FF000000"/>
        <rFont val="Calibri"/>
        <family val="2"/>
      </rPr>
      <t xml:space="preserve">
</t>
    </r>
    <r>
      <rPr>
        <b/>
        <strike/>
        <sz val="14"/>
        <color rgb="FF000000"/>
        <rFont val="Calibri"/>
        <family val="2"/>
      </rPr>
      <t xml:space="preserve">3/25
</t>
    </r>
    <r>
      <rPr>
        <b/>
        <sz val="14"/>
        <color rgb="FF000000"/>
        <rFont val="Calibri"/>
        <family val="2"/>
      </rPr>
      <t>3/24
5D</t>
    </r>
  </si>
  <si>
    <t>CLASS 3
LEAD WASH (USE LEAD-FREE PROFILE)
USE Sn63Pb37
HAND PLACE U1000 VIA REWORK STATION W/ SnPb PROFILE
M1 M2 (TORQUE 1 IN-LBS)
SW1800 AFTER WASH
STAKING REQUIRED (ECO #12)
DEPANEL
FAIR REQUIRED
DNI P2</t>
  </si>
  <si>
    <t>3/14 - BOT 10:30
3/14 - PAUSE 2:30
3/17 - BOT 8:00</t>
  </si>
  <si>
    <t>3/17 - TOP 10:30</t>
  </si>
  <si>
    <t>3/18 - AOI 8:00</t>
  </si>
  <si>
    <t>ECO &amp; drawings, REVIEWED
-----
cui
- labeled</t>
  </si>
  <si>
    <t>3/12 - RECVD</t>
  </si>
  <si>
    <t>3/12 - KIT CLEAR</t>
  </si>
  <si>
    <t>131758
ROWC 131244</t>
  </si>
  <si>
    <t>3/26
10D</t>
  </si>
  <si>
    <t>"U7" NO SOLDER ON THERMAL PAD
DEPANEL</t>
  </si>
  <si>
    <t>3/19 - BOT 8:30</t>
  </si>
  <si>
    <t>3/19 - TOP 12:00</t>
  </si>
  <si>
    <t>3/19 - AOI 1:30</t>
  </si>
  <si>
    <t>ECO, prev run &amp; photos REVIEWED
----
- labeled</t>
  </si>
  <si>
    <t>SHORT, NO ETA 3/20</t>
  </si>
  <si>
    <r>
      <rPr>
        <b/>
        <sz val="11"/>
        <color rgb="FF000000"/>
        <rFont val="Calibri"/>
        <family val="2"/>
      </rPr>
      <t xml:space="preserve">3/19 - KIT CLEAR
3/14 - MATERIAL CLEAR
</t>
    </r>
    <r>
      <rPr>
        <b/>
        <strike/>
        <sz val="11"/>
        <color rgb="FF000000"/>
        <rFont val="Calibri"/>
        <family val="2"/>
      </rPr>
      <t>3/12 - SHORT 1pc OF TPC0 S/B HERE THIS WEEK</t>
    </r>
  </si>
  <si>
    <t>131656-1st
NEW</t>
  </si>
  <si>
    <t>3/26
5D</t>
  </si>
  <si>
    <t>"T2, T3, T1_1, U32, SW1" AFTER WASH
DEPANEL</t>
  </si>
  <si>
    <t>3/19 - BOT 1:30</t>
  </si>
  <si>
    <t>3/20 - TOP 8:00</t>
  </si>
  <si>
    <t>3/20 - AOI 10:30</t>
  </si>
  <si>
    <r>
      <rPr>
        <b/>
        <sz val="11"/>
        <color rgb="FF000000"/>
        <rFont val="Calibri"/>
        <family val="2"/>
      </rPr>
      <t xml:space="preserve">3/10 -RECVD
</t>
    </r>
    <r>
      <rPr>
        <b/>
        <strike/>
        <sz val="11"/>
        <color rgb="FF000000"/>
        <rFont val="Calibri"/>
        <family val="2"/>
      </rPr>
      <t>SHORT, ETA 3/12</t>
    </r>
  </si>
  <si>
    <r>
      <rPr>
        <b/>
        <sz val="11"/>
        <color rgb="FF000000"/>
        <rFont val="Calibri"/>
        <family val="2"/>
      </rPr>
      <t xml:space="preserve">3/12 - KIT CLEAR
3/11 - SMT CLEAR
</t>
    </r>
    <r>
      <rPr>
        <b/>
        <strike/>
        <sz val="11"/>
        <color rgb="FF000000"/>
        <rFont val="Calibri"/>
        <family val="2"/>
      </rPr>
      <t xml:space="preserve">3/3 - SHORT C57, U7 (ETA 3/7) , U3, R29, R83, R84 &amp; RN10 (SMT), U1J1 (CHECK ETA) </t>
    </r>
    <r>
      <rPr>
        <b/>
        <sz val="11"/>
        <color rgb="FF000000"/>
        <rFont val="Calibri"/>
        <family val="2"/>
      </rPr>
      <t>,</t>
    </r>
    <r>
      <rPr>
        <b/>
        <strike/>
        <sz val="11"/>
        <color rgb="FF000000"/>
        <rFont val="Calibri"/>
        <family val="2"/>
      </rPr>
      <t xml:space="preserve"> J27, J18, J20, J45 &amp;</t>
    </r>
    <r>
      <rPr>
        <b/>
        <sz val="11"/>
        <color rgb="FF000000"/>
        <rFont val="Calibri"/>
        <family val="2"/>
      </rPr>
      <t xml:space="preserve"> J39 (THT) ETA 3/18</t>
    </r>
    <r>
      <rPr>
        <b/>
        <strike/>
        <sz val="11"/>
        <color rgb="FF000000"/>
        <rFont val="Calibri"/>
        <family val="2"/>
      </rPr>
      <t xml:space="preserve"> WILL BE HERE 3/6</t>
    </r>
  </si>
  <si>
    <t>3/10 - SMT CLEAR</t>
  </si>
  <si>
    <t>131420
ROWC 118105</t>
  </si>
  <si>
    <t>LEAD FREE WASH
"J9" APPROVED ALT DD62S3S0T2S/AA
DEPANEL</t>
  </si>
  <si>
    <t>3/18 - BOT 7:30</t>
  </si>
  <si>
    <t>3/18 - TOP 9:00</t>
  </si>
  <si>
    <t>3/18 - AOI 11:00</t>
  </si>
  <si>
    <t>ECO, prev run, photos &amp; bom compare REVIEWED
cui
- labeled</t>
  </si>
  <si>
    <t>11/13 - SHORT 6 ITEMS WITH NO ETA.
11/18 - KIT CLEAR</t>
  </si>
  <si>
    <t>12/3 - #15 (c7x6) cover defect after wash
11/21 - DNI T2 TUBING | AWT T1 &amp; T2 FROM CUSTOMER TO INSTALL BEFORE SHIP</t>
  </si>
  <si>
    <t>127554
NEW</t>
  </si>
  <si>
    <r>
      <t xml:space="preserve">3/24
</t>
    </r>
    <r>
      <rPr>
        <b/>
        <strike/>
        <sz val="14"/>
        <color rgb="FF000000"/>
        <rFont val="Calibri"/>
        <family val="2"/>
        <scheme val="minor"/>
      </rPr>
      <t xml:space="preserve">11/25
</t>
    </r>
    <r>
      <rPr>
        <b/>
        <sz val="14"/>
        <color rgb="FF000000"/>
        <rFont val="Calibri"/>
        <family val="2"/>
        <scheme val="minor"/>
      </rPr>
      <t>5D</t>
    </r>
  </si>
  <si>
    <r>
      <rPr>
        <b/>
        <sz val="11"/>
        <color rgb="FF7030A0"/>
        <rFont val="Calibri"/>
        <family val="2"/>
        <scheme val="minor"/>
      </rPr>
      <t xml:space="preserve">BTD SHORTAGES
</t>
    </r>
    <r>
      <rPr>
        <b/>
        <sz val="11"/>
        <color rgb="FF000000"/>
        <rFont val="Calibri"/>
        <family val="2"/>
        <scheme val="minor"/>
      </rPr>
      <t xml:space="preserve">T/H ONLY
</t>
    </r>
    <r>
      <rPr>
        <b/>
        <strike/>
        <sz val="11"/>
        <color rgb="FF000000"/>
        <rFont val="Calibri"/>
        <family val="2"/>
        <scheme val="minor"/>
      </rPr>
      <t xml:space="preserve">NO ECO
</t>
    </r>
    <r>
      <rPr>
        <b/>
        <sz val="11"/>
        <color rgb="FF000000"/>
        <rFont val="Calibri"/>
        <family val="2"/>
        <scheme val="minor"/>
      </rPr>
      <t xml:space="preserve">SPACERS, WASHERS, NUTS &amp; RED THREAD SEALANT REQUIRED...
</t>
    </r>
    <r>
      <rPr>
        <b/>
        <sz val="14"/>
        <color rgb="FFFF0000"/>
        <rFont val="Calibri"/>
        <family val="2"/>
        <scheme val="minor"/>
      </rPr>
      <t xml:space="preserve">*** PLEASE READ THE "S&amp;B Supplemental Work Instructions" PDF FROM CUSTOMER
</t>
    </r>
    <r>
      <rPr>
        <b/>
        <sz val="14"/>
        <color rgb="FF000000"/>
        <rFont val="Calibri"/>
        <family val="2"/>
        <scheme val="minor"/>
      </rPr>
      <t xml:space="preserve">SEE 901-0218-081G.PDF FOR TRANSFORMER INSTALLATION - DO NOT USE GLUE - </t>
    </r>
    <r>
      <rPr>
        <b/>
        <sz val="14"/>
        <color rgb="FF782170"/>
        <rFont val="Calibri"/>
        <family val="2"/>
        <scheme val="minor"/>
      </rPr>
      <t>use tie wraps (new eco)</t>
    </r>
  </si>
  <si>
    <t>BACK</t>
  </si>
  <si>
    <t>ECO &amp; additional files REVIEWED
- labeled</t>
  </si>
  <si>
    <t>DOC REL 8/29</t>
  </si>
  <si>
    <r>
      <rPr>
        <b/>
        <strike/>
        <sz val="11"/>
        <color rgb="FF000000"/>
        <rFont val="Calibri"/>
        <family val="2"/>
      </rPr>
      <t xml:space="preserve">SHORT, NO ETA 3/7 </t>
    </r>
    <r>
      <rPr>
        <b/>
        <sz val="11"/>
        <color rgb="FF000000"/>
        <rFont val="Calibri"/>
        <family val="2"/>
      </rPr>
      <t>RECVD *BAKE</t>
    </r>
  </si>
  <si>
    <r>
      <rPr>
        <b/>
        <sz val="11"/>
        <color rgb="FF000000"/>
        <rFont val="Calibri"/>
        <family val="2"/>
      </rPr>
      <t xml:space="preserve">3/6 - KIT CLEAR AFTER PCB BAKED.
3/4 - MATERIAL CLEAR
</t>
    </r>
    <r>
      <rPr>
        <b/>
        <strike/>
        <sz val="11"/>
        <color rgb="FF000000"/>
        <rFont val="Calibri"/>
        <family val="2"/>
      </rPr>
      <t>2/28 - J100, PA and LP_A WAIT FOR CONFIRM.</t>
    </r>
  </si>
  <si>
    <t>2/24 - SMT CLEAR ONCE PCB'S COME</t>
  </si>
  <si>
    <t>131124
NEW</t>
  </si>
  <si>
    <t>3/20
10D</t>
  </si>
  <si>
    <r>
      <rPr>
        <b/>
        <sz val="11"/>
        <color rgb="FF000000"/>
        <rFont val="Calibri"/>
        <family val="2"/>
      </rPr>
      <t xml:space="preserve">CLASS 3
</t>
    </r>
    <r>
      <rPr>
        <b/>
        <sz val="11"/>
        <color rgb="FF782170"/>
        <rFont val="Calibri"/>
        <family val="2"/>
      </rPr>
      <t xml:space="preserve">LEAD-FREE WASH
</t>
    </r>
    <r>
      <rPr>
        <b/>
        <sz val="11"/>
        <color rgb="FF000000"/>
        <rFont val="Calibri"/>
        <family val="2"/>
      </rPr>
      <t xml:space="preserve">POST BAKE IF BOARDS ARE WASHED
</t>
    </r>
    <r>
      <rPr>
        <b/>
        <strike/>
        <sz val="11"/>
        <color rgb="FF000000"/>
        <rFont val="Calibri"/>
        <family val="2"/>
      </rPr>
      <t xml:space="preserve">"SP1" TAMPER EVIDENT PAINT REQUIRED </t>
    </r>
    <r>
      <rPr>
        <b/>
        <sz val="11"/>
        <color rgb="FF000000"/>
        <rFont val="Calibri"/>
        <family val="2"/>
      </rPr>
      <t>(</t>
    </r>
    <r>
      <rPr>
        <b/>
        <sz val="11"/>
        <color rgb="FF782170"/>
        <rFont val="Calibri"/>
        <family val="2"/>
      </rPr>
      <t>WAIVED</t>
    </r>
    <r>
      <rPr>
        <b/>
        <sz val="11"/>
        <color rgb="FF000000"/>
        <rFont val="Calibri"/>
        <family val="2"/>
      </rPr>
      <t>)
DEPANEL</t>
    </r>
  </si>
  <si>
    <t>3/14 - BOT 7:30</t>
  </si>
  <si>
    <t>3/14 - TOP 9:00</t>
  </si>
  <si>
    <t>3/14 - AOI 1:00</t>
  </si>
  <si>
    <t>2/28</t>
  </si>
  <si>
    <r>
      <rPr>
        <b/>
        <sz val="11"/>
        <color rgb="FF000000"/>
        <rFont val="Calibri"/>
        <family val="2"/>
      </rPr>
      <t xml:space="preserve">2/14 - RECVD 122, SHORT 168 RECVD </t>
    </r>
    <r>
      <rPr>
        <b/>
        <strike/>
        <sz val="11"/>
        <color rgb="FF000000"/>
        <rFont val="Calibri"/>
        <family val="2"/>
      </rPr>
      <t xml:space="preserve">PENDING  ETA. </t>
    </r>
    <r>
      <rPr>
        <b/>
        <sz val="11"/>
        <color rgb="FF000000"/>
        <rFont val="Calibri"/>
        <family val="2"/>
      </rPr>
      <t>PCB CLEAR</t>
    </r>
  </si>
  <si>
    <r>
      <rPr>
        <b/>
        <sz val="11"/>
        <color rgb="FF156082"/>
        <rFont val="Calibri"/>
        <family val="2"/>
      </rPr>
      <t xml:space="preserve">2/14 - </t>
    </r>
    <r>
      <rPr>
        <b/>
        <strike/>
        <sz val="11"/>
        <color rgb="FF156082"/>
        <rFont val="Calibri"/>
        <family val="2"/>
      </rPr>
      <t>SHORT C4, U22, SW1 (SMT) BALANCE MAY RECVD END THIS WEEK or EARLY NEXT WEEK</t>
    </r>
    <r>
      <rPr>
        <b/>
        <sz val="11"/>
        <color rgb="FF156082"/>
        <rFont val="Calibri"/>
        <family val="2"/>
      </rPr>
      <t xml:space="preserve"> . U23 (THT) </t>
    </r>
    <r>
      <rPr>
        <b/>
        <strike/>
        <sz val="11"/>
        <color rgb="FF156082"/>
        <rFont val="Calibri"/>
        <family val="2"/>
      </rPr>
      <t xml:space="preserve">ETA </t>
    </r>
    <r>
      <rPr>
        <b/>
        <sz val="11"/>
        <color rgb="FF156082"/>
        <rFont val="Calibri"/>
        <family val="2"/>
      </rPr>
      <t xml:space="preserve">2/18 RECVD ENOUGH 11 BDS, BALANCE DON'T EXPECT TO ARRV TILL MAY. </t>
    </r>
    <r>
      <rPr>
        <b/>
        <sz val="11"/>
        <color rgb="FF0D0D0D"/>
        <rFont val="Calibri"/>
        <family val="2"/>
      </rPr>
      <t>2/20 - SMT CLEAR</t>
    </r>
  </si>
  <si>
    <t>3/14 - SMT COMP QTY 98
3/5 - SMT FA BOT COMP
2/14 - START ON DAY ONE
2/19 - RUN PARTIAL AND TRY TO SHIP IN MONTH (SMT RUN ALL BOT &amp; qty 11 TOP)</t>
  </si>
  <si>
    <t>129323-1
PAR
RONC 102114</t>
  </si>
  <si>
    <r>
      <rPr>
        <b/>
        <sz val="14"/>
        <color rgb="FF000000"/>
        <rFont val="Calibri"/>
        <family val="2"/>
      </rPr>
      <t xml:space="preserve">3/20
</t>
    </r>
    <r>
      <rPr>
        <b/>
        <sz val="14"/>
        <color rgb="FF156082"/>
        <rFont val="Calibri"/>
        <family val="2"/>
      </rPr>
      <t>20D</t>
    </r>
  </si>
  <si>
    <r>
      <rPr>
        <b/>
        <sz val="11"/>
        <color rgb="FF782170"/>
        <rFont val="Calibri"/>
        <family val="2"/>
      </rPr>
      <t xml:space="preserve">SHIP PARTIAL BY 3/20
LEADED WASH
</t>
    </r>
    <r>
      <rPr>
        <b/>
        <sz val="11"/>
        <color rgb="FF000000"/>
        <rFont val="Calibri"/>
        <family val="2"/>
      </rPr>
      <t xml:space="preserve">IF ANY BTD OR DNI, BOARDS MUST BE TAGGED PER ECO
</t>
    </r>
    <r>
      <rPr>
        <b/>
        <u/>
        <sz val="14"/>
        <color rgb="FFFF0000"/>
        <rFont val="Calibri"/>
        <family val="2"/>
      </rPr>
      <t xml:space="preserve">"SW2,4,6,8" VERIFY THE P/N RECEIVED - IF ENDING NUMBER IS B1 OR B2 PLACE AFTER WASH - IF "B" THEN OK TO WASH PER ECO </t>
    </r>
    <r>
      <rPr>
        <b/>
        <u/>
        <sz val="12"/>
        <color rgb="FFFF0000"/>
        <rFont val="Calibri"/>
        <family val="2"/>
      </rPr>
      <t>(</t>
    </r>
    <r>
      <rPr>
        <b/>
        <u/>
        <sz val="12"/>
        <color rgb="FF782170"/>
        <rFont val="Calibri"/>
        <family val="2"/>
      </rPr>
      <t>verified end with B)</t>
    </r>
  </si>
  <si>
    <t>3/14 - TOP 7:00
3/17 - pause 10:30</t>
  </si>
  <si>
    <t>3/14 - AOI 2:30</t>
  </si>
  <si>
    <r>
      <rPr>
        <b/>
        <strike/>
        <sz val="11"/>
        <color rgb="FF156082"/>
        <rFont val="Calibri"/>
        <family val="2"/>
      </rPr>
      <t xml:space="preserve">SHORT </t>
    </r>
    <r>
      <rPr>
        <b/>
        <strike/>
        <sz val="11"/>
        <color rgb="FFFF0000"/>
        <rFont val="Calibri"/>
        <family val="2"/>
      </rPr>
      <t>ETA 3/14</t>
    </r>
  </si>
  <si>
    <t>3/17 - KIT CLEAR
3/10 - MATL CLEAR</t>
  </si>
  <si>
    <t>3/17 - SMT COMP 20 BOARDS</t>
  </si>
  <si>
    <t>129204-2
bal
NEW</t>
  </si>
  <si>
    <r>
      <rPr>
        <b/>
        <sz val="14"/>
        <color rgb="FF000000"/>
        <rFont val="Calibri"/>
        <family val="2"/>
      </rPr>
      <t xml:space="preserve">3/19
</t>
    </r>
    <r>
      <rPr>
        <b/>
        <sz val="14"/>
        <color rgb="FFFF0000"/>
        <rFont val="Calibri"/>
        <family val="2"/>
      </rPr>
      <t>2D</t>
    </r>
  </si>
  <si>
    <r>
      <rPr>
        <b/>
        <sz val="11"/>
        <color rgb="FFFF0000"/>
        <rFont val="Calibri"/>
        <family val="2"/>
      </rPr>
      <t xml:space="preserve">*** 2 DAY TURN ***
</t>
    </r>
    <r>
      <rPr>
        <b/>
        <sz val="11"/>
        <color rgb="FF000000"/>
        <rFont val="Calibri"/>
        <family val="2"/>
      </rPr>
      <t>"L1" HAS ALT P/N XGL4030-152MEC - PART IS SHORTER &amp; BIDIRECTIONAL
DEPANEL
DO NOT SHIP EXCESS MATL</t>
    </r>
  </si>
  <si>
    <t>3/17 - BOT 10:30</t>
  </si>
  <si>
    <t>3/17 - TOP 1:00</t>
  </si>
  <si>
    <t>3/18 - AOI 10:30</t>
  </si>
  <si>
    <t>ECO reviewed
- labeled</t>
  </si>
  <si>
    <r>
      <t xml:space="preserve">3/11 - RECVD
</t>
    </r>
    <r>
      <rPr>
        <b/>
        <strike/>
        <sz val="11"/>
        <color rgb="FF000000"/>
        <rFont val="Calibri"/>
        <family val="2"/>
      </rPr>
      <t>SHORT, NO ETA 3/13</t>
    </r>
  </si>
  <si>
    <t>3/7 - MATERIAL CLEAR</t>
  </si>
  <si>
    <t>131683
NEW</t>
  </si>
  <si>
    <t>3/18
5D</t>
  </si>
  <si>
    <t>T/H ONLY
"J10,J11" CUT/REMOVE PINS PER ECO
"J19,21,23" CUT/REMOVE PINS PER ECO
DEPANEL
* NO PARTIAL SHIPMENTS ALLOWED</t>
  </si>
  <si>
    <t>ECO &amp; DRAWING REVIEWED
- LABELED</t>
  </si>
  <si>
    <t>3/17 - SMT COMP 18 BOARDS</t>
  </si>
  <si>
    <t>129204-1
PAR
NEW</t>
  </si>
  <si>
    <r>
      <rPr>
        <b/>
        <sz val="14"/>
        <color rgb="FF000000"/>
        <rFont val="Calibri"/>
        <family val="2"/>
      </rPr>
      <t xml:space="preserve">3/18
</t>
    </r>
    <r>
      <rPr>
        <b/>
        <strike/>
        <sz val="14"/>
        <color rgb="FF000000"/>
        <rFont val="Calibri"/>
        <family val="2"/>
      </rPr>
      <t xml:space="preserve">3/19
</t>
    </r>
    <r>
      <rPr>
        <b/>
        <sz val="14"/>
        <color rgb="FFFF0000"/>
        <rFont val="Calibri"/>
        <family val="2"/>
      </rPr>
      <t>2D</t>
    </r>
  </si>
  <si>
    <r>
      <rPr>
        <b/>
        <sz val="11"/>
        <color rgb="FFFF0000"/>
        <rFont val="Calibri"/>
        <family val="2"/>
      </rPr>
      <t xml:space="preserve">*** 2 DAY TURN ***
</t>
    </r>
    <r>
      <rPr>
        <b/>
        <sz val="11"/>
        <color rgb="FF000000"/>
        <rFont val="Calibri"/>
        <family val="2"/>
      </rPr>
      <t>ship partial 50 of 300
"L1" HAS ALT P/N XGL4030-152MEC - PART IS SHORTER &amp; BIDIRECTIONAL
DEPANEL
DO NOT SHIP EXCESS MATL</t>
    </r>
  </si>
  <si>
    <t>3/18 - aoi 7:00</t>
  </si>
  <si>
    <t>ECO reviewed</t>
  </si>
  <si>
    <r>
      <t xml:space="preserve">3/13 - KIT CLEAR
</t>
    </r>
    <r>
      <rPr>
        <b/>
        <strike/>
        <sz val="11"/>
        <color rgb="FF000000"/>
        <rFont val="Calibri"/>
        <family val="2"/>
      </rPr>
      <t>3/11 - SHORT "PWR" &amp; "JMOD1" NO ETA</t>
    </r>
  </si>
  <si>
    <t>131613-1st
ROWC 126955</t>
  </si>
  <si>
    <t>3/20
5D</t>
  </si>
  <si>
    <t>T/H ONLY
SEE ECO FOR ALL "JMOD" LOCATIONS
DEPANEL</t>
  </si>
  <si>
    <t>3/11 - back</t>
  </si>
  <si>
    <t>ECO, photos &amp; prev run REVIEWED
- labeled</t>
  </si>
  <si>
    <t>SHORT, NO ETA 3/18</t>
  </si>
  <si>
    <r>
      <t xml:space="preserve">3/12 - KIT CLEAR
3/4 - MATERIAL CLEAR
</t>
    </r>
    <r>
      <rPr>
        <b/>
        <strike/>
        <sz val="11"/>
        <color rgb="FF000000"/>
        <rFont val="Calibri"/>
        <family val="2"/>
      </rPr>
      <t xml:space="preserve">2/12 - SHORT J117 (THT) WITH NO ETA.
</t>
    </r>
    <r>
      <rPr>
        <b/>
        <sz val="11"/>
        <color rgb="FF000000"/>
        <rFont val="Calibri"/>
        <family val="2"/>
      </rPr>
      <t>SMT CLEAR</t>
    </r>
  </si>
  <si>
    <t>3/13 - #29 is jumper but missing part on BOM to attach jumper</t>
  </si>
  <si>
    <t>129654
NEW</t>
  </si>
  <si>
    <t>3/19
5D</t>
  </si>
  <si>
    <r>
      <rPr>
        <b/>
        <strike/>
        <u/>
        <sz val="14"/>
        <color rgb="FFFF0000"/>
        <rFont val="Calibri"/>
        <family val="2"/>
      </rPr>
      <t xml:space="preserve">*** DO NOT DEPANEL *** </t>
    </r>
    <r>
      <rPr>
        <b/>
        <u/>
        <sz val="12"/>
        <color rgb="FFFF0000"/>
        <rFont val="Calibri"/>
        <family val="2"/>
      </rPr>
      <t xml:space="preserve">(WAIVED)
</t>
    </r>
    <r>
      <rPr>
        <b/>
        <sz val="11"/>
        <color rgb="FF000000"/>
        <rFont val="Calibri"/>
        <family val="2"/>
      </rPr>
      <t xml:space="preserve">CLASS 3
LEAD WASH PROCESS
XRAY &amp; SAVE IMAGES
</t>
    </r>
    <r>
      <rPr>
        <b/>
        <strike/>
        <u/>
        <sz val="14"/>
        <color rgb="FFFF0000"/>
        <rFont val="Calibri"/>
        <family val="2"/>
      </rPr>
      <t>*** DO NOT DEPANEL ***</t>
    </r>
  </si>
  <si>
    <t>3/13 - TOP 8:00</t>
  </si>
  <si>
    <t>3/13 - 10:00</t>
  </si>
  <si>
    <t>ECO &amp; DWG REVIEWED
cui
-labeled</t>
  </si>
  <si>
    <t>ETA 3/6
SHORT, NO ETA NEXT WEEK</t>
  </si>
  <si>
    <r>
      <rPr>
        <b/>
        <sz val="11"/>
        <color rgb="FF000000"/>
        <rFont val="Calibri"/>
        <family val="2"/>
      </rPr>
      <t xml:space="preserve">3/6 - KIT CLEAR
3/3 - MATERIAL CLEAR
</t>
    </r>
    <r>
      <rPr>
        <b/>
        <strike/>
        <sz val="11"/>
        <color rgb="FF000000"/>
        <rFont val="Calibri"/>
        <family val="2"/>
      </rPr>
      <t>D40 (SMT) NO ETA  &amp; PCB1 (THT) WITH NO ETA 3/3 || 2/26 - SHORT C26 ETA 2/27</t>
    </r>
  </si>
  <si>
    <t>2/27 - consult with Robert if he wants to install PCB1 during SMT process (part in THT kit)</t>
  </si>
  <si>
    <t>131203
NEW</t>
  </si>
  <si>
    <t xml:space="preserve">
3/20
10D</t>
  </si>
  <si>
    <r>
      <rPr>
        <b/>
        <u/>
        <sz val="14"/>
        <color rgb="FFFF0000"/>
        <rFont val="Calibri"/>
        <family val="2"/>
      </rPr>
      <t xml:space="preserve">*** DO NOT DEPANEL ***
</t>
    </r>
    <r>
      <rPr>
        <b/>
        <sz val="11"/>
        <color rgb="FF782170"/>
        <rFont val="Calibri"/>
        <family val="2"/>
      </rPr>
      <t xml:space="preserve">LEAD-FREE WASH
</t>
    </r>
    <r>
      <rPr>
        <b/>
        <sz val="11"/>
        <color rgb="FF000000"/>
        <rFont val="Calibri"/>
        <family val="2"/>
      </rPr>
      <t>"J1" SEE ECO FOR INSTALLATION INSTRUCTIONS - GLUE STRIPS OR VHB TAPE REQUIRED</t>
    </r>
  </si>
  <si>
    <t>3/13 - BOT 1:00</t>
  </si>
  <si>
    <t>3/14 - AOI</t>
  </si>
  <si>
    <t xml:space="preserve">Passive Logic
</t>
  </si>
  <si>
    <t>ECO, DWG &amp; attached documents  REVIEWED
- labeled</t>
  </si>
  <si>
    <t>DOC REL 2/24</t>
  </si>
  <si>
    <t>3/13 - RECVD</t>
  </si>
  <si>
    <r>
      <rPr>
        <b/>
        <sz val="11"/>
        <color rgb="FF000000"/>
        <rFont val="Calibri"/>
        <family val="2"/>
      </rPr>
      <t xml:space="preserve">3/13 - KIT CLEAR 
</t>
    </r>
    <r>
      <rPr>
        <b/>
        <strike/>
        <sz val="11"/>
        <color rgb="FFFF0000"/>
        <rFont val="Calibri"/>
        <family val="2"/>
      </rPr>
      <t>*PENDING ON NATION UPDATE ECO</t>
    </r>
  </si>
  <si>
    <t>131717
NEW</t>
  </si>
  <si>
    <r>
      <rPr>
        <b/>
        <strike/>
        <sz val="11"/>
        <color rgb="FF000000"/>
        <rFont val="Calibri"/>
        <family val="2"/>
      </rPr>
      <t xml:space="preserve">NO ECO  NOTES
</t>
    </r>
    <r>
      <rPr>
        <b/>
        <sz val="11"/>
        <color rgb="FF782170"/>
        <rFont val="Calibri"/>
        <family val="2"/>
      </rPr>
      <t>all TPs free of solder (new ECO)</t>
    </r>
  </si>
  <si>
    <t>ECO reviewed
- LABELED</t>
  </si>
  <si>
    <t>SHORT, NO ETA 3/11</t>
  </si>
  <si>
    <r>
      <rPr>
        <b/>
        <sz val="11"/>
        <color rgb="FF000000"/>
        <rFont val="Calibri"/>
        <family val="2"/>
      </rPr>
      <t xml:space="preserve">3-10 - KIT CLEAR
3/7 - MATERIAL CLEAR
</t>
    </r>
    <r>
      <rPr>
        <b/>
        <strike/>
        <sz val="11"/>
        <color rgb="FF000000"/>
        <rFont val="Calibri"/>
        <family val="2"/>
      </rPr>
      <t>3/5 -  SHORT R20 (SMT) WITH NO ETA</t>
    </r>
  </si>
  <si>
    <t>3/5 - OK TO SKIP R20 IF YOU NEED SOMETHING TO RUN</t>
  </si>
  <si>
    <t>131668
RONC 129171</t>
  </si>
  <si>
    <t>3/17
5D</t>
  </si>
  <si>
    <t>LEADED, WASH
DEPANEL</t>
  </si>
  <si>
    <t>3/12 - BOT 6:00</t>
  </si>
  <si>
    <t>3/12 - TOP</t>
  </si>
  <si>
    <t>3/12 - AOI 10:00</t>
  </si>
  <si>
    <t>ECO &amp; prev run REVIEWED
--
ok to skip &amp; run after we get PCBs
- labeled</t>
  </si>
  <si>
    <t>DOC REL 3/4</t>
  </si>
  <si>
    <t>3/10 -  KIT CLEAR
3/7 - MATERIAL CLEAR</t>
  </si>
  <si>
    <t>3/11 - SMT COMP QTY 56</t>
  </si>
  <si>
    <t>131193
RONC 129008</t>
  </si>
  <si>
    <r>
      <rPr>
        <b/>
        <sz val="11"/>
        <color rgb="FF000000"/>
        <rFont val="Calibri"/>
        <family val="2"/>
      </rPr>
      <t xml:space="preserve">"U2,4,6,8" MASK OFF PADS PER ECO
</t>
    </r>
    <r>
      <rPr>
        <b/>
        <sz val="11"/>
        <color rgb="FFFF0000"/>
        <rFont val="Calibri"/>
        <family val="2"/>
      </rPr>
      <t xml:space="preserve">** KEEP GRID OF HOLES FREE FROM SOLDER
</t>
    </r>
    <r>
      <rPr>
        <b/>
        <sz val="11"/>
        <color rgb="FF000000"/>
        <rFont val="Calibri"/>
        <family val="2"/>
      </rPr>
      <t>MAKE SURE BOARDS ARE FREE AND CLEAN OF DEBRIS
DEPANEL</t>
    </r>
  </si>
  <si>
    <t>3/11 - TOP 10:00
3/11 - pause 12:00
3/12 - TOP 11:30</t>
  </si>
  <si>
    <t>3/12 - AOI 1:30</t>
  </si>
  <si>
    <t>prev build: copper showing through board &amp; solder on grid holes
ECO, prev run &amp; photos reviewed
- labeled</t>
  </si>
  <si>
    <r>
      <t xml:space="preserve">SHORT, NO ETA
</t>
    </r>
    <r>
      <rPr>
        <b/>
        <sz val="11"/>
        <color rgb="FF000000"/>
        <rFont val="Calibri"/>
        <family val="2"/>
      </rPr>
      <t>2/13 - RECVD</t>
    </r>
  </si>
  <si>
    <r>
      <rPr>
        <b/>
        <sz val="11"/>
        <color rgb="FF000000"/>
        <rFont val="Calibri"/>
        <family val="2"/>
      </rPr>
      <t xml:space="preserve">3/3 - KIT CLEAR
</t>
    </r>
    <r>
      <rPr>
        <b/>
        <strike/>
        <sz val="11"/>
        <color rgb="FF000000"/>
        <rFont val="Calibri"/>
        <family val="2"/>
      </rPr>
      <t>2/6 - SHORT C75_CUT1, U1_IR, U14 (SMT) 225pcs ETA 3/3 EXPECT ARRV 2/21 to 2/25 OR SOONER , &amp; short qty 279 MP1_IR (SMT) , J4,  and AE3 (THT) WITH NO ETA.</t>
    </r>
  </si>
  <si>
    <t>3/7 - smt qty 120 comp
3/3 - SMT TOP 1ST</t>
  </si>
  <si>
    <t>130476
RONC 128838</t>
  </si>
  <si>
    <t>LEADED, WASH
DEPANEL
C38 AFTER WASH
SEE ECO FOR S1, D12, D4, U2, J7 J8 ORIENTATION</t>
  </si>
  <si>
    <t>3/6 - TOP 8:30</t>
  </si>
  <si>
    <t>3/7 - BOT 10:00</t>
  </si>
  <si>
    <t>3/10 - AOI 11:30</t>
  </si>
  <si>
    <t>ECO. photos &amp; prev run REVIEWED
- labeled</t>
  </si>
  <si>
    <t>3/7 - KIT CLEAR</t>
  </si>
  <si>
    <t>3/5 - NEW STENCIL</t>
  </si>
  <si>
    <t>130769-2nd
RONC 1st Article</t>
  </si>
  <si>
    <r>
      <rPr>
        <b/>
        <sz val="11"/>
        <color rgb="FF000000"/>
        <rFont val="Calibri"/>
        <family val="2"/>
      </rPr>
      <t xml:space="preserve">LEAD PROCESS
"C6,C18" DP460 EPOXY REQ
XRAY &amp; SAVE IMAGES
INSTALL "LP1,Y17" TOGETHER
</t>
    </r>
    <r>
      <rPr>
        <b/>
        <sz val="14"/>
        <color rgb="FFFF0000"/>
        <rFont val="Calibri"/>
        <family val="2"/>
      </rPr>
      <t xml:space="preserve">"J2,J6,J11,J13" TRIM LEADS 0.05" MAX
</t>
    </r>
    <r>
      <rPr>
        <b/>
        <sz val="11"/>
        <color rgb="FF000000"/>
        <rFont val="Calibri"/>
        <family val="2"/>
      </rPr>
      <t>* FAIR REQUIRED
DEPANEL &amp; SAND
DNI EPOXY (ECO#4)</t>
    </r>
  </si>
  <si>
    <t>3/10 - BOT 11:30</t>
  </si>
  <si>
    <t>3/11 - TOP 1:00</t>
  </si>
  <si>
    <t>3/11 - AOI 7:00</t>
  </si>
  <si>
    <t>ECO. photos, prev run &amp; drawing REVIEWED
- labeled</t>
  </si>
  <si>
    <t>3/11 - RECVD
SHORT, NO ETA 3/13</t>
  </si>
  <si>
    <t>3/11 - KIT CLEAR
3/5 - MATERIAL CLEAR (THT ONLY)</t>
  </si>
  <si>
    <t>131407
NEW</t>
  </si>
  <si>
    <t>THT ONLY
DEPANEL</t>
  </si>
  <si>
    <t>3/5 - BACK</t>
  </si>
  <si>
    <t>ECO &amp; DWG REVIEWED
---
disregard Drawing notes on labels
- LABELED</t>
  </si>
  <si>
    <t>3/10 - KIT CLEAR
3/6 - MATERIAL CLEAR</t>
  </si>
  <si>
    <t>131599
ROWC 124496</t>
  </si>
  <si>
    <t>LABELS WAIVED
DEPANEL</t>
  </si>
  <si>
    <t>3/13 - TOP 6:00</t>
  </si>
  <si>
    <t>3/13 - 8:00</t>
  </si>
  <si>
    <t>ECO, PHOTOS, PREV RUN &amp; BOM COMPARE REVIEWED
- labeled (temp) tad ok</t>
  </si>
  <si>
    <t>SHORT, NO ETA 3/5</t>
  </si>
  <si>
    <t>3/5 - KIT CLEAR
2/27 - MATERIAL CLEAR</t>
  </si>
  <si>
    <r>
      <rPr>
        <b/>
        <sz val="11"/>
        <color rgb="FF000000"/>
        <rFont val="Calibri"/>
        <family val="2"/>
      </rPr>
      <t xml:space="preserve">3/10 - Q1 PAD UNDERSIZED; SMT COMP BOT QTY 171
</t>
    </r>
    <r>
      <rPr>
        <b/>
        <sz val="11"/>
        <color rgb="FFFF0000"/>
        <rFont val="Calibri"/>
        <family val="2"/>
      </rPr>
      <t>2/24 - SMT CLEAR ONCE PCB'S COME</t>
    </r>
  </si>
  <si>
    <t>131572-1
par
NEW</t>
  </si>
  <si>
    <r>
      <rPr>
        <b/>
        <sz val="11"/>
        <color rgb="FF782170"/>
        <rFont val="Calibri"/>
        <family val="2"/>
      </rPr>
      <t xml:space="preserve">SHIP PARTIAL (MIN 50 BOARDS) ON 3/13
LEAD-FREE WASH
</t>
    </r>
    <r>
      <rPr>
        <b/>
        <sz val="11"/>
        <color rgb="FF000000"/>
        <rFont val="Calibri"/>
        <family val="2"/>
      </rPr>
      <t>DEPANEL</t>
    </r>
  </si>
  <si>
    <t>3/10 - BOT 8:00
3/10 - PAUSE 1:30</t>
  </si>
  <si>
    <t>3/12 - TOP 9:00</t>
  </si>
  <si>
    <t>3/12 - AOI 11:30</t>
  </si>
  <si>
    <t>3/5 - RECVD</t>
  </si>
  <si>
    <t>3/5 - KIT CLEAR</t>
  </si>
  <si>
    <t>3/7 - TOP SIDE STENCIL INCORRECT</t>
  </si>
  <si>
    <t>129502-1st
NEW</t>
  </si>
  <si>
    <t>3/13
5D</t>
  </si>
  <si>
    <t>LEAD FREE WASH
SOLDER PROFILE SENT TO CUSTOMER (INCLUDE PHOTOS, TESTING METHOD &amp; RECOMMENDATIONS) PER ECO &amp; DRAWING
SW1 AFTER WASH
XRAY &amp; SAVE IMAGES
AOI REQUIRED</t>
  </si>
  <si>
    <t>3/7 - TOP 1:30</t>
  </si>
  <si>
    <t>3/10 - AOI 8:00</t>
  </si>
  <si>
    <t>ECO, DRAWING &amp; ADDITIONAL FILE REVIEWED
- labeled</t>
  </si>
  <si>
    <r>
      <rPr>
        <b/>
        <sz val="11"/>
        <color rgb="FF000000"/>
        <rFont val="Calibri"/>
        <family val="2"/>
      </rPr>
      <t xml:space="preserve">3/10 - KIT CLEAR
3/7 - MATERIAL CLEAR
</t>
    </r>
    <r>
      <rPr>
        <b/>
        <strike/>
        <sz val="11"/>
        <color rgb="FF000000"/>
        <rFont val="Calibri"/>
        <family val="2"/>
      </rPr>
      <t>3/5 - SHORT U8 (SMT) WITH NO ETA *U8 CAN BE SKIP AT SM</t>
    </r>
    <r>
      <rPr>
        <b/>
        <sz val="11"/>
        <color rgb="FF000000"/>
        <rFont val="Calibri"/>
        <family val="2"/>
      </rPr>
      <t>T</t>
    </r>
  </si>
  <si>
    <t>131582
NEW</t>
  </si>
  <si>
    <r>
      <rPr>
        <b/>
        <sz val="14"/>
        <color rgb="FF000000"/>
        <rFont val="Calibri"/>
        <family val="2"/>
      </rPr>
      <t xml:space="preserve">3/13
</t>
    </r>
    <r>
      <rPr>
        <b/>
        <sz val="14"/>
        <color rgb="FFFF0000"/>
        <rFont val="Calibri"/>
        <family val="2"/>
      </rPr>
      <t>3D</t>
    </r>
  </si>
  <si>
    <t>3/11 - TOP 7:00</t>
  </si>
  <si>
    <t>3/11 - AOI 9:30</t>
  </si>
  <si>
    <t xml:space="preserve">Pace-O-Matic
</t>
  </si>
  <si>
    <t>ECO REVIEWED</t>
  </si>
  <si>
    <t>2/20 -  MATERIALS CLEAR
2/25 - KIT CLEAR</t>
  </si>
  <si>
    <t>FSU
LINEMAN SETUP</t>
  </si>
  <si>
    <t>131391
RONC 130826</t>
  </si>
  <si>
    <t>3/11
10D</t>
  </si>
  <si>
    <t>3/7 - TOP 9:00</t>
  </si>
  <si>
    <t>3/7 - AOI 2:00</t>
  </si>
  <si>
    <t>DOC REL 2/19</t>
  </si>
  <si>
    <r>
      <rPr>
        <b/>
        <strike/>
        <sz val="11"/>
        <color rgb="FF000000"/>
        <rFont val="Calibri"/>
        <family val="2"/>
      </rPr>
      <t xml:space="preserve">SHORT, ETA 2/28 </t>
    </r>
    <r>
      <rPr>
        <b/>
        <sz val="11"/>
        <color rgb="FF000000"/>
        <rFont val="Calibri"/>
        <family val="2"/>
      </rPr>
      <t>2/19 - SIGNED RECVD</t>
    </r>
  </si>
  <si>
    <r>
      <rPr>
        <b/>
        <strike/>
        <sz val="11"/>
        <color rgb="FF000000"/>
        <rFont val="Calibri"/>
        <family val="2"/>
      </rPr>
      <t xml:space="preserve">2/12 - SHORT U85, U130, and X5 (SMT) WAITING FOR ETA  2/24 *EXPECT TO RECVD 2/21 | U105, L1, and J14 WAITING TO BE CONFIRM. </t>
    </r>
    <r>
      <rPr>
        <b/>
        <sz val="11"/>
        <color rgb="FF000000"/>
        <rFont val="Calibri"/>
        <family val="2"/>
      </rPr>
      <t>2/24  - KIT CLEAR</t>
    </r>
  </si>
  <si>
    <t>3/11 - correct (U2) due date
3/6 - #58 (u2) rec'd wrong part - skip
3/5 - ETA SMT COMP FRIDAY</t>
  </si>
  <si>
    <t>130785
NEW</t>
  </si>
  <si>
    <r>
      <rPr>
        <b/>
        <sz val="14"/>
        <color rgb="FF000000"/>
        <rFont val="Calibri"/>
        <family val="2"/>
      </rPr>
      <t xml:space="preserve">3/11
</t>
    </r>
    <r>
      <rPr>
        <b/>
        <strike/>
        <sz val="14"/>
        <color rgb="FF000000"/>
        <rFont val="Calibri"/>
        <family val="2"/>
      </rPr>
      <t xml:space="preserve">3/10
</t>
    </r>
    <r>
      <rPr>
        <b/>
        <sz val="14"/>
        <color rgb="FF000000"/>
        <rFont val="Calibri"/>
        <family val="2"/>
      </rPr>
      <t>10D</t>
    </r>
  </si>
  <si>
    <t>3/4 - BOT 11:30</t>
  </si>
  <si>
    <t>3/7 - AOI 9:00</t>
  </si>
  <si>
    <t>ECO REVIEWED
___ 
FUTURE BUILDS, A LOT OF REWORK REQUIRED</t>
  </si>
  <si>
    <t>SHORT 9PCS NO ETA/NOT EXPECT TO BE CLEAR NEXT WEEK</t>
  </si>
  <si>
    <t>1/23 - SHORT U3101 (SMT), J3901, and CON3000 (THT) WITH NO ETA</t>
  </si>
  <si>
    <t>2/6 - CUST REQ TO RUN PARTIALS - RUN ONLY IF THEY PAY FOR XTRA SET UP</t>
  </si>
  <si>
    <t>130219-1 PAR
NEW</t>
  </si>
  <si>
    <t>3/14
10D</t>
  </si>
  <si>
    <r>
      <rPr>
        <b/>
        <sz val="11"/>
        <color rgb="FFFF0000"/>
        <rFont val="Calibri"/>
        <family val="2"/>
      </rPr>
      <t xml:space="preserve">*** RUN QTY 11 PARTIAL
</t>
    </r>
    <r>
      <rPr>
        <b/>
        <sz val="11"/>
        <color rgb="FF000000"/>
        <rFont val="Calibri"/>
        <family val="2"/>
      </rPr>
      <t>LEAD FREE WASH
"SW3900" AFTER WASH
XRAY &amp; SAVE IMAGES
AS9102 FAIR REQ</t>
    </r>
  </si>
  <si>
    <t>3/5 - BOT 10:00</t>
  </si>
  <si>
    <t>3/5 - TOP 11:30</t>
  </si>
  <si>
    <t>3/6 - AOI 10:00</t>
  </si>
  <si>
    <t>ECO &amp; DWG REVIEWED</t>
  </si>
  <si>
    <r>
      <t>SHORT, NO ETA 2/12</t>
    </r>
    <r>
      <rPr>
        <b/>
        <sz val="11"/>
        <color rgb="FF000000"/>
        <rFont val="Calibri"/>
        <family val="2"/>
      </rPr>
      <t xml:space="preserve"> 2/11 - RECVD</t>
    </r>
  </si>
  <si>
    <r>
      <t xml:space="preserve">3/4 - KIT CLEAR (PD1 BAL RECVD)
</t>
    </r>
    <r>
      <rPr>
        <b/>
        <strike/>
        <sz val="11"/>
        <color rgb="FF000000"/>
        <rFont val="Calibri"/>
        <family val="2"/>
      </rPr>
      <t xml:space="preserve">1/30 - SHORT PD1 (THT) WITH NO ETA AND EXPECTED IN A FEW WEEK.
</t>
    </r>
    <r>
      <rPr>
        <b/>
        <sz val="11"/>
        <color rgb="FF000000"/>
        <rFont val="Calibri"/>
        <family val="2"/>
      </rPr>
      <t>1/30 - SMT CLEAR
2/11 - RECVD PARTIAL (278pcs) OF PD1, KIT CLEAR FOR 16PCS.</t>
    </r>
  </si>
  <si>
    <r>
      <t xml:space="preserve">SMT CLEAR - ONLY PARTIAL SHORT "PD1" T/H
</t>
    </r>
    <r>
      <rPr>
        <b/>
        <u/>
        <sz val="11"/>
        <color rgb="FF000000"/>
        <rFont val="Calibri"/>
        <family val="2"/>
      </rPr>
      <t>*** SHOULD RUN ASAP FOR HIGH T/H COUNT</t>
    </r>
  </si>
  <si>
    <t>130906-2
BAL
RONC 129320</t>
  </si>
  <si>
    <t>3/11
5D</t>
  </si>
  <si>
    <t>"SW3, SW4" AFTER WASH
MOUNT ALL T/H FLUSH PER ECO
DEPANEL
SMT CLEAR for 20; Kit Clear for 16 - ship balance when THT shortages arrive</t>
  </si>
  <si>
    <t>2/12 - TOP 7:30</t>
  </si>
  <si>
    <t>2/12 - AOI 10:30</t>
  </si>
  <si>
    <t xml:space="preserve">Biolog Inc.
</t>
  </si>
  <si>
    <t>ECO &amp; previous run REVIEWED</t>
  </si>
  <si>
    <t>DOC REL 1/29</t>
  </si>
  <si>
    <t>SHORT, ETA 3/4</t>
  </si>
  <si>
    <r>
      <rPr>
        <b/>
        <sz val="11"/>
        <color rgb="FF000000"/>
        <rFont val="Calibri"/>
        <family val="2"/>
      </rPr>
      <t xml:space="preserve">3/5 -KIT CLEAR
2/25 - SMT CLEAR
</t>
    </r>
    <r>
      <rPr>
        <b/>
        <strike/>
        <sz val="11"/>
        <color rgb="FF156082"/>
        <rFont val="Calibri"/>
        <family val="2"/>
      </rPr>
      <t>2/7 - SHORT C20, C24, U12,  J3, M2 (SMT),  C31,</t>
    </r>
    <r>
      <rPr>
        <b/>
        <sz val="11"/>
        <color rgb="FF156082"/>
        <rFont val="Calibri"/>
        <family val="2"/>
      </rPr>
      <t xml:space="preserve"> </t>
    </r>
    <r>
      <rPr>
        <b/>
        <sz val="11"/>
        <color rgb="FF000000"/>
        <rFont val="Calibri"/>
        <family val="2"/>
      </rPr>
      <t>L2 (SHORT 28pcs), L4 (SHORT 14pcs) (THT) CONFIRMING IS BTD</t>
    </r>
    <r>
      <rPr>
        <b/>
        <sz val="11"/>
        <color rgb="FF156082"/>
        <rFont val="Calibri"/>
        <family val="2"/>
      </rPr>
      <t xml:space="preserve"> </t>
    </r>
    <r>
      <rPr>
        <b/>
        <strike/>
        <sz val="11"/>
        <color rgb="FF156082"/>
        <rFont val="Calibri"/>
        <family val="2"/>
      </rPr>
      <t>or CUSTOMER WILL SEND</t>
    </r>
    <r>
      <rPr>
        <b/>
        <sz val="11"/>
        <color rgb="FF156082"/>
        <rFont val="Calibri"/>
        <family val="2"/>
      </rPr>
      <t xml:space="preserve"> MORE. </t>
    </r>
    <r>
      <rPr>
        <b/>
        <strike/>
        <sz val="11"/>
        <color rgb="FF156082"/>
        <rFont val="Calibri"/>
        <family val="2"/>
      </rPr>
      <t>WITH NO ETA</t>
    </r>
    <r>
      <rPr>
        <b/>
        <sz val="11"/>
        <color rgb="FF156082"/>
        <rFont val="Calibri"/>
        <family val="2"/>
      </rPr>
      <t xml:space="preserve">. </t>
    </r>
  </si>
  <si>
    <t>2/26 - GET TO THE BACK ASAP
3/3 - QTY 20 SMT COMP</t>
  </si>
  <si>
    <r>
      <rPr>
        <b/>
        <sz val="14"/>
        <color rgb="FF000000"/>
        <rFont val="Calibri"/>
        <family val="2"/>
      </rPr>
      <t xml:space="preserve">130963-2
BAL
</t>
    </r>
    <r>
      <rPr>
        <b/>
        <sz val="14"/>
        <color rgb="FF156082"/>
        <rFont val="Calibri"/>
        <family val="2"/>
      </rPr>
      <t>NEW</t>
    </r>
  </si>
  <si>
    <r>
      <rPr>
        <b/>
        <sz val="14"/>
        <color rgb="FF156082"/>
        <rFont val="Calibri"/>
        <family val="2"/>
      </rPr>
      <t xml:space="preserve">
</t>
    </r>
    <r>
      <rPr>
        <b/>
        <sz val="14"/>
        <color rgb="FF000000"/>
        <rFont val="Calibri"/>
        <family val="2"/>
      </rPr>
      <t>3/12
5D</t>
    </r>
  </si>
  <si>
    <r>
      <rPr>
        <b/>
        <sz val="14"/>
        <color rgb="FFFF0000"/>
        <rFont val="Calibri"/>
        <family val="2"/>
      </rPr>
      <t xml:space="preserve">*** SHIP PARTIAL QTY 96 ON 3/7
</t>
    </r>
    <r>
      <rPr>
        <b/>
        <sz val="11"/>
        <color rgb="FF000000"/>
        <rFont val="Calibri"/>
        <family val="2"/>
      </rPr>
      <t xml:space="preserve">"L2,3,4" TAKE EXTRA CARE PER ECO #2
"T101 T102,L101,L102,U17,K1,S1" AFTER WASH
</t>
    </r>
    <r>
      <rPr>
        <b/>
        <sz val="11"/>
        <color rgb="FF782170"/>
        <rFont val="Calibri"/>
        <family val="2"/>
      </rPr>
      <t xml:space="preserve">BTD L2,L3 &amp; L4
</t>
    </r>
    <r>
      <rPr>
        <b/>
        <sz val="11"/>
        <color rgb="FFFF0000"/>
        <rFont val="Calibri"/>
        <family val="2"/>
      </rPr>
      <t>*** DEPANEL AND SAND</t>
    </r>
    <r>
      <rPr>
        <b/>
        <sz val="11"/>
        <color rgb="FF000000"/>
        <rFont val="Calibri"/>
        <family val="2"/>
      </rPr>
      <t xml:space="preserve"> - -	Tabs from de-paneling shall be .015 max beyond the board outline and .015 max below flush to the board outline
</t>
    </r>
    <r>
      <rPr>
        <b/>
        <sz val="14"/>
        <color rgb="FFFF0000"/>
        <rFont val="Calibri"/>
        <family val="2"/>
      </rPr>
      <t>*** TRIM LEAD 0.060 MAX HEIGHT</t>
    </r>
  </si>
  <si>
    <t>2/28 - BOT 11:30
3/3 - PAUSE 6:00
3/3 - BOT 8:00</t>
  </si>
  <si>
    <t>3/3 - TOP 11:00</t>
  </si>
  <si>
    <t>3/4 - AOI 10:00</t>
  </si>
  <si>
    <r>
      <rPr>
        <b/>
        <sz val="11"/>
        <color rgb="FF156082"/>
        <rFont val="Calibri"/>
        <family val="2"/>
      </rPr>
      <t xml:space="preserve">2/7 - SHORT </t>
    </r>
    <r>
      <rPr>
        <b/>
        <strike/>
        <sz val="11"/>
        <color rgb="FF156082"/>
        <rFont val="Calibri"/>
        <family val="2"/>
      </rPr>
      <t>C20, C24, U12,  J3, M2 (SMT),  C31,</t>
    </r>
    <r>
      <rPr>
        <b/>
        <sz val="11"/>
        <color rgb="FF156082"/>
        <rFont val="Calibri"/>
        <family val="2"/>
      </rPr>
      <t xml:space="preserve"> L2 (SHORT 28pcs), L4 (SHORT 14pcs) (THT) CONFIRMING IS BTD or CUSTOMER WILL SEND MORE. </t>
    </r>
    <r>
      <rPr>
        <b/>
        <strike/>
        <sz val="11"/>
        <color rgb="FF156082"/>
        <rFont val="Calibri"/>
        <family val="2"/>
      </rPr>
      <t>WITH NO ETA</t>
    </r>
    <r>
      <rPr>
        <b/>
        <sz val="11"/>
        <color rgb="FF156082"/>
        <rFont val="Calibri"/>
        <family val="2"/>
      </rPr>
      <t xml:space="preserve">. </t>
    </r>
    <r>
      <rPr>
        <b/>
        <sz val="11"/>
        <color rgb="FF000000"/>
        <rFont val="Calibri"/>
        <family val="2"/>
      </rPr>
      <t>2/25 - SMT CLEAR</t>
    </r>
  </si>
  <si>
    <r>
      <rPr>
        <b/>
        <sz val="14"/>
        <color rgb="FF000000"/>
        <rFont val="Calibri"/>
        <family val="2"/>
      </rPr>
      <t xml:space="preserve">130963-1
PAR
</t>
    </r>
    <r>
      <rPr>
        <b/>
        <sz val="14"/>
        <color rgb="FF156082"/>
        <rFont val="Calibri"/>
        <family val="2"/>
      </rPr>
      <t>NEW</t>
    </r>
  </si>
  <si>
    <t>3/7
5D</t>
  </si>
  <si>
    <r>
      <rPr>
        <b/>
        <sz val="14"/>
        <color rgb="FFFF0000"/>
        <rFont val="Calibri"/>
        <family val="2"/>
      </rPr>
      <t xml:space="preserve">*** SHIP PARTIAL QTY 96 ON 3/7
</t>
    </r>
    <r>
      <rPr>
        <b/>
        <sz val="11"/>
        <color rgb="FF000000"/>
        <rFont val="Calibri"/>
        <family val="2"/>
      </rPr>
      <t xml:space="preserve">"L2,3,4" TAKE EXTRA CARE PER ECO #2
"T101 T102,L101,L102,U17,K1,S1" AFTER WASH
</t>
    </r>
    <r>
      <rPr>
        <b/>
        <sz val="11"/>
        <color rgb="FFFF0000"/>
        <rFont val="Calibri"/>
        <family val="2"/>
      </rPr>
      <t>*** DEPANEL AND SAND</t>
    </r>
    <r>
      <rPr>
        <b/>
        <sz val="11"/>
        <color rgb="FF000000"/>
        <rFont val="Calibri"/>
        <family val="2"/>
      </rPr>
      <t xml:space="preserve"> - -	Tabs from de-paneling shall be .015 max beyond the board outline and .015 max below flush to the board outline
</t>
    </r>
    <r>
      <rPr>
        <b/>
        <sz val="14"/>
        <color rgb="FFFF0000"/>
        <rFont val="Calibri"/>
        <family val="2"/>
      </rPr>
      <t>*** TRIM LEAD 0.060 MAX HEIGHT</t>
    </r>
  </si>
  <si>
    <t>RECVD</t>
  </si>
  <si>
    <t>2/24 - KIT WILL BE CLEAR ONCE NATION RELEASED JOB/DOC. KIT CLEAR</t>
  </si>
  <si>
    <t>2/28 - SMT COMP QTY 80</t>
  </si>
  <si>
    <t>127321-
2ND
RONC 1ST</t>
  </si>
  <si>
    <t>3/10
10D</t>
  </si>
  <si>
    <t>LEAD PROCESS
"S1" AFTER WASH
DEPANEL</t>
  </si>
  <si>
    <t>2/27 - BOT 10:00</t>
  </si>
  <si>
    <t>2/27 - TOP 1:30
2/28 - PAUSE 11:30
2/28 - TOP 12:30</t>
  </si>
  <si>
    <t>2/28 - 2:00</t>
  </si>
  <si>
    <t xml:space="preserve">LMA Technologies LLC
</t>
  </si>
  <si>
    <t>ECO &amp; PREV RUN REVIEWED</t>
  </si>
  <si>
    <t>SHORT, ETA 2/28</t>
  </si>
  <si>
    <r>
      <t>2/25 -</t>
    </r>
    <r>
      <rPr>
        <b/>
        <strike/>
        <sz val="11"/>
        <color rgb="FF000000"/>
        <rFont val="Calibri"/>
        <family val="2"/>
      </rPr>
      <t xml:space="preserve"> SHORT C9_7 and R1_3 (SMT) S/B HERE 2/27 || U1_3 NEED CONFIRM. </t>
    </r>
    <r>
      <rPr>
        <b/>
        <sz val="11"/>
        <color rgb="FF000000"/>
        <rFont val="Calibri"/>
        <family val="2"/>
      </rPr>
      <t>MATERIALS CLEAR| 2/27-KIT CLEAR</t>
    </r>
  </si>
  <si>
    <t>131036-1st
NEW</t>
  </si>
  <si>
    <t>03/6
5D</t>
  </si>
  <si>
    <r>
      <rPr>
        <b/>
        <sz val="12"/>
        <color rgb="FFFF0000"/>
        <rFont val="Calibri"/>
        <family val="2"/>
      </rPr>
      <t xml:space="preserve">*** "PS1_6, PS2_6, PS3_6, PS4_6" HEIGHT REQ AFTER SOLDERING 0.114 TO 0.122 PER ECO
</t>
    </r>
    <r>
      <rPr>
        <b/>
        <sz val="11"/>
        <color rgb="FF000000"/>
        <rFont val="Calibri"/>
        <family val="2"/>
      </rPr>
      <t>"PS1_6, PS2_6, PS3_6, PS4_6"  &amp; "SW1" AFTER WASH</t>
    </r>
  </si>
  <si>
    <t>3/4 - BOT 12:30</t>
  </si>
  <si>
    <t>3/5 - TOP</t>
  </si>
  <si>
    <t>3/5 - AOI 9:00</t>
  </si>
  <si>
    <t>SHORT , ETA 3/7</t>
  </si>
  <si>
    <r>
      <rPr>
        <b/>
        <strike/>
        <sz val="11"/>
        <color rgb="FF000000"/>
        <rFont val="Calibri"/>
        <family val="2"/>
      </rPr>
      <t>2/18 - RECVD 20 ITEMS OUT OF 175 ITEMS. 148 ITEMS FROM MOUSER ETA 2/18</t>
    </r>
    <r>
      <rPr>
        <b/>
        <sz val="11"/>
        <color rgb="FF000000"/>
        <rFont val="Calibri"/>
        <family val="2"/>
      </rPr>
      <t xml:space="preserve"> | 2/19 -SHORT </t>
    </r>
    <r>
      <rPr>
        <b/>
        <strike/>
        <sz val="11"/>
        <color rgb="FF000000"/>
        <rFont val="Calibri"/>
        <family val="2"/>
      </rPr>
      <t>U29</t>
    </r>
    <r>
      <rPr>
        <b/>
        <sz val="11"/>
        <color rgb="FF000000"/>
        <rFont val="Calibri"/>
        <family val="2"/>
      </rPr>
      <t>, R208 (SMT, SHORT 45 pcs IS ON THE WAY) ,</t>
    </r>
    <r>
      <rPr>
        <b/>
        <strike/>
        <sz val="11"/>
        <color rgb="FF000000"/>
        <rFont val="Calibri"/>
        <family val="2"/>
      </rPr>
      <t xml:space="preserve"> S1</t>
    </r>
    <r>
      <rPr>
        <b/>
        <sz val="11"/>
        <color rgb="FF000000"/>
        <rFont val="Calibri"/>
        <family val="2"/>
      </rPr>
      <t xml:space="preserve">, A1 (THT, SHORT 3pcs IS BTD) </t>
    </r>
    <r>
      <rPr>
        <b/>
        <strike/>
        <sz val="11"/>
        <color rgb="FF000000"/>
        <rFont val="Calibri"/>
        <family val="2"/>
      </rPr>
      <t xml:space="preserve">WITH NO ETA. </t>
    </r>
    <r>
      <rPr>
        <b/>
        <sz val="11"/>
        <color rgb="FF000000"/>
        <rFont val="Calibri"/>
        <family val="2"/>
      </rPr>
      <t>2/27 - KIT CLEAR</t>
    </r>
  </si>
  <si>
    <t>2/27 - prev build top side 1st
3/3 - SMT BOT COMP</t>
  </si>
  <si>
    <t>131221
ROWC 128821 2nd Article</t>
  </si>
  <si>
    <t>"SW1, SW2, U5, PS1, L1" AFTER WASH
DEPANEL
MECH ASSY REQ</t>
  </si>
  <si>
    <t>2/28 - TOP 11:30</t>
  </si>
  <si>
    <t>3/3 - BOT 12:00</t>
  </si>
  <si>
    <t>3/4 - AOI 12:00</t>
  </si>
  <si>
    <t>ECO, PREV RUN &amp; BOM COMPARED REVIEWED</t>
  </si>
  <si>
    <t>DOC REL 2/14</t>
  </si>
  <si>
    <r>
      <rPr>
        <b/>
        <strike/>
        <sz val="11"/>
        <color rgb="FF000000"/>
        <rFont val="Calibri"/>
        <family val="2"/>
      </rPr>
      <t xml:space="preserve">SHORT, ETA 2/17 </t>
    </r>
    <r>
      <rPr>
        <b/>
        <sz val="11"/>
        <color rgb="FF000000"/>
        <rFont val="Calibri"/>
        <family val="2"/>
      </rPr>
      <t>2/14 - RECVD</t>
    </r>
  </si>
  <si>
    <r>
      <t xml:space="preserve">2/10 - SHORT J1 (BAL 17pcs NOT BTD) , </t>
    </r>
    <r>
      <rPr>
        <b/>
        <strike/>
        <sz val="11"/>
        <color rgb="FF000000"/>
        <rFont val="Calibri"/>
        <family val="2"/>
      </rPr>
      <t xml:space="preserve">Q3 WAITING TO BE CONFIRMED. </t>
    </r>
    <r>
      <rPr>
        <b/>
        <sz val="11"/>
        <color rgb="FF000000"/>
        <rFont val="Calibri"/>
        <family val="2"/>
      </rPr>
      <t>2/14 - KIT  CLEAR. (*2/18-DAY1)</t>
    </r>
  </si>
  <si>
    <t>2/11 - smt BUILD QTY 200 (WILL BE SHORT "J1" ON 17 BOARDS)
2/19 - line 1 reflow zone 8 unable to melt Lead-Free temp; qty comp 156</t>
  </si>
  <si>
    <t>130131-2
bal
NEW</t>
  </si>
  <si>
    <r>
      <rPr>
        <b/>
        <sz val="14"/>
        <color rgb="FF000000"/>
        <rFont val="Calibri"/>
        <family val="2"/>
      </rPr>
      <t xml:space="preserve">3/6
</t>
    </r>
    <r>
      <rPr>
        <b/>
        <strike/>
        <sz val="14"/>
        <color rgb="FF000000"/>
        <rFont val="Calibri"/>
        <family val="2"/>
      </rPr>
      <t xml:space="preserve">2/24
</t>
    </r>
    <r>
      <rPr>
        <b/>
        <sz val="14"/>
        <color rgb="FF000000"/>
        <rFont val="Calibri"/>
        <family val="2"/>
      </rPr>
      <t>5D</t>
    </r>
  </si>
  <si>
    <r>
      <rPr>
        <b/>
        <sz val="11"/>
        <color rgb="FF000000"/>
        <rFont val="Calibri"/>
        <family val="2"/>
      </rPr>
      <t xml:space="preserve">LEAD FREE WASH PROCESS
SMT BUILD ALL 200 &amp; SHIP COMPLETE (183 BOARDS); HOLD BAL UNTIL MORE "J1" ARRIVES
</t>
    </r>
    <r>
      <rPr>
        <b/>
        <sz val="11"/>
        <color rgb="FF782170"/>
        <rFont val="Calibri"/>
        <family val="2"/>
      </rPr>
      <t>ROWC B130132
FOLLOW ECO (NOT DRAWING) FOR LABEL INSTRUCTIONS PER B130132 (TAD)</t>
    </r>
  </si>
  <si>
    <t>2/18 - BOT 12:00</t>
  </si>
  <si>
    <t>2/19 - TOP 9:30</t>
  </si>
  <si>
    <t>2/20 - AOI 7:00</t>
  </si>
  <si>
    <t>ECO &amp; DRAWING REVIEWED</t>
  </si>
  <si>
    <t>DOC REL 2/7</t>
  </si>
  <si>
    <r>
      <rPr>
        <b/>
        <strike/>
        <sz val="11"/>
        <color rgb="FF000000"/>
        <rFont val="Calibri"/>
        <family val="2"/>
      </rPr>
      <t xml:space="preserve">2/14 - ALMOST SMT CLEAR
</t>
    </r>
    <r>
      <rPr>
        <b/>
        <sz val="11"/>
        <color rgb="FF000000"/>
        <rFont val="Calibri"/>
        <family val="2"/>
      </rPr>
      <t xml:space="preserve">2/19 - SMT CLEAR; ONLY SHORT "J6" T/H
</t>
    </r>
    <r>
      <rPr>
        <b/>
        <sz val="11"/>
        <color rgb="FFFF0000"/>
        <rFont val="Calibri"/>
        <family val="2"/>
      </rPr>
      <t>2/26 - TOP SIDE 1ST DUE TO STENCIL DESIGN</t>
    </r>
  </si>
  <si>
    <t>130474-1
par
ROWC 128842</t>
  </si>
  <si>
    <t>3/5 
10D</t>
  </si>
  <si>
    <t>2/26 - TOP 10:30</t>
  </si>
  <si>
    <t>2/26 - aoi 2:30</t>
  </si>
  <si>
    <r>
      <t xml:space="preserve">SHORT, NO ETA
</t>
    </r>
    <r>
      <rPr>
        <b/>
        <sz val="11"/>
        <color rgb="FF000000"/>
        <rFont val="Calibri"/>
        <family val="2"/>
      </rPr>
      <t>2/13 - PCB RECVD</t>
    </r>
  </si>
  <si>
    <r>
      <rPr>
        <b/>
        <strike/>
        <sz val="11"/>
        <color rgb="FF000000"/>
        <rFont val="Calibri"/>
        <family val="2"/>
      </rPr>
      <t xml:space="preserve">2/4 - SHORT MP1 (SMT) WITH NO ETA
</t>
    </r>
    <r>
      <rPr>
        <b/>
        <sz val="11"/>
        <color rgb="FF000000"/>
        <rFont val="Calibri"/>
        <family val="2"/>
      </rPr>
      <t>2/19 -  KIT CLEAR</t>
    </r>
  </si>
  <si>
    <t>130477
NEW</t>
  </si>
  <si>
    <t>03/5
10D</t>
  </si>
  <si>
    <t>LEAD PROCESS
TRUE NO CLEAN BUILD
DEPANEL</t>
  </si>
  <si>
    <t>2/28 - BOT 8:00</t>
  </si>
  <si>
    <t>2/28 - TOP 10:00</t>
  </si>
  <si>
    <t>2/28 - AOI 12:00</t>
  </si>
  <si>
    <t>DOC REL 2/3</t>
  </si>
  <si>
    <t>02/4</t>
  </si>
  <si>
    <t>2/20 - RECVD</t>
  </si>
  <si>
    <r>
      <t xml:space="preserve">2/20 - SMT CLEAR
</t>
    </r>
    <r>
      <rPr>
        <b/>
        <strike/>
        <sz val="11"/>
        <color rgb="FF000000"/>
        <rFont val="Calibri"/>
        <family val="2"/>
      </rPr>
      <t xml:space="preserve">SHORT NUT_1, SCR_1, and WSR3 (THT) WITH NO ETA </t>
    </r>
    <r>
      <rPr>
        <b/>
        <sz val="11"/>
        <color rgb="FF000000"/>
        <rFont val="Calibri"/>
        <family val="2"/>
      </rPr>
      <t>2/26 - KIT CLEAR</t>
    </r>
  </si>
  <si>
    <t>2/20 - SMT CLEAR</t>
  </si>
  <si>
    <t>130676
ROWC 124979</t>
  </si>
  <si>
    <t xml:space="preserve">
03/5
5D</t>
  </si>
  <si>
    <t>HEAT SINK ASSY REQ PER ECO #3
DEPANEL</t>
  </si>
  <si>
    <t>2/27 - TOP 6:00</t>
  </si>
  <si>
    <t>2/27 - AOI 7:30</t>
  </si>
  <si>
    <t xml:space="preserve">Piezo Systems - Div of Mide Technology
</t>
  </si>
  <si>
    <t>ECO &amp; BOM REVIEWED</t>
  </si>
  <si>
    <t>SHORT, ETA 3/5</t>
  </si>
  <si>
    <r>
      <rPr>
        <b/>
        <strike/>
        <sz val="11"/>
        <color rgb="FF000000"/>
        <rFont val="Calibri"/>
        <family val="2"/>
      </rPr>
      <t>2/20 -  SHORT 20 SMT ITEMS, 6 THT ITEMS WITH ETA 2/20 THE END OF THE DA</t>
    </r>
    <r>
      <rPr>
        <b/>
        <sz val="11"/>
        <color rgb="FF000000"/>
        <rFont val="Calibri"/>
        <family val="2"/>
      </rPr>
      <t>Y
2/25 - KIT CLEAR</t>
    </r>
  </si>
  <si>
    <t>130911
NEW</t>
  </si>
  <si>
    <t>3/4
5D</t>
  </si>
  <si>
    <t>"R152, R2180 R208" SEE ECO #3 FOR SOLDERING</t>
  </si>
  <si>
    <t>2/27 - BOT 7:30</t>
  </si>
  <si>
    <t>2/27 - TOP 9:30</t>
  </si>
  <si>
    <t>2/27 - aoi 11:30</t>
  </si>
  <si>
    <t xml:space="preserve">3D Systems Inc.
</t>
  </si>
  <si>
    <t>2/12 - RECVD</t>
  </si>
  <si>
    <r>
      <rPr>
        <b/>
        <strike/>
        <sz val="11"/>
        <color rgb="FF000000"/>
        <rFont val="Calibri"/>
        <family val="2"/>
      </rPr>
      <t>2/12 - SHORT U6 (SMT) P5 and P3 (THT) | D7, D3, D9, D30, F6, U16 and L1  WAITING TO BE CONFIRM</t>
    </r>
    <r>
      <rPr>
        <b/>
        <sz val="11"/>
        <color rgb="FF000000"/>
        <rFont val="Calibri"/>
        <family val="2"/>
      </rPr>
      <t>.
2/19 -  KIT CLEAR</t>
    </r>
  </si>
  <si>
    <t>2/12 - DON'T SKIP "U6"</t>
  </si>
  <si>
    <t>130933
NEW</t>
  </si>
  <si>
    <t>3/5
10D</t>
  </si>
  <si>
    <r>
      <rPr>
        <b/>
        <sz val="11"/>
        <color rgb="FF000000"/>
        <rFont val="Calibri"/>
        <family val="2"/>
      </rPr>
      <t xml:space="preserve">LEAD PROCESS
SOLDER BUILD UP NOT TO EXCEED 0.060" IN HEIGHT
TRIM LEADS 0.140" MAX
INSTALL MOUNTING SUPPORTS PER ECO
</t>
    </r>
    <r>
      <rPr>
        <b/>
        <sz val="11"/>
        <color rgb="FF782170"/>
        <rFont val="Calibri"/>
        <family val="2"/>
      </rPr>
      <t>cleanliness test waived</t>
    </r>
  </si>
  <si>
    <t>2/25 - TOP 10:00</t>
  </si>
  <si>
    <t>2/25 - AOI 1:30</t>
  </si>
  <si>
    <r>
      <t xml:space="preserve">SHORT, </t>
    </r>
    <r>
      <rPr>
        <b/>
        <strike/>
        <sz val="11"/>
        <color rgb="FF000000"/>
        <rFont val="Calibri"/>
        <family val="2"/>
      </rPr>
      <t>NO</t>
    </r>
    <r>
      <rPr>
        <b/>
        <sz val="11"/>
        <color rgb="FF000000"/>
        <rFont val="Calibri"/>
        <family val="2"/>
      </rPr>
      <t xml:space="preserve"> ETA 2/25</t>
    </r>
  </si>
  <si>
    <r>
      <rPr>
        <b/>
        <strike/>
        <sz val="11"/>
        <color rgb="FF000000"/>
        <rFont val="Calibri"/>
        <family val="2"/>
      </rPr>
      <t>2/21 - SHORT 23 ITEMS (SMT) &amp; J1801, J0301, P1 (THT) WITH ETA NEXT WEEK</t>
    </r>
    <r>
      <rPr>
        <b/>
        <sz val="11"/>
        <color rgb="FF000000"/>
        <rFont val="Calibri"/>
        <family val="2"/>
      </rPr>
      <t>. 2/24 - USE U1 FROM OLD BOARD WE HAVE IN HOUSE</t>
    </r>
  </si>
  <si>
    <t>131236
NEW</t>
  </si>
  <si>
    <r>
      <rPr>
        <b/>
        <sz val="14"/>
        <color rgb="FF000000"/>
        <rFont val="Calibri"/>
        <family val="2"/>
      </rPr>
      <t xml:space="preserve">3/3
</t>
    </r>
    <r>
      <rPr>
        <b/>
        <sz val="14"/>
        <color rgb="FFFF0000"/>
        <rFont val="Calibri"/>
        <family val="2"/>
      </rPr>
      <t>3D</t>
    </r>
  </si>
  <si>
    <r>
      <rPr>
        <b/>
        <sz val="11"/>
        <color rgb="FF000000"/>
        <rFont val="Calibri"/>
        <family val="2"/>
      </rPr>
      <t xml:space="preserve">LEAD WASH PROCESS
</t>
    </r>
    <r>
      <rPr>
        <b/>
        <sz val="11"/>
        <color rgb="FFFF0000"/>
        <rFont val="Calibri"/>
        <family val="2"/>
      </rPr>
      <t xml:space="preserve">HARVEST "U1" FROM B130238
</t>
    </r>
    <r>
      <rPr>
        <b/>
        <sz val="11"/>
        <color rgb="FF000000"/>
        <rFont val="Calibri"/>
        <family val="2"/>
      </rPr>
      <t>"P1, P2" REQ RIVITS PER ECO (NOTE: LAST TIME WAIVED DUE TO NO TOOL) IF WE DO NOT INSTALL RIVETS NEED TO GET SHIPPED BACK WITH BOARDS</t>
    </r>
  </si>
  <si>
    <t>2/27 - BOT 11:30</t>
  </si>
  <si>
    <t>2/27 - TOP 1:00</t>
  </si>
  <si>
    <t>2/28 - aoi 8:00</t>
  </si>
  <si>
    <t>ECO REVIEWED
---
ROWC B130238 GERBER CHANGE</t>
  </si>
  <si>
    <t>2/27-RECVD</t>
  </si>
  <si>
    <t>2/27 - KIT CLEAR</t>
  </si>
  <si>
    <t>130957
NEW</t>
  </si>
  <si>
    <r>
      <rPr>
        <b/>
        <sz val="14"/>
        <color rgb="FF000000"/>
        <rFont val="Calibri"/>
        <family val="2"/>
      </rPr>
      <t xml:space="preserve">3/3
</t>
    </r>
    <r>
      <rPr>
        <b/>
        <strike/>
        <sz val="14"/>
        <color rgb="FF000000"/>
        <rFont val="Calibri"/>
        <family val="2"/>
      </rPr>
      <t xml:space="preserve">3/6
</t>
    </r>
    <r>
      <rPr>
        <b/>
        <sz val="14"/>
        <color rgb="FF000000"/>
        <rFont val="Calibri"/>
        <family val="2"/>
      </rPr>
      <t>5D</t>
    </r>
  </si>
  <si>
    <r>
      <rPr>
        <b/>
        <sz val="11"/>
        <color rgb="FFFF0000"/>
        <rFont val="Calibri"/>
        <family val="2"/>
      </rPr>
      <t xml:space="preserve">*** EXPEDITE ***
</t>
    </r>
    <r>
      <rPr>
        <b/>
        <sz val="11"/>
        <color rgb="FF000000"/>
        <rFont val="Calibri"/>
        <family val="2"/>
      </rPr>
      <t xml:space="preserve">LEAD FREE WASH
DEPANEL
</t>
    </r>
    <r>
      <rPr>
        <b/>
        <sz val="11"/>
        <color rgb="FFFF0000"/>
        <rFont val="Calibri"/>
        <family val="2"/>
      </rPr>
      <t>*** INTERNATIONAL SHIPMENT</t>
    </r>
  </si>
  <si>
    <t>3/3 - BOT 6:00</t>
  </si>
  <si>
    <t>3/3 - TOP</t>
  </si>
  <si>
    <t>3/3 - AOI 8:00</t>
  </si>
  <si>
    <t>FEDEX INTR</t>
  </si>
  <si>
    <t xml:space="preserve">Anduril Australia Pty Ltd
</t>
  </si>
  <si>
    <r>
      <t xml:space="preserve">SHORT, </t>
    </r>
    <r>
      <rPr>
        <b/>
        <strike/>
        <sz val="11"/>
        <color rgb="FF000000"/>
        <rFont val="Calibri"/>
        <family val="2"/>
      </rPr>
      <t>NO ETA 1/23 -REMADE</t>
    </r>
    <r>
      <rPr>
        <b/>
        <sz val="11"/>
        <color rgb="FF000000"/>
        <rFont val="Calibri"/>
        <family val="2"/>
      </rPr>
      <t xml:space="preserve">  </t>
    </r>
    <r>
      <rPr>
        <b/>
        <strike/>
        <sz val="11"/>
        <color rgb="FF000000"/>
        <rFont val="Calibri"/>
        <family val="2"/>
      </rPr>
      <t>WITH NO</t>
    </r>
    <r>
      <rPr>
        <b/>
        <sz val="11"/>
        <color rgb="FF000000"/>
        <rFont val="Calibri"/>
        <family val="2"/>
      </rPr>
      <t xml:space="preserve"> </t>
    </r>
    <r>
      <rPr>
        <b/>
        <strike/>
        <sz val="11"/>
        <color rgb="FF000000"/>
        <rFont val="Calibri"/>
        <family val="2"/>
      </rPr>
      <t xml:space="preserve">NEW ETA 2/4 2/6 REMADE  WITH NO ETA
</t>
    </r>
    <r>
      <rPr>
        <b/>
        <sz val="11"/>
        <color rgb="FF000000"/>
        <rFont val="Calibri"/>
        <family val="2"/>
      </rPr>
      <t xml:space="preserve">2/18 - PCB </t>
    </r>
    <r>
      <rPr>
        <b/>
        <strike/>
        <sz val="11"/>
        <color rgb="FF000000"/>
        <rFont val="Calibri"/>
        <family val="2"/>
      </rPr>
      <t xml:space="preserve">DUE </t>
    </r>
    <r>
      <rPr>
        <b/>
        <sz val="11"/>
        <color rgb="FF000000"/>
        <rFont val="Calibri"/>
        <family val="2"/>
      </rPr>
      <t xml:space="preserve">RECVD 9pcs, </t>
    </r>
    <r>
      <rPr>
        <b/>
        <strike/>
        <sz val="11"/>
        <color rgb="FF000000"/>
        <rFont val="Calibri"/>
        <family val="2"/>
      </rPr>
      <t>WAITING FOR ETA OF</t>
    </r>
    <r>
      <rPr>
        <b/>
        <sz val="11"/>
        <color rgb="FF000000"/>
        <rFont val="Calibri"/>
        <family val="2"/>
      </rPr>
      <t xml:space="preserve"> 1pcs RECVD</t>
    </r>
  </si>
  <si>
    <r>
      <t>1/9 - SHORT U23, U14, U70 &amp; U12 (SMT) WITH NO ETA.</t>
    </r>
    <r>
      <rPr>
        <b/>
        <sz val="11"/>
        <color rgb="FF000000"/>
        <rFont val="Calibri"/>
        <family val="2"/>
      </rPr>
      <t xml:space="preserve"> 1/13 MATERIAL CLEAR.
*2/4 - REMADE PCB
*2/6 - REMADE PCB AGAIN | 2/25 - KIT CLEAR</t>
    </r>
  </si>
  <si>
    <t>2/20 - HAVE BEEN CLEAR FOR QTY 9 - GO AHEAD AND RUN 9 AND HOLD SET UP</t>
  </si>
  <si>
    <t>129728-2
bal
NEW</t>
  </si>
  <si>
    <t>3/3
5D</t>
  </si>
  <si>
    <r>
      <rPr>
        <b/>
        <sz val="14"/>
        <color rgb="FFFF0000"/>
        <rFont val="Calibri"/>
        <family val="2"/>
      </rPr>
      <t xml:space="preserve">*** CANNOT BE LATE ***
</t>
    </r>
    <r>
      <rPr>
        <b/>
        <sz val="11"/>
        <color rgb="FF000000"/>
        <rFont val="Calibri"/>
        <family val="2"/>
      </rPr>
      <t>SHIP PARTIAL (OR ALL IF CLEARS BY EOD MONDAY)
LEAD WASH PROCESS</t>
    </r>
  </si>
  <si>
    <t>2/26 - BOT</t>
  </si>
  <si>
    <t>2/26 - TOP 8:00</t>
  </si>
  <si>
    <t>2/26 - AOI 9:30</t>
  </si>
  <si>
    <t>01/9</t>
  </si>
  <si>
    <t>2/12 - RECVD
2/10 - SHORT, NO ETA 2/18</t>
  </si>
  <si>
    <r>
      <rPr>
        <b/>
        <strike/>
        <sz val="11"/>
        <color rgb="FF000000"/>
        <rFont val="Calibri"/>
        <family val="2"/>
      </rPr>
      <t xml:space="preserve">2/10 - SHORT H1 (SMT) , U10 &amp; XF1 (THT) WITH NO ETA | U29 WAITING TO BE CONFIRM. </t>
    </r>
    <r>
      <rPr>
        <b/>
        <sz val="11"/>
        <color rgb="FF000000"/>
        <rFont val="Calibri"/>
        <family val="2"/>
      </rPr>
      <t>2/11 - MATERIAL CLEAR
2/13 - KIT CLEAR</t>
    </r>
  </si>
  <si>
    <t>2/12 - KIT CLEAR BUT *NOT REPORTED
2/13 - VIA HOLES ON PADS</t>
  </si>
  <si>
    <t>130962
NEW</t>
  </si>
  <si>
    <r>
      <rPr>
        <b/>
        <sz val="11"/>
        <color rgb="FF000000"/>
        <rFont val="Calibri"/>
        <family val="2"/>
      </rPr>
      <t xml:space="preserve">"XF1 &amp; F1" INSTALL TOGETHER
"U10" SEE ECO FOR INSTALLTION
DEPANEL
</t>
    </r>
    <r>
      <rPr>
        <b/>
        <sz val="11"/>
        <color rgb="FF782170"/>
        <rFont val="Calibri"/>
        <family val="2"/>
      </rPr>
      <t>TAPE BOTTOM SIDE OF VIA HOLES BEFORE SMT APPLIES SOLDER</t>
    </r>
  </si>
  <si>
    <t>2/25 - TOP 8:00</t>
  </si>
  <si>
    <t>2/25 - AOI 1:00</t>
  </si>
  <si>
    <t>ECO &amp; DRAWINGS REVIEWED</t>
  </si>
  <si>
    <r>
      <rPr>
        <b/>
        <strike/>
        <sz val="11"/>
        <color rgb="FF000000"/>
        <rFont val="Calibri"/>
        <family val="2"/>
      </rPr>
      <t xml:space="preserve">SHORT, NO ETA </t>
    </r>
    <r>
      <rPr>
        <b/>
        <sz val="11"/>
        <color rgb="FF000000"/>
        <rFont val="Calibri"/>
        <family val="2"/>
      </rPr>
      <t>*CONSIGNED</t>
    </r>
  </si>
  <si>
    <r>
      <rPr>
        <b/>
        <strike/>
        <sz val="11"/>
        <color rgb="FF000000"/>
        <rFont val="Calibri"/>
        <family val="2"/>
      </rPr>
      <t xml:space="preserve">2/7 - SHORT AE2 (SMT/CONSIGNED) WITH NO ETA | J1, S1, and T1_915M  (SMT) S/B HERE NEXT WEEK
</t>
    </r>
    <r>
      <rPr>
        <b/>
        <sz val="11"/>
        <color rgb="FF000000"/>
        <rFont val="Calibri"/>
        <family val="2"/>
      </rPr>
      <t>2/13 - kit clear</t>
    </r>
  </si>
  <si>
    <t>2/20 - REQUIRE FIXTURE
2/21 - SMT bot qty 27 complete</t>
  </si>
  <si>
    <t>1/TUAN</t>
  </si>
  <si>
    <t>130480
NEW</t>
  </si>
  <si>
    <t>2/20 - BOT 12:30
2/20 - PAUSE 1:00
2/21 - BOT 10:00</t>
  </si>
  <si>
    <t>2/24 - TOP</t>
  </si>
  <si>
    <t>2/24 - AOI 1:00</t>
  </si>
  <si>
    <t>129728-1
par
NEW</t>
  </si>
  <si>
    <t>2/28
5D</t>
  </si>
  <si>
    <t>2/21 - BOT COMP</t>
  </si>
  <si>
    <t>2/21 - TOP 1:00
2/21 - PAUSE 2:00
2/24 - TOP 11:30</t>
  </si>
  <si>
    <t>2/25 - AOI 12:00</t>
  </si>
  <si>
    <t>2/13 - MATL CLEAR
2/18 -  KIT CLEAR</t>
  </si>
  <si>
    <t>130402
NEW</t>
  </si>
  <si>
    <r>
      <rPr>
        <b/>
        <sz val="14"/>
        <color rgb="FF000000"/>
        <rFont val="Calibri"/>
        <family val="2"/>
      </rPr>
      <t xml:space="preserve">2/28
</t>
    </r>
    <r>
      <rPr>
        <b/>
        <strike/>
        <sz val="14"/>
        <color rgb="FF000000"/>
        <rFont val="Calibri"/>
        <family val="2"/>
      </rPr>
      <t xml:space="preserve">03/4
</t>
    </r>
    <r>
      <rPr>
        <b/>
        <sz val="14"/>
        <color rgb="FF000000"/>
        <rFont val="Calibri"/>
        <family val="2"/>
      </rPr>
      <t>10D</t>
    </r>
  </si>
  <si>
    <r>
      <rPr>
        <b/>
        <u/>
        <sz val="14"/>
        <color rgb="FFFF0000"/>
        <rFont val="Calibri"/>
        <family val="2"/>
      </rPr>
      <t xml:space="preserve">***PLEASE HAVE READY BY 2/28 IF POSSIBLE ***
</t>
    </r>
    <r>
      <rPr>
        <b/>
        <sz val="11"/>
        <color rgb="FF000000"/>
        <rFont val="Calibri"/>
        <family val="2"/>
      </rPr>
      <t xml:space="preserve">MOUNT FLUSH TO BOARD
</t>
    </r>
    <r>
      <rPr>
        <b/>
        <sz val="14"/>
        <color rgb="FFFF0000"/>
        <rFont val="Calibri"/>
        <family val="2"/>
      </rPr>
      <t xml:space="preserve">*** HIGH VOLTAGE BOARD - CUT LEADS &amp; ROUND OFF WITH SOLDER PER ECO #3
</t>
    </r>
    <r>
      <rPr>
        <b/>
        <sz val="11"/>
        <color rgb="FF000000"/>
        <rFont val="Calibri"/>
        <family val="2"/>
      </rPr>
      <t>DO NOT POST BAKE BOARDS!!!
DEPANEL</t>
    </r>
  </si>
  <si>
    <t>2/19 - BOT 9:30</t>
  </si>
  <si>
    <t>2/19 - AOI 2:00</t>
  </si>
  <si>
    <t>ThorLabs</t>
  </si>
  <si>
    <t>2/13</t>
  </si>
  <si>
    <r>
      <rPr>
        <b/>
        <strike/>
        <sz val="11"/>
        <color rgb="FF000000"/>
        <rFont val="Calibri"/>
        <family val="2"/>
      </rPr>
      <t>SHORT</t>
    </r>
    <r>
      <rPr>
        <b/>
        <sz val="11"/>
        <color rgb="FF000000"/>
        <rFont val="Calibri"/>
        <family val="2"/>
      </rPr>
      <t xml:space="preserve">, </t>
    </r>
    <r>
      <rPr>
        <b/>
        <strike/>
        <sz val="11"/>
        <color rgb="FF000000"/>
        <rFont val="Calibri"/>
        <family val="2"/>
      </rPr>
      <t xml:space="preserve">NO ETA </t>
    </r>
    <r>
      <rPr>
        <b/>
        <sz val="11"/>
        <color rgb="FF000000"/>
        <rFont val="Calibri"/>
        <family val="2"/>
      </rPr>
      <t>1/24 - RECVD</t>
    </r>
  </si>
  <si>
    <r>
      <rPr>
        <b/>
        <strike/>
        <sz val="11"/>
        <color rgb="FF000000"/>
        <rFont val="Calibri"/>
        <family val="2"/>
      </rPr>
      <t xml:space="preserve">12/26 - SHORT J1 WITH NO ETA 2/17 2/21 (NO TRACKING) ETA </t>
    </r>
    <r>
      <rPr>
        <b/>
        <sz val="11"/>
        <color rgb="FF000000"/>
        <rFont val="Calibri"/>
        <family val="2"/>
      </rPr>
      <t>2/20 - KIT CLEAR</t>
    </r>
  </si>
  <si>
    <t>125478
NEW</t>
  </si>
  <si>
    <t>2/27
5D</t>
  </si>
  <si>
    <t>2/25 - BOT 11:00</t>
  </si>
  <si>
    <t>2/25 - TOP 2:00</t>
  </si>
  <si>
    <t>2/26 - AOI</t>
  </si>
  <si>
    <t>2/12 RECVD</t>
  </si>
  <si>
    <r>
      <rPr>
        <b/>
        <strike/>
        <sz val="11"/>
        <color rgb="FFFF0000"/>
        <rFont val="Calibri"/>
        <family val="2"/>
        <scheme val="minor"/>
      </rPr>
      <t>2/12 - SHORT C16 &amp; J1 (SMT) ETA THIS WEEK /</t>
    </r>
    <r>
      <rPr>
        <b/>
        <strike/>
        <sz val="11"/>
        <color rgb="FF156082"/>
        <rFont val="Calibri"/>
        <family val="2"/>
        <scheme val="minor"/>
      </rPr>
      <t xml:space="preserve"> </t>
    </r>
    <r>
      <rPr>
        <b/>
        <strike/>
        <sz val="11"/>
        <color rgb="FF000000"/>
        <rFont val="Calibri"/>
        <family val="2"/>
        <scheme val="minor"/>
      </rPr>
      <t xml:space="preserve">C16 WAITING TO BE CONFIRM IF OK TO USE ITEM #1 SINCE SAME DESC. | J2 WAITING TO BE CONFIRM. </t>
    </r>
    <r>
      <rPr>
        <b/>
        <sz val="11"/>
        <color rgb="FF000000"/>
        <rFont val="Calibri"/>
        <family val="2"/>
        <scheme val="minor"/>
      </rPr>
      <t xml:space="preserve"> 2/20 - KIT CLEAR</t>
    </r>
  </si>
  <si>
    <t>2/24 - line short #11 (u12) qty 1 (DNI per customer)</t>
  </si>
  <si>
    <t>129751
NEW</t>
  </si>
  <si>
    <t>LEAD FREE WASH PROCESS
THT
BTD U12</t>
  </si>
  <si>
    <t>2/21 - BOT 2:00</t>
  </si>
  <si>
    <t>2/24 - TOP 8:00</t>
  </si>
  <si>
    <t>2/24 - AOI 11:30</t>
  </si>
  <si>
    <t xml:space="preserve">MIT Lincoln Laboratory
</t>
  </si>
  <si>
    <t>SHORT, ETA 2/20 2/19 (FROM CHINA)</t>
  </si>
  <si>
    <r>
      <rPr>
        <b/>
        <strike/>
        <sz val="11"/>
        <color rgb="FF000000"/>
        <rFont val="Calibri"/>
        <family val="2"/>
      </rPr>
      <t xml:space="preserve">1/27 - C96, C14, C99, C91, D1, and U5 (SMT) WAITING FOR CONFIRM.
</t>
    </r>
    <r>
      <rPr>
        <b/>
        <sz val="11"/>
        <color rgb="FF000000"/>
        <rFont val="Calibri"/>
        <family val="2"/>
      </rPr>
      <t>2/19 - KIT CLEAR</t>
    </r>
  </si>
  <si>
    <t>2/25 - SMT INSTALL B1_A, ETC. 2ND ARTICLE</t>
  </si>
  <si>
    <t>130385-1st
NEW</t>
  </si>
  <si>
    <t>2/26
5D</t>
  </si>
  <si>
    <t xml:space="preserve">TRUE NO CLEAN BUILD
</t>
  </si>
  <si>
    <t>2/21 - BOT 10:30</t>
  </si>
  <si>
    <t>2/24 - TOP 9:00</t>
  </si>
  <si>
    <t>2/25 - AOI 9:00</t>
  </si>
  <si>
    <t>DOC REL 1/24</t>
  </si>
  <si>
    <t>1/27</t>
  </si>
  <si>
    <t>2/19 - RECVD</t>
  </si>
  <si>
    <t>2-19 - KIT CLEAR</t>
  </si>
  <si>
    <t>131040-1st
NEW</t>
  </si>
  <si>
    <t>"SW1" AFTER WASH
DEPANEL</t>
  </si>
  <si>
    <t>2/20 - BOT 1:00</t>
  </si>
  <si>
    <t>2/21 - TOP</t>
  </si>
  <si>
    <t>2/21 - AOI 10:00</t>
  </si>
  <si>
    <t>NO ETA 2/11</t>
  </si>
  <si>
    <r>
      <t xml:space="preserve">12/31 - SHORT 4 SMT (C47,C50,IC12,R4..),1 THT (CON8) WITH NO ETA </t>
    </r>
    <r>
      <rPr>
        <b/>
        <sz val="11"/>
        <color rgb="FF000000"/>
        <rFont val="Calibri"/>
        <family val="2"/>
      </rPr>
      <t>2/11 - KIT CLEAR</t>
    </r>
  </si>
  <si>
    <t>125768
NEW</t>
  </si>
  <si>
    <r>
      <rPr>
        <b/>
        <sz val="11"/>
        <color rgb="FF000000"/>
        <rFont val="Calibri"/>
        <family val="2"/>
      </rPr>
      <t xml:space="preserve">LEAD PROCESS
"L1" T/H PER ECO
</t>
    </r>
    <r>
      <rPr>
        <b/>
        <sz val="11"/>
        <color rgb="FF782170"/>
        <rFont val="Calibri"/>
        <family val="2"/>
      </rPr>
      <t>SAND REQ (PER FAB DRAWING)</t>
    </r>
  </si>
  <si>
    <t>2/18  - BOT 8:00</t>
  </si>
  <si>
    <t>2/18 - TOP 10:30</t>
  </si>
  <si>
    <t>2/18 - AOI 2:00</t>
  </si>
  <si>
    <t>ECO &amp; DWG REVIEWED
-- 
FLEX PCBs</t>
  </si>
  <si>
    <t>DOC REL 12/20</t>
  </si>
  <si>
    <t>12/31</t>
  </si>
  <si>
    <t>1/29 - PCB RECVD</t>
  </si>
  <si>
    <r>
      <rPr>
        <b/>
        <strike/>
        <sz val="11"/>
        <color rgb="FF000000"/>
        <rFont val="Calibri"/>
        <family val="2"/>
      </rPr>
      <t xml:space="preserve">2/7 - ONLY SHORT T/H "PD1" ETA 2-3 WEEKS
1/29 - MATL RECEIVED, WTG FOR AUDIT
2/12 -#110(BT2400)DUE
</t>
    </r>
    <r>
      <rPr>
        <b/>
        <sz val="11"/>
        <color rgb="FF000000"/>
        <rFont val="Calibri"/>
        <family val="2"/>
      </rPr>
      <t>2/11 - KIT CLEAR</t>
    </r>
  </si>
  <si>
    <t>2/4 - OK TO SETUP, BUT DON'T RUN AHEAD -- PARTS SHARE
2/7 - SMT CLEAR
2/20 - SMT bot SIDE FIXTURE NEEDS MOD</t>
  </si>
  <si>
    <t>130222
NEW</t>
  </si>
  <si>
    <t>LEAD FREE  WASH
"SW7900" AFTER WASH
"C7000, C7100, SW1800, SW1801" FOOTPRINTS ARE CLOSE TOGETHER - PLACE AS IS
XRAY &amp; SAVE IMAGES</t>
  </si>
  <si>
    <t>2/20 - top 6:00</t>
  </si>
  <si>
    <t>2/20 - bot 11:30</t>
  </si>
  <si>
    <t>2/21 - AOI 12:00</t>
  </si>
  <si>
    <t>DOC REL 1/23</t>
  </si>
  <si>
    <t>SHORT, ETA 2/12</t>
  </si>
  <si>
    <t>1/31 -  MATERIAL CLEAR
2/12 - KIT CLEAR</t>
  </si>
  <si>
    <t>2/7 - WILL BE SMT CLEAR ONCE PCBS ARRIVE ON 2/12</t>
  </si>
  <si>
    <t>130829
RONC 129719</t>
  </si>
  <si>
    <t>LEAD PROCESS
"U801" MOISTURE SENSITIVE - READ ECO (COVER HOLE W/ TAPE) -- no clean process DO NOT WASH
DEPANEL</t>
  </si>
  <si>
    <t>2/20 - BOT 7:00</t>
  </si>
  <si>
    <t>2/20 - TOP 8:30</t>
  </si>
  <si>
    <t>2/20 - AOI 1:00</t>
  </si>
  <si>
    <t>01/31</t>
  </si>
  <si>
    <t>2/13 - recvd</t>
  </si>
  <si>
    <r>
      <rPr>
        <b/>
        <sz val="11"/>
        <color rgb="FF000000"/>
        <rFont val="Calibri"/>
        <family val="2"/>
      </rPr>
      <t xml:space="preserve">2/13 - treat as kit clear </t>
    </r>
    <r>
      <rPr>
        <b/>
        <strike/>
        <sz val="11"/>
        <color rgb="FF000000"/>
        <rFont val="Calibri"/>
        <family val="2"/>
      </rPr>
      <t>(short 1pc #14 p2, but will arrive soon)</t>
    </r>
  </si>
  <si>
    <t>RTR lineman setup</t>
  </si>
  <si>
    <t>131244
ROWC 125863</t>
  </si>
  <si>
    <t>2/14 - BOT 8:00</t>
  </si>
  <si>
    <t>2/14 - TOP 10:30</t>
  </si>
  <si>
    <t>2/14 - AOI 1:00</t>
  </si>
  <si>
    <t>DOC REL 2/12</t>
  </si>
  <si>
    <t>130131-1
par
NEW</t>
  </si>
  <si>
    <r>
      <rPr>
        <b/>
        <sz val="14"/>
        <color rgb="FF000000"/>
        <rFont val="Calibri"/>
        <family val="2"/>
      </rPr>
      <t xml:space="preserve">???
</t>
    </r>
    <r>
      <rPr>
        <b/>
        <strike/>
        <sz val="14"/>
        <color rgb="FF000000"/>
        <rFont val="Calibri"/>
        <family val="2"/>
      </rPr>
      <t xml:space="preserve">2/24
</t>
    </r>
    <r>
      <rPr>
        <b/>
        <sz val="14"/>
        <color rgb="FF000000"/>
        <rFont val="Calibri"/>
        <family val="2"/>
      </rPr>
      <t>5D</t>
    </r>
  </si>
  <si>
    <r>
      <rPr>
        <b/>
        <strike/>
        <sz val="11"/>
        <color rgb="FF000000"/>
        <rFont val="Calibri"/>
        <family val="2"/>
      </rPr>
      <t>2/18 - PCB DUE</t>
    </r>
    <r>
      <rPr>
        <b/>
        <sz val="11"/>
        <color rgb="FF000000"/>
        <rFont val="Calibri"/>
        <family val="2"/>
      </rPr>
      <t xml:space="preserve"> 2/14 - RECVD</t>
    </r>
  </si>
  <si>
    <t>2/13 - MATL CLEAR
2/14 - KIT CLEAR</t>
  </si>
  <si>
    <t>131098
NEW</t>
  </si>
  <si>
    <t>2/24
5D</t>
  </si>
  <si>
    <r>
      <rPr>
        <b/>
        <sz val="11"/>
        <color rgb="FF000000"/>
        <rFont val="Calibri"/>
        <family val="2"/>
      </rPr>
      <t xml:space="preserve">DEPANEL
</t>
    </r>
    <r>
      <rPr>
        <b/>
        <sz val="11"/>
        <color rgb="FFFF0000"/>
        <rFont val="Calibri"/>
        <family val="2"/>
      </rPr>
      <t xml:space="preserve">*** REMOVE ALL BURRS AND SHARP EDGES TO 0.015" MAX
</t>
    </r>
    <r>
      <rPr>
        <b/>
        <sz val="11"/>
        <color rgb="FF782170"/>
        <rFont val="Calibri"/>
        <family val="2"/>
      </rPr>
      <t>BOARDS FREE OF DUST/DEBRIS (DRAWING)</t>
    </r>
  </si>
  <si>
    <t>2/18 - AOI 12:00</t>
  </si>
  <si>
    <t>2/14 - pcb here</t>
  </si>
  <si>
    <t>2/14 - awt part</t>
  </si>
  <si>
    <t>Remove part and replace with S70FL01GSDPBHVC10. (1 per)
*** take pictures before shipping</t>
  </si>
  <si>
    <t xml:space="preserve">Philips Medizin Systeme Boeblingen GmbH
</t>
  </si>
  <si>
    <t>2/18 - RECVD</t>
  </si>
  <si>
    <t>2-18 - KIT CLEAR</t>
  </si>
  <si>
    <t>131320
NEW</t>
  </si>
  <si>
    <t>2/25
5D</t>
  </si>
  <si>
    <t>2/19 - BOT 6:00</t>
  </si>
  <si>
    <t>2/19 - TOP</t>
  </si>
  <si>
    <t>2/19 - AOI 9:30</t>
  </si>
  <si>
    <r>
      <rPr>
        <b/>
        <strike/>
        <sz val="11"/>
        <color rgb="FF000000"/>
        <rFont val="Calibri"/>
        <family val="2"/>
      </rPr>
      <t>SHORT, NO ETA</t>
    </r>
    <r>
      <rPr>
        <b/>
        <sz val="11"/>
        <color rgb="FF000000"/>
        <rFont val="Calibri"/>
        <family val="2"/>
      </rPr>
      <t xml:space="preserve"> </t>
    </r>
    <r>
      <rPr>
        <b/>
        <strike/>
        <sz val="11"/>
        <color rgb="FF000000"/>
        <rFont val="Calibri"/>
        <family val="2"/>
      </rPr>
      <t xml:space="preserve">2/10 2/12
</t>
    </r>
    <r>
      <rPr>
        <b/>
        <sz val="11"/>
        <color rgb="FF000000"/>
        <rFont val="Calibri"/>
        <family val="2"/>
      </rPr>
      <t>2/13</t>
    </r>
  </si>
  <si>
    <t>01/28 - SHORT L2 (SMT) and J2 (THT) WITH NO ETA.</t>
  </si>
  <si>
    <t>130769-1st
NEW</t>
  </si>
  <si>
    <r>
      <rPr>
        <b/>
        <sz val="11"/>
        <color rgb="FF000000"/>
        <rFont val="Calibri"/>
        <family val="2"/>
      </rPr>
      <t xml:space="preserve">LEAD PROCESS
"C6,C18" DP460 EPOXY REQ
XRAY &amp; SAVE IMAGES
INSTALL "LP1,Y17" TOGETHER
</t>
    </r>
    <r>
      <rPr>
        <b/>
        <sz val="14"/>
        <color rgb="FFFF0000"/>
        <rFont val="Calibri"/>
        <family val="2"/>
      </rPr>
      <t xml:space="preserve">"J2,J6,J11,J13" TRIM LEADS 0.05" MAX
</t>
    </r>
    <r>
      <rPr>
        <b/>
        <sz val="11"/>
        <color rgb="FF000000"/>
        <rFont val="Calibri"/>
        <family val="2"/>
      </rPr>
      <t xml:space="preserve">* FAIR REQUIRED
DEPANEL &amp; SAND
</t>
    </r>
    <r>
      <rPr>
        <b/>
        <sz val="11"/>
        <color rgb="FF782170"/>
        <rFont val="Calibri"/>
        <family val="2"/>
      </rPr>
      <t>DNI EPOXY (ECO#4)</t>
    </r>
  </si>
  <si>
    <t>2/14 - BOT 1:00</t>
  </si>
  <si>
    <t>2/18 - TOP</t>
  </si>
  <si>
    <t>2/18 - AOI</t>
  </si>
  <si>
    <t>DRAWING: LABEL 0.6" HIGH CHRS</t>
  </si>
  <si>
    <t>DOC REL 1/27</t>
  </si>
  <si>
    <r>
      <t xml:space="preserve">1/23 - </t>
    </r>
    <r>
      <rPr>
        <b/>
        <strike/>
        <sz val="11"/>
        <color rgb="FF000000"/>
        <rFont val="Calibri"/>
        <family val="2"/>
      </rPr>
      <t>WAIT FOR CONFIRM</t>
    </r>
  </si>
  <si>
    <r>
      <rPr>
        <b/>
        <strike/>
        <sz val="11"/>
        <color rgb="FF000000"/>
        <rFont val="Calibri"/>
        <family val="2"/>
      </rPr>
      <t>1/23 - J1, and Q1 WAIT FOR CONFIRM. KIT WILL BE CLEAR ONCE CONFIRMED</t>
    </r>
    <r>
      <rPr>
        <b/>
        <sz val="11"/>
        <color rgb="FF000000"/>
        <rFont val="Calibri"/>
        <family val="2"/>
      </rPr>
      <t xml:space="preserve"> 1/24 -KIT CLEAR</t>
    </r>
  </si>
  <si>
    <t>130351
NEW</t>
  </si>
  <si>
    <t>2/21
20D</t>
  </si>
  <si>
    <t>DOC REL 1/13</t>
  </si>
  <si>
    <r>
      <rPr>
        <b/>
        <strike/>
        <sz val="11"/>
        <color rgb="FF000000"/>
        <rFont val="Calibri"/>
        <family val="2"/>
      </rPr>
      <t xml:space="preserve">SHORT, ETA 2/14 </t>
    </r>
    <r>
      <rPr>
        <b/>
        <sz val="11"/>
        <color rgb="FF000000"/>
        <rFont val="Calibri"/>
        <family val="2"/>
      </rPr>
      <t>2/12 - RECVD</t>
    </r>
  </si>
  <si>
    <r>
      <t xml:space="preserve">2/10 - SHORT SMT U1 QTY.50 BUT NO ETA. </t>
    </r>
    <r>
      <rPr>
        <b/>
        <strike/>
        <sz val="11"/>
        <color rgb="FF000000"/>
        <rFont val="Calibri"/>
        <family val="2"/>
      </rPr>
      <t>(750pcs) &amp; HAVE TRACKING FOR 700pcs WITH ETA 2/11</t>
    </r>
    <r>
      <rPr>
        <b/>
        <sz val="11"/>
        <color rgb="FF000000"/>
        <rFont val="Calibri"/>
        <family val="2"/>
      </rPr>
      <t xml:space="preserve">, </t>
    </r>
  </si>
  <si>
    <t>2/12 - TALK TO TAD BEFORE RUNNING
2/13 - qty 225 comp</t>
  </si>
  <si>
    <t>130917-1
par
RONC 129940</t>
  </si>
  <si>
    <r>
      <rPr>
        <b/>
        <sz val="14"/>
        <color rgb="FFFF0000"/>
        <rFont val="Calibri"/>
        <family val="2"/>
      </rPr>
      <t xml:space="preserve">*** DO NOT OPEN "U1" UNTIL READY TO RUN (THE DAY OF)
</t>
    </r>
    <r>
      <rPr>
        <b/>
        <sz val="11"/>
        <color rgb="FF000000"/>
        <rFont val="Calibri"/>
        <family val="2"/>
      </rPr>
      <t xml:space="preserve">"U1" BAKING IS NOT REQUIRED
</t>
    </r>
    <r>
      <rPr>
        <b/>
        <sz val="14"/>
        <color rgb="FFFF0000"/>
        <rFont val="Calibri"/>
        <family val="2"/>
      </rPr>
      <t>*** "U1" HAND LOAD ONLY, USE SILICONE RUBBER PLUGS, HAND LOAD, THEN REFLOW</t>
    </r>
  </si>
  <si>
    <t>2/13 - BOT 9:00</t>
  </si>
  <si>
    <t>2/13 - TOP 1:00</t>
  </si>
  <si>
    <t>2/14 - AOI 8:30</t>
  </si>
  <si>
    <t>SENSORS JOB</t>
  </si>
  <si>
    <t>1/31 RECVD</t>
  </si>
  <si>
    <r>
      <t>1/31 - SHORT  U2 (1pc IS BTD, MARK BOARD TO IDENTIFY SHORT)</t>
    </r>
    <r>
      <rPr>
        <b/>
        <strike/>
        <sz val="11"/>
        <color rgb="FF000000"/>
        <rFont val="Calibri"/>
        <family val="2"/>
      </rPr>
      <t xml:space="preserve"> &amp; R85 (15psc PENDING ON SUBSTITUDE) | U6 WAITING FOR CONFIRM. 2/4 WAIT FOR NEW PASTE FILE</t>
    </r>
    <r>
      <rPr>
        <b/>
        <sz val="11"/>
        <color rgb="FF000000"/>
        <rFont val="Calibri"/>
        <family val="2"/>
      </rPr>
      <t xml:space="preserve"> 2/5 - KIT CLEAR</t>
    </r>
  </si>
  <si>
    <t>2/10 - SMT TOP QTY 30 9:00</t>
  </si>
  <si>
    <t>130817
NEW</t>
  </si>
  <si>
    <r>
      <rPr>
        <b/>
        <sz val="11"/>
        <color rgb="FF000000"/>
        <rFont val="Calibri"/>
        <family val="2"/>
      </rPr>
      <t xml:space="preserve">TRUE NO CLEAN
SEE ECO #2 FOR INSUFFICIENT SOLDER CONCERNS
</t>
    </r>
    <r>
      <rPr>
        <b/>
        <sz val="11"/>
        <color rgb="FF782170"/>
        <rFont val="Calibri"/>
        <family val="2"/>
      </rPr>
      <t>BTD U2; MARK BOARDS SHORT</t>
    </r>
  </si>
  <si>
    <t>2/7 - BOT 2:00</t>
  </si>
  <si>
    <t>2/10 - TOP 6:00</t>
  </si>
  <si>
    <t>2/10 - AOI
11:00</t>
  </si>
  <si>
    <t xml:space="preserve">H3D, Inc.
</t>
  </si>
  <si>
    <t>1/31</t>
  </si>
  <si>
    <r>
      <rPr>
        <b/>
        <strike/>
        <sz val="11"/>
        <color rgb="FF000000"/>
        <rFont val="Calibri"/>
        <family val="2"/>
      </rPr>
      <t>SHORT 6 SMT (D7, U46, U27.., U11,J4,X1) ETA</t>
    </r>
    <r>
      <rPr>
        <b/>
        <sz val="11"/>
        <color rgb="FF000000"/>
        <rFont val="Calibri"/>
        <family val="2"/>
      </rPr>
      <t xml:space="preserve"> 12/4 KIT CLEAR
BUILD ALL SMT AT ONE TIME. IF WE RECEIVED PART TOMORROW, SPLIT SHIPMENT PER BELOW:
SHIP 33 WHEN DUE (12/18)
SHIP 33 1/20/25
SHIP 34 2/20/25</t>
    </r>
  </si>
  <si>
    <t>12/16 - 5 FULL SMT COMPLETE</t>
  </si>
  <si>
    <t>129414-3
BAL
ROWC 116458</t>
  </si>
  <si>
    <t>2/20
10D</t>
  </si>
  <si>
    <r>
      <rPr>
        <b/>
        <sz val="11"/>
        <color rgb="FF000000"/>
        <rFont val="Calibri"/>
        <family val="2"/>
      </rPr>
      <t xml:space="preserve">"U46" REQUIRES 24HR PRE-BAKE
"X1" CONFIRM ORIENTATION BEFORE PLACING
SPLIT SHIPMENT: </t>
    </r>
    <r>
      <rPr>
        <b/>
        <strike/>
        <sz val="11"/>
        <color rgb="FF000000"/>
        <rFont val="Calibri"/>
        <family val="2"/>
      </rPr>
      <t xml:space="preserve">WILL CALL
Ship 33 when due (12/18)
Ship 33 1-20-2025
</t>
    </r>
    <r>
      <rPr>
        <b/>
        <sz val="11"/>
        <color rgb="FF000000"/>
        <rFont val="Calibri"/>
        <family val="2"/>
      </rPr>
      <t>Ship 34 2-20-2025</t>
    </r>
  </si>
  <si>
    <t>12/13 - top 9:00</t>
  </si>
  <si>
    <t>12/16 - BOT 11:30</t>
  </si>
  <si>
    <t>12/17 - AOI 2:00</t>
  </si>
  <si>
    <t>DOC REL 11/22</t>
  </si>
  <si>
    <r>
      <rPr>
        <b/>
        <strike/>
        <sz val="11"/>
        <color rgb="FF000000"/>
        <rFont val="Calibri"/>
        <family val="2"/>
      </rPr>
      <t>2/17 - DUE</t>
    </r>
    <r>
      <rPr>
        <b/>
        <sz val="11"/>
        <color rgb="FF000000"/>
        <rFont val="Calibri"/>
        <family val="2"/>
      </rPr>
      <t xml:space="preserve"> 2/14 -RECVD</t>
    </r>
  </si>
  <si>
    <t>2/13 - MATL HERE
2/14 - KIT CLEAR</t>
  </si>
  <si>
    <t>131090
NEW</t>
  </si>
  <si>
    <r>
      <rPr>
        <b/>
        <sz val="14"/>
        <color rgb="FF000000"/>
        <rFont val="Calibri"/>
        <family val="2"/>
      </rPr>
      <t xml:space="preserve">2/20
</t>
    </r>
    <r>
      <rPr>
        <b/>
        <sz val="14"/>
        <color rgb="FFFF0000"/>
        <rFont val="Calibri"/>
        <family val="2"/>
      </rPr>
      <t>3D</t>
    </r>
  </si>
  <si>
    <t>ECO &amp; DRAWIG REVIEWED</t>
  </si>
  <si>
    <t>1/30 - MATERIALS CLEAR
2/5 - KIT CLEAR</t>
  </si>
  <si>
    <t>131002
NEW</t>
  </si>
  <si>
    <t>SHORT, MAY/MAY NOT ETA 2/10</t>
  </si>
  <si>
    <r>
      <rPr>
        <b/>
        <strike/>
        <sz val="11"/>
        <color rgb="FF000000"/>
        <rFont val="Calibri"/>
        <family val="2"/>
      </rPr>
      <t xml:space="preserve">1/27 - SHORT R2145 (SMT) WITH NO ETA </t>
    </r>
    <r>
      <rPr>
        <b/>
        <sz val="11"/>
        <color rgb="FF000000"/>
        <rFont val="Calibri"/>
        <family val="2"/>
      </rPr>
      <t>*CUSTOMER CONSIGNED PCB. 2/11 - KIT CLEAR</t>
    </r>
  </si>
  <si>
    <r>
      <rPr>
        <b/>
        <sz val="10"/>
        <color rgb="FFFF0000"/>
        <rFont val="Calibri"/>
        <family val="2"/>
      </rPr>
      <t xml:space="preserve">2/7 - </t>
    </r>
    <r>
      <rPr>
        <b/>
        <strike/>
        <sz val="10"/>
        <color rgb="FFFF0000"/>
        <rFont val="Calibri"/>
        <family val="2"/>
      </rPr>
      <t xml:space="preserve">OK TO SKIP "R2145"
</t>
    </r>
    <r>
      <rPr>
        <b/>
        <sz val="10"/>
        <color rgb="FF000000"/>
        <rFont val="Calibri"/>
        <family val="2"/>
      </rPr>
      <t>2/14 - SMT QTY 2 COMP</t>
    </r>
  </si>
  <si>
    <t>130400
NEW</t>
  </si>
  <si>
    <r>
      <rPr>
        <b/>
        <sz val="11"/>
        <color rgb="FFFF0000"/>
        <rFont val="Calibri"/>
        <family val="2"/>
      </rPr>
      <t xml:space="preserve">ALL DNI LOCATIONS TO BE FREE OF SOLDER
</t>
    </r>
    <r>
      <rPr>
        <b/>
        <sz val="11"/>
        <color rgb="FF000000"/>
        <rFont val="Calibri"/>
        <family val="2"/>
      </rPr>
      <t xml:space="preserve">USE ALPHA WS-820 Lead free solder paste
"SW1, SW8, SW28" AFTER WASH
DEPANEL
</t>
    </r>
    <r>
      <rPr>
        <b/>
        <sz val="11"/>
        <color rgb="FFFF0000"/>
        <rFont val="Calibri"/>
        <family val="2"/>
      </rPr>
      <t>BOARDS MUST BE FREE &amp; CLEAN OF DEBRIS - NO FLUX RESIDUE, FINGER PRINTS &amp; OIL STAINS</t>
    </r>
  </si>
  <si>
    <t>2/14 - BOT 7:30</t>
  </si>
  <si>
    <t>01/27</t>
  </si>
  <si>
    <t>SHORT, NO ETA 2/11</t>
  </si>
  <si>
    <t>2/3 - MATERIAL CLEAR
2/4  - KIT CLEAR</t>
  </si>
  <si>
    <t>2/5 - QTY 110 COMP</t>
  </si>
  <si>
    <t>130826
RONC 127989</t>
  </si>
  <si>
    <t>2/5 - TOP 10:30</t>
  </si>
  <si>
    <t>2/6 - AOI</t>
  </si>
  <si>
    <t>eco reviewd; xtra reflow</t>
  </si>
  <si>
    <t>DOC REL 1/31</t>
  </si>
  <si>
    <r>
      <rPr>
        <b/>
        <strike/>
        <sz val="11"/>
        <color rgb="FF000000"/>
        <rFont val="Calibri"/>
        <family val="2"/>
      </rPr>
      <t xml:space="preserve">SHORT, DUE </t>
    </r>
    <r>
      <rPr>
        <b/>
        <sz val="11"/>
        <color rgb="FF000000"/>
        <rFont val="Calibri"/>
        <family val="2"/>
      </rPr>
      <t>1/30 RECVD</t>
    </r>
  </si>
  <si>
    <r>
      <rPr>
        <b/>
        <strike/>
        <sz val="11"/>
        <color rgb="FF000000"/>
        <rFont val="Calibri"/>
        <family val="2"/>
      </rPr>
      <t>1/28 - SHORT 50 (SMT) ITEMS, 8 (THT) ITEMS WILL BE HERE 1/30
1/29 - SHORT D500, J300 ETA 2/4-2/5</t>
    </r>
    <r>
      <rPr>
        <b/>
        <sz val="11"/>
        <color rgb="FF000000"/>
        <rFont val="Calibri"/>
        <family val="2"/>
      </rPr>
      <t xml:space="preserve"> </t>
    </r>
    <r>
      <rPr>
        <b/>
        <strike/>
        <sz val="11"/>
        <color rgb="FF000000"/>
        <rFont val="Calibri"/>
        <family val="2"/>
      </rPr>
      <t>U3001, U3101</t>
    </r>
    <r>
      <rPr>
        <b/>
        <sz val="11"/>
        <color rgb="FF000000"/>
        <rFont val="Calibri"/>
        <family val="2"/>
      </rPr>
      <t xml:space="preserve">, </t>
    </r>
    <r>
      <rPr>
        <b/>
        <strike/>
        <sz val="11"/>
        <color rgb="FF000000"/>
        <rFont val="Calibri"/>
        <family val="2"/>
      </rPr>
      <t>NO ETA</t>
    </r>
    <r>
      <rPr>
        <b/>
        <sz val="11"/>
        <color rgb="FF000000"/>
        <rFont val="Calibri"/>
        <family val="2"/>
      </rPr>
      <t xml:space="preserve"> &amp;</t>
    </r>
    <r>
      <rPr>
        <b/>
        <strike/>
        <sz val="11"/>
        <color rgb="FF000000"/>
        <rFont val="Calibri"/>
        <family val="2"/>
      </rPr>
      <t xml:space="preserve"> CON2000</t>
    </r>
    <r>
      <rPr>
        <b/>
        <sz val="11"/>
        <color rgb="FF000000"/>
        <rFont val="Calibri"/>
        <family val="2"/>
      </rPr>
      <t xml:space="preserve">  2/4 - KIT CLEAR</t>
    </r>
  </si>
  <si>
    <t>2/4 - "D500" OK TO SKIP</t>
  </si>
  <si>
    <t>130218
NEW</t>
  </si>
  <si>
    <t>LEAD FREE WASH
XRAY &amp; SAVE IMAGES</t>
  </si>
  <si>
    <t>2/5 - BOT 11:00</t>
  </si>
  <si>
    <t>2/6 - TOP 9:30</t>
  </si>
  <si>
    <t>2/6 - AOI 2:00</t>
  </si>
  <si>
    <r>
      <rPr>
        <b/>
        <sz val="11"/>
        <color rgb="FF000000"/>
        <rFont val="Calibri"/>
        <family val="2"/>
      </rPr>
      <t xml:space="preserve">2/13 - OK TO USE
</t>
    </r>
    <r>
      <rPr>
        <b/>
        <strike/>
        <sz val="11"/>
        <color rgb="FF000000"/>
        <rFont val="Calibri"/>
        <family val="2"/>
      </rPr>
      <t xml:space="preserve">2/12 - recvd w/ marks
</t>
    </r>
  </si>
  <si>
    <t>2/13 - KIT CLEAR</t>
  </si>
  <si>
    <t>RTR
lineman setup</t>
  </si>
  <si>
    <t>131078
NEW</t>
  </si>
  <si>
    <t>"Y1" AFTER WASH
DEPANEL</t>
  </si>
  <si>
    <t>2/13 - TOP 2:30</t>
  </si>
  <si>
    <t>2/11 RECVD</t>
  </si>
  <si>
    <t>2/11 - KIT CLEAR</t>
  </si>
  <si>
    <t>131178
NEW</t>
  </si>
  <si>
    <t>"C23, C41, U3, U5, U6" AFTER WASH
DEPANEL</t>
  </si>
  <si>
    <t>2/12 - BOT 10:30</t>
  </si>
  <si>
    <t>2/12 - TOP 2:00</t>
  </si>
  <si>
    <t>2/13 - aoi 9:00</t>
  </si>
  <si>
    <r>
      <rPr>
        <b/>
        <strike/>
        <sz val="11"/>
        <color rgb="FF000000"/>
        <rFont val="Calibri"/>
        <family val="2"/>
      </rPr>
      <t>SHORT, NO ETA 2/12</t>
    </r>
    <r>
      <rPr>
        <b/>
        <sz val="11"/>
        <color rgb="FF000000"/>
        <rFont val="Calibri"/>
        <family val="2"/>
      </rPr>
      <t xml:space="preserve"> 2/11 - RECVD</t>
    </r>
  </si>
  <si>
    <t>1/30 - SHORT PD1 (THT) WITH NO ETA AND EXPECTED IN A FEW WEEK.
1/30 - SMT CLEAR
2/11 - RECVD PARTIAL (278pcs) OF PD1, KIT CLEAR FOR 16PCS.</t>
  </si>
  <si>
    <r>
      <rPr>
        <b/>
        <sz val="11"/>
        <color rgb="FFFF0000"/>
        <rFont val="Calibri"/>
        <family val="2"/>
      </rPr>
      <t xml:space="preserve">SMT CLEAR - ONLY PARTIAL SHORT "PD1" T/H
</t>
    </r>
    <r>
      <rPr>
        <b/>
        <u/>
        <sz val="11"/>
        <color rgb="FFFF0000"/>
        <rFont val="Calibri"/>
        <family val="2"/>
      </rPr>
      <t>*** SHOULD RUN ASAP FOR HIGH T/H COUNT</t>
    </r>
  </si>
  <si>
    <t>130906-1
PAR
RONC 129320</t>
  </si>
  <si>
    <r>
      <rPr>
        <b/>
        <sz val="11"/>
        <color rgb="FF000000"/>
        <rFont val="Calibri"/>
        <family val="2"/>
      </rPr>
      <t xml:space="preserve">"SW3, SW4" AFTER WASH
MOUNT ALL T/H FLUSH PER ECO
DEPANEL
</t>
    </r>
    <r>
      <rPr>
        <b/>
        <sz val="11"/>
        <color rgb="FF782170"/>
        <rFont val="Calibri"/>
        <family val="2"/>
      </rPr>
      <t>SMT CLEAR for 20; Kit Clear for 16 - ship balance when THT shortages arrive</t>
    </r>
  </si>
  <si>
    <r>
      <rPr>
        <b/>
        <strike/>
        <sz val="11"/>
        <color rgb="FF000000"/>
        <rFont val="Calibri"/>
        <family val="2"/>
      </rPr>
      <t>SHORT, NO ETA 2/13 1/29</t>
    </r>
    <r>
      <rPr>
        <b/>
        <sz val="11"/>
        <color rgb="FF000000"/>
        <rFont val="Calibri"/>
        <family val="2"/>
      </rPr>
      <t xml:space="preserve"> RECVD 1/28</t>
    </r>
  </si>
  <si>
    <t>1/14 - NOTE: Z1 &amp; H5 is DNI, SW1 BTD.
1/28 KIT CLEAR</t>
  </si>
  <si>
    <t>1/30 - SMT BOT COMP</t>
  </si>
  <si>
    <t>130460
RONC 96321</t>
  </si>
  <si>
    <t>"Z1, SW1, SW2, H5, H6, H7" AFTER WASH
DEPANEL</t>
  </si>
  <si>
    <t>1/30 - BOT 10:00</t>
  </si>
  <si>
    <t>1/30 - PAUSE 2:00
2/4 - TOP 11:30</t>
  </si>
  <si>
    <t>2/5 - AOI 10:00</t>
  </si>
  <si>
    <t xml:space="preserve">Moates.Net
</t>
  </si>
  <si>
    <t>1/14</t>
  </si>
  <si>
    <r>
      <rPr>
        <b/>
        <strike/>
        <sz val="11"/>
        <color rgb="FF000000"/>
        <rFont val="Calibri"/>
        <family val="2"/>
      </rPr>
      <t>1/7 NO ETA 1/8- PCB DUE</t>
    </r>
    <r>
      <rPr>
        <b/>
        <sz val="11"/>
        <color rgb="FF000000"/>
        <rFont val="Calibri"/>
        <family val="2"/>
      </rPr>
      <t xml:space="preserve">| </t>
    </r>
    <r>
      <rPr>
        <b/>
        <strike/>
        <sz val="11"/>
        <color rgb="FF000000"/>
        <rFont val="Calibri"/>
        <family val="2"/>
      </rPr>
      <t>1/30-TRACKING RECVD, WAIT FOR ETA.</t>
    </r>
  </si>
  <si>
    <r>
      <rPr>
        <b/>
        <strike/>
        <sz val="11"/>
        <color rgb="FF000000"/>
        <rFont val="Calibri"/>
        <family val="2"/>
      </rPr>
      <t xml:space="preserve">1/7 - MATERIAL CLEAR
*WE WILL RECEVD &amp; BUILD PARTIAL OF PCB 279 PCS.  1/31 - RECVD 
</t>
    </r>
    <r>
      <rPr>
        <b/>
        <sz val="11"/>
        <color rgb="FF000000"/>
        <rFont val="Calibri"/>
        <family val="2"/>
      </rPr>
      <t>2/10 - KIT CLEAR FOR BAL 81pcs</t>
    </r>
  </si>
  <si>
    <t>1/30 - RUN PARTIAL, 279 (TAD)</t>
  </si>
  <si>
    <t>130116-2
BAL
NEW</t>
  </si>
  <si>
    <r>
      <rPr>
        <b/>
        <strike/>
        <sz val="11"/>
        <color rgb="FF000000"/>
        <rFont val="Calibri"/>
        <family val="2"/>
      </rPr>
      <t>AS9011 FAIR REQUIRED</t>
    </r>
    <r>
      <rPr>
        <b/>
        <sz val="11"/>
        <color rgb="FF000000"/>
        <rFont val="Calibri"/>
        <family val="2"/>
      </rPr>
      <t xml:space="preserve"> (WAIVED)
DEPANEL
*Please make sure ECO is reviewed for  LED1
</t>
    </r>
    <r>
      <rPr>
        <b/>
        <sz val="11"/>
        <color rgb="FF782170"/>
        <rFont val="Calibri"/>
        <family val="2"/>
      </rPr>
      <t>TAD DEPANEL</t>
    </r>
  </si>
  <si>
    <t>2/11 - TOP 12:00</t>
  </si>
  <si>
    <t>2/11 - AOI 2:30</t>
  </si>
  <si>
    <t>01/7</t>
  </si>
  <si>
    <t xml:space="preserve">SHORT, NO ETA 2/7 </t>
  </si>
  <si>
    <r>
      <t xml:space="preserve">1/28 - D2 (SMT), SCREW1 and SIL_ GREASE (THT) WITH NO ETA. CM1 (BTD) </t>
    </r>
    <r>
      <rPr>
        <b/>
        <sz val="11"/>
        <color rgb="FF000000"/>
        <rFont val="Calibri"/>
        <family val="2"/>
      </rPr>
      <t>2/3 - MATERIAL CLEAR
2/10 - KIT CLEAR</t>
    </r>
  </si>
  <si>
    <t>130782
NEW</t>
  </si>
  <si>
    <r>
      <rPr>
        <b/>
        <sz val="11"/>
        <color rgb="FF000000"/>
        <rFont val="Calibri"/>
        <family val="2"/>
      </rPr>
      <t xml:space="preserve">USE SAC305 SOLDER PASTE
"L1,L3,U11" MOISTURE SENSITIVE
"U2, HS1" SEE ECO FOR ASSY
CofC PER ECO
DEPANEL A&amp; SAND
</t>
    </r>
    <r>
      <rPr>
        <b/>
        <sz val="11"/>
        <color rgb="FF782170"/>
        <rFont val="Calibri"/>
        <family val="2"/>
      </rPr>
      <t>(ECO) CREATE SHORT BETWEEN NETS
BTD CM1</t>
    </r>
  </si>
  <si>
    <t>2/10 - BOT 11:00</t>
  </si>
  <si>
    <t>2/11 - TOP</t>
  </si>
  <si>
    <t>2/11 - AOI 10:00</t>
  </si>
  <si>
    <t>ECO &amp; DRAWING REVIEWED
---
U3 NEEDS MORE SOLDER</t>
  </si>
  <si>
    <t>SHORT, NO ETA 1/29</t>
  </si>
  <si>
    <r>
      <t>1/27 -  SHORT</t>
    </r>
    <r>
      <rPr>
        <b/>
        <strike/>
        <sz val="11"/>
        <color rgb="FF000000"/>
        <rFont val="Calibri"/>
        <family val="2"/>
      </rPr>
      <t xml:space="preserve"> U4, U5 (SMT)</t>
    </r>
    <r>
      <rPr>
        <b/>
        <sz val="11"/>
        <color rgb="FF000000"/>
        <rFont val="Calibri"/>
        <family val="2"/>
      </rPr>
      <t xml:space="preserve">, J5 (THT) WITH </t>
    </r>
    <r>
      <rPr>
        <b/>
        <strike/>
        <sz val="11"/>
        <color rgb="FF000000"/>
        <rFont val="Calibri"/>
        <family val="2"/>
      </rPr>
      <t>NO</t>
    </r>
    <r>
      <rPr>
        <b/>
        <sz val="11"/>
        <color rgb="FF000000"/>
        <rFont val="Calibri"/>
        <family val="2"/>
      </rPr>
      <t xml:space="preserve"> ETA 2/6 BUT NO TRACKING YET. 
2/6 - SMT CLEAR</t>
    </r>
  </si>
  <si>
    <t>2/6 - SMT CLEAR</t>
  </si>
  <si>
    <t>130907
ROWC
126183</t>
  </si>
  <si>
    <t>2/7 - AOI 12:00</t>
  </si>
  <si>
    <t xml:space="preserve">Solar Stik, Inc.
</t>
  </si>
  <si>
    <t>02/10 - RECVD</t>
  </si>
  <si>
    <r>
      <t xml:space="preserve">2/10 - KIT WILL BE CLEAR IF L1 CONFIRM OK TO USE </t>
    </r>
    <r>
      <rPr>
        <b/>
        <sz val="11"/>
        <color rgb="FF000000"/>
        <rFont val="Calibri"/>
        <family val="2"/>
      </rPr>
      <t xml:space="preserve">  KIT CLEAR</t>
    </r>
  </si>
  <si>
    <t>2/11 - awt stencil
2/12 - SMT BOT DONE</t>
  </si>
  <si>
    <t>130132
ROWC 130131</t>
  </si>
  <si>
    <t xml:space="preserve">LEAD FREE WASH PROCESS
</t>
  </si>
  <si>
    <t>2/11 - BOT 8:00
2/11 - PAUSE 9:00
2/11 - BOT 2:30</t>
  </si>
  <si>
    <t>2/12 - PAUSE 10:30
2/12 - TOP 3:00</t>
  </si>
  <si>
    <t>2/13 - AOI 2:30</t>
  </si>
  <si>
    <t>SHORT PCB NO ETA</t>
  </si>
  <si>
    <r>
      <rPr>
        <b/>
        <sz val="11"/>
        <color rgb="FF4D93D9"/>
        <rFont val="Calibri"/>
        <family val="2"/>
        <scheme val="minor"/>
      </rPr>
      <t xml:space="preserve">11/15 - PLACED ON SHIPPING HOLD. 
12/16 - SHORT J2.. (THT) WITH NO ETA.
</t>
    </r>
    <r>
      <rPr>
        <b/>
        <u/>
        <sz val="11"/>
        <color rgb="FFFF0000"/>
        <rFont val="Calibri"/>
        <family val="2"/>
        <scheme val="minor"/>
      </rPr>
      <t>1/2 - CUST HOLD</t>
    </r>
  </si>
  <si>
    <r>
      <rPr>
        <b/>
        <strike/>
        <sz val="14"/>
        <color rgb="FF215C98"/>
        <rFont val="Calibri"/>
        <family val="2"/>
      </rPr>
      <t xml:space="preserve">127992
NEW
</t>
    </r>
    <r>
      <rPr>
        <b/>
        <sz val="14"/>
        <color rgb="FFFF0000"/>
        <rFont val="Calibri"/>
        <family val="2"/>
      </rPr>
      <t>CANCELLED</t>
    </r>
  </si>
  <si>
    <t>LEAD WASH PROCESS
*** REFER TO DWG NOTES FOR BUILD</t>
  </si>
  <si>
    <t>Ensign-Bickford Aerospace &amp; Defense Company 
(EBAD)</t>
  </si>
  <si>
    <t>12/16</t>
  </si>
  <si>
    <t>128119-2nd
1-PAR
RONC 1st</t>
  </si>
  <si>
    <r>
      <rPr>
        <b/>
        <sz val="14"/>
        <color rgb="FF000000"/>
        <rFont val="Calibri"/>
        <family val="2"/>
      </rPr>
      <t xml:space="preserve">2/14
</t>
    </r>
    <r>
      <rPr>
        <b/>
        <strike/>
        <sz val="14"/>
        <color rgb="FF000000"/>
        <rFont val="Calibri"/>
        <family val="2"/>
      </rPr>
      <t xml:space="preserve">02/15
</t>
    </r>
    <r>
      <rPr>
        <b/>
        <sz val="14"/>
        <color rgb="FF000000"/>
        <rFont val="Calibri"/>
        <family val="2"/>
      </rPr>
      <t>15D</t>
    </r>
  </si>
  <si>
    <t>128118-2nd
1-PAR
RONC 1st</t>
  </si>
  <si>
    <t>SHORT, NO ETA 2/10</t>
  </si>
  <si>
    <t>2/6 - MATERIAL CLEAR
2/7 - KIT CLEAR</t>
  </si>
  <si>
    <t>2/7 - PENDING SOLDER PASTE APPROVAL FROM CUST
STENCIL WILL GET RELEASED ONCE PASTE IS APPROVED</t>
  </si>
  <si>
    <t>130974
NEW</t>
  </si>
  <si>
    <t>2/14*
5D</t>
  </si>
  <si>
    <r>
      <rPr>
        <b/>
        <sz val="11"/>
        <color rgb="FF000000"/>
        <rFont val="Calibri"/>
        <family val="2"/>
      </rPr>
      <t xml:space="preserve">LEADED, WASH
DEPANEL
</t>
    </r>
    <r>
      <rPr>
        <b/>
        <sz val="11"/>
        <color rgb="FFFF0000"/>
        <rFont val="Calibri"/>
        <family val="2"/>
      </rPr>
      <t xml:space="preserve">*** CHECK FETs BEFORE REFLOW PER ECO NEED CUST APROVAL OF SOLDER PASTE TYPE
</t>
    </r>
    <r>
      <rPr>
        <b/>
        <sz val="11"/>
        <color rgb="FF000000"/>
        <rFont val="Calibri"/>
        <family val="2"/>
      </rPr>
      <t xml:space="preserve">U1 AFTER WASH
SEE ECO FOR ORIENT D1, D2, U3, U1, BT+, BT_
</t>
    </r>
    <r>
      <rPr>
        <b/>
        <sz val="11"/>
        <color rgb="FF782170"/>
        <rFont val="Calibri"/>
        <family val="2"/>
      </rPr>
      <t>*** INSPECT Q1 &amp; Q2 after install!!!</t>
    </r>
  </si>
  <si>
    <t>2/11 - BOT 11:00</t>
  </si>
  <si>
    <t>2/11 - AOI 3:00</t>
  </si>
  <si>
    <t xml:space="preserve">Specialized Bicycle Components
</t>
  </si>
  <si>
    <t>ECO reviewed
---
TAD ORDERED SOLDER PASTE ECO#3</t>
  </si>
  <si>
    <t>12/17 - PCB DUE</t>
  </si>
  <si>
    <t>12/30 - U5 (SMT) DUE (OK TO SKIP)
12/24 - "U5" 4/15/25 ETA</t>
  </si>
  <si>
    <t>1/28 - RUN 1 OF 155 (SKIP #15 "U5") TAD
1/30 - OK TO RUN 4 OF 155
2/3 - RUN BOT ONLY OF BAL</t>
  </si>
  <si>
    <t>129756-2
BAL
NEW</t>
  </si>
  <si>
    <r>
      <rPr>
        <b/>
        <sz val="14"/>
        <color rgb="FF000000"/>
        <rFont val="Calibri"/>
        <family val="2"/>
      </rPr>
      <t xml:space="preserve">2/13
</t>
    </r>
    <r>
      <rPr>
        <b/>
        <sz val="14"/>
        <color rgb="FFFF0000"/>
        <rFont val="Calibri"/>
        <family val="2"/>
      </rPr>
      <t>3D</t>
    </r>
  </si>
  <si>
    <r>
      <rPr>
        <b/>
        <sz val="12"/>
        <color rgb="FFFF0000"/>
        <rFont val="Calibri"/>
        <family val="2"/>
        <scheme val="minor"/>
      </rPr>
      <t xml:space="preserve">*** ITEM 11 EXACT QTY - DO NOT LOSE PARTS
</t>
    </r>
    <r>
      <rPr>
        <b/>
        <sz val="11"/>
        <color rgb="FF000000"/>
        <rFont val="Calibri"/>
        <family val="2"/>
        <scheme val="minor"/>
      </rPr>
      <t>"J3" SEE ECO FOR ORIENTATION
DEPANEL</t>
    </r>
  </si>
  <si>
    <t>2/4 - BOT 2:00</t>
  </si>
  <si>
    <t>2/5 - PAUSE 9:00
2/12 - TOP 10:30</t>
  </si>
  <si>
    <t>2/12 - AOI 3:30</t>
  </si>
  <si>
    <t>DOC REL 12/12</t>
  </si>
  <si>
    <t>12/13</t>
  </si>
  <si>
    <r>
      <t xml:space="preserve">12/30 - U5 (SMT) DUE (OK TO SKIP)
12/24 - "U5" </t>
    </r>
    <r>
      <rPr>
        <b/>
        <strike/>
        <sz val="11"/>
        <color rgb="FF000000"/>
        <rFont val="Calibri"/>
        <family val="2"/>
        <scheme val="minor"/>
      </rPr>
      <t xml:space="preserve">4/15/25 ETA </t>
    </r>
    <r>
      <rPr>
        <b/>
        <sz val="11"/>
        <color rgb="FF000000"/>
        <rFont val="Calibri"/>
        <family val="2"/>
        <scheme val="minor"/>
      </rPr>
      <t>2/12 RECVD</t>
    </r>
  </si>
  <si>
    <t>1/28 - RUN 1 OF 155 (SKIP #15 "U5") TAD
1/30 - OK TO RUN 5 OF 155</t>
  </si>
  <si>
    <t>129756-1
PAR
NEW</t>
  </si>
  <si>
    <r>
      <rPr>
        <b/>
        <sz val="14"/>
        <color rgb="FF000000"/>
        <rFont val="Calibri"/>
        <family val="2"/>
        <scheme val="minor"/>
      </rPr>
      <t xml:space="preserve">2/13
</t>
    </r>
    <r>
      <rPr>
        <b/>
        <sz val="14"/>
        <color rgb="FFFF0000"/>
        <rFont val="Calibri"/>
        <family val="2"/>
        <scheme val="minor"/>
      </rPr>
      <t>3D</t>
    </r>
  </si>
  <si>
    <t>"J3" SEE ECO FOR ORIENTATION
DEPANEL</t>
  </si>
  <si>
    <t>1/29 - BOT 10:30</t>
  </si>
  <si>
    <t>1/29 - TOP 11:30</t>
  </si>
  <si>
    <t>1/29 - AOI 12:00</t>
  </si>
  <si>
    <r>
      <rPr>
        <b/>
        <strike/>
        <sz val="11"/>
        <color rgb="FF000000"/>
        <rFont val="Calibri"/>
        <family val="2"/>
      </rPr>
      <t xml:space="preserve">SHORT, WAITING FOR ETA </t>
    </r>
    <r>
      <rPr>
        <b/>
        <sz val="11"/>
        <color rgb="FF000000"/>
        <rFont val="Calibri"/>
        <family val="2"/>
      </rPr>
      <t>2/4 RECVD</t>
    </r>
  </si>
  <si>
    <r>
      <t xml:space="preserve">2/3 - </t>
    </r>
    <r>
      <rPr>
        <b/>
        <strike/>
        <sz val="11"/>
        <color rgb="FF000000"/>
        <rFont val="Calibri"/>
        <family val="2"/>
      </rPr>
      <t>SHORT 37 SMT ITEMS WAITING FOR CUSTOMER TO CONFIRM IS ETA THIS WEEK?</t>
    </r>
    <r>
      <rPr>
        <b/>
        <sz val="11"/>
        <color rgb="FF000000"/>
        <rFont val="Calibri"/>
        <family val="2"/>
      </rPr>
      <t xml:space="preserve"> </t>
    </r>
    <r>
      <rPr>
        <b/>
        <strike/>
        <sz val="11"/>
        <color rgb="FF000000"/>
        <rFont val="Calibri"/>
        <family val="2"/>
      </rPr>
      <t>TRACKING RECVD | 2/4 - SHORT D8 ,U3, U43, U49, U34, Q1 (SMT), WILL BE CLEAR IF CUSTOMER REQUEST TBD</t>
    </r>
    <r>
      <rPr>
        <b/>
        <sz val="11"/>
        <color rgb="FF000000"/>
        <rFont val="Calibri"/>
        <family val="2"/>
      </rPr>
      <t>. 2/5 - KIT CLEAR</t>
    </r>
  </si>
  <si>
    <t>130893
ROWC 125581</t>
  </si>
  <si>
    <t>2/12
5D</t>
  </si>
  <si>
    <r>
      <rPr>
        <b/>
        <sz val="11"/>
        <color rgb="FF000000"/>
        <rFont val="Calibri"/>
        <family val="2"/>
      </rPr>
      <t>LEAD WASH
"X1" IS DNI
XRAY &amp; SAVE IMAGES
DEPANEL &amp; SAND
SPRING PINS ARE DNI
ALL CONNECTORS/COMPONENTS MOUNT FLUSH
NO LABEL PER ECO 7
***</t>
    </r>
    <r>
      <rPr>
        <b/>
        <sz val="11"/>
        <color rgb="FF782170"/>
        <rFont val="Calibri"/>
        <family val="2"/>
      </rPr>
      <t xml:space="preserve"> dni &amp; SHIP "X1" STAND OFF'S WITH BOARDS</t>
    </r>
  </si>
  <si>
    <t>2/6 - TOP 11:00</t>
  </si>
  <si>
    <t>2/7 - AOI 1:30</t>
  </si>
  <si>
    <t>BOM 1 THT PART NOW DNI
ECO REVIEWED
PREVIOUS BUILD X1 ISSUE</t>
  </si>
  <si>
    <t>SHORT, NO ETA 2/7</t>
  </si>
  <si>
    <r>
      <rPr>
        <b/>
        <strike/>
        <sz val="11"/>
        <color rgb="FF000000"/>
        <rFont val="Calibri"/>
        <family val="2"/>
      </rPr>
      <t>2/3 - J15 and J14 CORRECT PARTS ETA 2/4</t>
    </r>
    <r>
      <rPr>
        <b/>
        <sz val="11"/>
        <color rgb="FF000000"/>
        <rFont val="Calibri"/>
        <family val="2"/>
      </rPr>
      <t xml:space="preserve">. </t>
    </r>
    <r>
      <rPr>
        <b/>
        <strike/>
        <sz val="11"/>
        <color rgb="FF000000"/>
        <rFont val="Calibri"/>
        <family val="2"/>
      </rPr>
      <t xml:space="preserve">WAITING FOR CONFIRM  </t>
    </r>
    <r>
      <rPr>
        <b/>
        <sz val="11"/>
        <color rgb="FF000000"/>
        <rFont val="Calibri"/>
        <family val="2"/>
      </rPr>
      <t>2/5 - KIT CLEAR</t>
    </r>
  </si>
  <si>
    <t>131005
NEW</t>
  </si>
  <si>
    <t>TRUE NO CLEAN BUILD
("K1" X21) AFTER WASH
DEPANEL</t>
  </si>
  <si>
    <t>2/10 - AOI</t>
  </si>
  <si>
    <t>02/3</t>
  </si>
  <si>
    <r>
      <t xml:space="preserve">2/7 - RECVD </t>
    </r>
    <r>
      <rPr>
        <b/>
        <strike/>
        <sz val="11"/>
        <color rgb="FF000000"/>
        <rFont val="Calibri"/>
        <family val="2"/>
      </rPr>
      <t>SHORT, NO ETA 2/7</t>
    </r>
  </si>
  <si>
    <r>
      <rPr>
        <b/>
        <strike/>
        <sz val="11"/>
        <color rgb="FF000000"/>
        <rFont val="Calibri"/>
        <family val="2"/>
      </rPr>
      <t>2/6 - SHORT 1pcs D35 (SMT) W/ ETA</t>
    </r>
    <r>
      <rPr>
        <b/>
        <sz val="11"/>
        <color rgb="FF000000"/>
        <rFont val="Calibri"/>
        <family val="2"/>
      </rPr>
      <t xml:space="preserve"> 2/7 - KIT CLEAR</t>
    </r>
  </si>
  <si>
    <t>2/7 - WILL CLEAR TODAY
2/10 - SMT BOT QTY 6 COMP 9:00</t>
  </si>
  <si>
    <t>131028
NEW</t>
  </si>
  <si>
    <r>
      <rPr>
        <b/>
        <sz val="14"/>
        <color rgb="FF000000"/>
        <rFont val="Calibri"/>
        <family val="2"/>
      </rPr>
      <t xml:space="preserve">2/12
</t>
    </r>
    <r>
      <rPr>
        <b/>
        <sz val="14"/>
        <color rgb="FFFF0000"/>
        <rFont val="Calibri"/>
        <family val="2"/>
      </rPr>
      <t>3D</t>
    </r>
  </si>
  <si>
    <t>LEAD FREE, WASH
SEE ECO FOR D35 ORIENTATION</t>
  </si>
  <si>
    <t>2/10 - BOT 6:00</t>
  </si>
  <si>
    <t>2/10 - TOP 10:30</t>
  </si>
  <si>
    <t>2/11 - AOI 8:00</t>
  </si>
  <si>
    <t>2/4 - RECVD</t>
  </si>
  <si>
    <r>
      <rPr>
        <b/>
        <strike/>
        <sz val="11"/>
        <color rgb="FF000000"/>
        <rFont val="Calibri"/>
        <family val="2"/>
      </rPr>
      <t>2/4 - KIT WILL BE CLEAR IF U2 CONFIRM OK TO USE</t>
    </r>
    <r>
      <rPr>
        <b/>
        <sz val="11"/>
        <color rgb="FF000000"/>
        <rFont val="Calibri"/>
        <family val="2"/>
      </rPr>
      <t>. 2/5 - KIT CLEAR</t>
    </r>
  </si>
  <si>
    <t>130953
ROWC 124712</t>
  </si>
  <si>
    <t>2/5 - TOP 12:30</t>
  </si>
  <si>
    <t>2/5 - TOP 1:15</t>
  </si>
  <si>
    <t>2/5 - AOI 2:30</t>
  </si>
  <si>
    <t xml:space="preserve">Safe Grain, Inc. / Maxi-Tronic
</t>
  </si>
  <si>
    <r>
      <rPr>
        <b/>
        <strike/>
        <sz val="11"/>
        <color rgb="FF000000"/>
        <rFont val="Calibri"/>
        <family val="2"/>
        <scheme val="minor"/>
      </rPr>
      <t xml:space="preserve">11/13 - PCB DUE (RECEIVED BUT WAITING FOR INSPECTION) / SHORT 4 THT ITEMS ETA JANUARY 2025.
</t>
    </r>
    <r>
      <rPr>
        <b/>
        <sz val="11"/>
        <color rgb="FF000000"/>
        <rFont val="Calibri"/>
        <family val="2"/>
        <scheme val="minor"/>
      </rPr>
      <t xml:space="preserve">11/13 - SMT CLEAR
</t>
    </r>
    <r>
      <rPr>
        <b/>
        <strike/>
        <sz val="11"/>
        <color rgb="FF000000"/>
        <rFont val="Calibri"/>
        <family val="2"/>
        <scheme val="minor"/>
      </rPr>
      <t>12/9 - ONLY SHORT T1 (THT) |</t>
    </r>
    <r>
      <rPr>
        <b/>
        <sz val="11"/>
        <color rgb="FF000000"/>
        <rFont val="Calibri"/>
        <family val="2"/>
        <scheme val="minor"/>
      </rPr>
      <t xml:space="preserve"> 1/13 - KIT CLEAR</t>
    </r>
  </si>
  <si>
    <t>11/15 - SPLICED #1 (C38..) 2T59 2 TIMES
11/19 - SMT COMP QTY 7</t>
  </si>
  <si>
    <t>129001
ROWC 124988</t>
  </si>
  <si>
    <r>
      <rPr>
        <b/>
        <sz val="14"/>
        <color rgb="FF000000"/>
        <rFont val="Calibri"/>
        <family val="2"/>
        <scheme val="minor"/>
      </rPr>
      <t xml:space="preserve">2/12
</t>
    </r>
    <r>
      <rPr>
        <b/>
        <strike/>
        <sz val="14"/>
        <color rgb="FF000000"/>
        <rFont val="Calibri"/>
        <family val="2"/>
        <scheme val="minor"/>
      </rPr>
      <t xml:space="preserve">2/11
02/10
</t>
    </r>
    <r>
      <rPr>
        <b/>
        <sz val="14"/>
        <color rgb="FF000000"/>
        <rFont val="Calibri"/>
        <family val="2"/>
        <scheme val="minor"/>
      </rPr>
      <t>20D</t>
    </r>
  </si>
  <si>
    <t>"T4" AFTER WASH
DEPANEL
ITEM 33 “C1, C2, C3, C4, C5, C29, C30, C31, C32, C33” - FOR FUTURE BUILDS - NOTE ADDED TO ECO TO HAND SOLDER &amp; CLEAN FLUX BY HAND (PARTS CANNOT HANDLE HEAT FROM WASH)</t>
  </si>
  <si>
    <t>11/19 - BOT 7:00</t>
  </si>
  <si>
    <t>11/19 - TOP 9:00
11/19 - PAUSE 2:30
11/21 - TOP 9:00</t>
  </si>
  <si>
    <t>11/21 - AOI 1:00</t>
  </si>
  <si>
    <t xml:space="preserve"> FarSounder, Inc.
</t>
  </si>
  <si>
    <t>DOC REL 11/8</t>
  </si>
  <si>
    <r>
      <rPr>
        <b/>
        <strike/>
        <sz val="11"/>
        <color rgb="FF000000"/>
        <rFont val="Calibri"/>
        <family val="2"/>
      </rPr>
      <t xml:space="preserve">12/12 - PCB DUE | SHORT U1 (SMT) WITH NO ETA.
</t>
    </r>
    <r>
      <rPr>
        <b/>
        <sz val="11"/>
        <color rgb="FF000000"/>
        <rFont val="Calibri"/>
        <family val="2"/>
      </rPr>
      <t>12/9 - KIT CLEAR BUT CUSTOMER HAS ISSUE WITH U1, WE ONLY RUN THIS JOB ONCE TAD UPDATES THE CUSTOMER</t>
    </r>
  </si>
  <si>
    <t>12/9 - HOLD - RUNNING SAMPLES TO MAKE SURE SENSORS DO NOT GET DEBRIS
12/10 - SMT RAN 4 PANELS (60 BOARDS)
12/11 - SMT RAN 1 MORE PANEL</t>
  </si>
  <si>
    <t>129940-6
BAL
RONC 128277</t>
  </si>
  <si>
    <r>
      <rPr>
        <b/>
        <sz val="14"/>
        <color rgb="FF000000"/>
        <rFont val="Calibri"/>
        <family val="2"/>
      </rPr>
      <t xml:space="preserve">180
</t>
    </r>
    <r>
      <rPr>
        <b/>
        <strike/>
        <sz val="14"/>
        <color rgb="FF000000"/>
        <rFont val="Calibri"/>
        <family val="2"/>
      </rPr>
      <t>198</t>
    </r>
  </si>
  <si>
    <r>
      <rPr>
        <b/>
        <sz val="14"/>
        <color rgb="FF000000"/>
        <rFont val="Calibri"/>
        <family val="2"/>
      </rPr>
      <t xml:space="preserve">2/12
</t>
    </r>
    <r>
      <rPr>
        <b/>
        <strike/>
        <sz val="14"/>
        <color rgb="FF000000"/>
        <rFont val="Calibri"/>
        <family val="2"/>
      </rPr>
      <t xml:space="preserve">10D
</t>
    </r>
    <r>
      <rPr>
        <b/>
        <sz val="14"/>
        <color rgb="FF000000"/>
        <rFont val="Calibri"/>
        <family val="2"/>
      </rPr>
      <t>5D</t>
    </r>
  </si>
  <si>
    <r>
      <rPr>
        <b/>
        <sz val="14"/>
        <color rgb="FFFF0000"/>
        <rFont val="Calibri"/>
        <family val="2"/>
      </rPr>
      <t xml:space="preserve">*** CUST HAVING ISSUES W/ "U1" PLEASE SEE TAD BEFORE STARTING
</t>
    </r>
    <r>
      <rPr>
        <b/>
        <sz val="11"/>
        <color rgb="FF782170"/>
        <rFont val="Calibri"/>
        <family val="2"/>
      </rPr>
      <t xml:space="preserve">QTY 15 REQUIRES REINSTALL OF SENSOR (SEE THOMAS FOR BOARDS)
</t>
    </r>
    <r>
      <rPr>
        <b/>
        <sz val="11"/>
        <color rgb="FF000000"/>
        <rFont val="Calibri"/>
        <family val="2"/>
      </rPr>
      <t xml:space="preserve">LEAD-FREE, NO CLEAN
"U1" SEE ECO
DEPANEL
</t>
    </r>
    <r>
      <rPr>
        <b/>
        <sz val="11"/>
        <color rgb="FF782170"/>
        <rFont val="Calibri"/>
        <family val="2"/>
      </rPr>
      <t>SHIP ON 5-DAY (TAD)
CLOSE SHORT</t>
    </r>
  </si>
  <si>
    <t>2/7 - BOT 1:00</t>
  </si>
  <si>
    <t>2/10 - TOP</t>
  </si>
  <si>
    <t>DOC REL 11/27</t>
  </si>
  <si>
    <r>
      <rPr>
        <b/>
        <strike/>
        <sz val="11"/>
        <color rgb="FF000000"/>
        <rFont val="Calibri"/>
        <family val="2"/>
      </rPr>
      <t>2/4 - (*F1 RECVD WRONG PN) SO SHORT F1 (SMT) &amp; 10pcs J84 (THT). EXPECT TO BE HERE THIS WEEK</t>
    </r>
    <r>
      <rPr>
        <b/>
        <sz val="11"/>
        <color rgb="FF000000"/>
        <rFont val="Calibri"/>
        <family val="2"/>
      </rPr>
      <t xml:space="preserve"> | 2/6 - KIT CLEAR</t>
    </r>
  </si>
  <si>
    <r>
      <rPr>
        <b/>
        <strike/>
        <sz val="11"/>
        <color rgb="FF000000"/>
        <rFont val="Calibri"/>
        <family val="2"/>
      </rPr>
      <t>2/4 - SHORT TOP SIDE F1.</t>
    </r>
    <r>
      <rPr>
        <b/>
        <sz val="11"/>
        <color rgb="FF000000"/>
        <rFont val="Calibri"/>
        <family val="2"/>
      </rPr>
      <t xml:space="preserve">.
</t>
    </r>
  </si>
  <si>
    <t>130883
NEW</t>
  </si>
  <si>
    <r>
      <rPr>
        <b/>
        <sz val="14"/>
        <color rgb="FF000000"/>
        <rFont val="Calibri"/>
        <family val="2"/>
      </rPr>
      <t xml:space="preserve">2/11
</t>
    </r>
    <r>
      <rPr>
        <b/>
        <sz val="14"/>
        <color rgb="FFFF0000"/>
        <rFont val="Calibri"/>
        <family val="2"/>
      </rPr>
      <t>3D</t>
    </r>
  </si>
  <si>
    <t>2/7 - BOT 6:00</t>
  </si>
  <si>
    <t>2/7 - BOT 10:00</t>
  </si>
  <si>
    <t>Hermeus</t>
  </si>
  <si>
    <t>SHORT, NO ETA 2/5</t>
  </si>
  <si>
    <r>
      <t>2/5 - U6 (THT) WAITING FOR CONFIRM.</t>
    </r>
    <r>
      <rPr>
        <b/>
        <sz val="11"/>
        <color rgb="FF000000"/>
        <rFont val="Calibri"/>
        <family val="2"/>
      </rPr>
      <t xml:space="preserve"> 2/5 - MATERIAL CLEAR
2/6 - KIT CLEAR</t>
    </r>
  </si>
  <si>
    <t xml:space="preserve">2/4 - SMT CLEAR ONCE PCBS ARRIVE
</t>
  </si>
  <si>
    <t>130946
NEW</t>
  </si>
  <si>
    <t>LEAD-FREE WASH PROCESS
U3,U4, LED1 SEE ECO FOR ORIENTATION
L2 PLACE AFTER WASH</t>
  </si>
  <si>
    <t>2/6 - TOP 2:00</t>
  </si>
  <si>
    <t>2/7 - AOI 9:00</t>
  </si>
  <si>
    <t>ECO, DRAWING &amp; PHOTO REVIEWED</t>
  </si>
  <si>
    <r>
      <rPr>
        <b/>
        <strike/>
        <sz val="11"/>
        <color rgb="FF000000"/>
        <rFont val="Calibri"/>
        <family val="2"/>
      </rPr>
      <t xml:space="preserve">SHORT, NO ETA </t>
    </r>
    <r>
      <rPr>
        <b/>
        <sz val="11"/>
        <color rgb="FF000000"/>
        <rFont val="Calibri"/>
        <family val="2"/>
      </rPr>
      <t>1/13 RECVD</t>
    </r>
  </si>
  <si>
    <r>
      <rPr>
        <b/>
        <strike/>
        <sz val="11"/>
        <color rgb="FF000000"/>
        <rFont val="Calibri"/>
        <family val="2"/>
      </rPr>
      <t xml:space="preserve">01/8 - SHORT J4 WITH NO ETA </t>
    </r>
    <r>
      <rPr>
        <b/>
        <sz val="11"/>
        <color rgb="FF000000"/>
        <rFont val="Calibri"/>
        <family val="2"/>
      </rPr>
      <t>1/13 - KIT CLEAR</t>
    </r>
  </si>
  <si>
    <t>130598
RONC 127900</t>
  </si>
  <si>
    <t>02/10
20D</t>
  </si>
  <si>
    <t>1/28 - BOT</t>
  </si>
  <si>
    <t>1/28 - AOI 1:30</t>
  </si>
  <si>
    <t xml:space="preserve">Respond Systems, Inc.
</t>
  </si>
  <si>
    <t>SHORT, NO ETA 2/6</t>
  </si>
  <si>
    <t>01/28 - MATERIAL CLEAR
2/5 - KIT CLEAR</t>
  </si>
  <si>
    <t>2/5 - AWT NEW STENCIL</t>
  </si>
  <si>
    <t>130667
ROWC 119574</t>
  </si>
  <si>
    <r>
      <rPr>
        <b/>
        <sz val="11"/>
        <color rgb="FF782170"/>
        <rFont val="Calibri"/>
        <family val="2"/>
      </rPr>
      <t xml:space="preserve">* KEEP ONE FRAME (AFTER DEPANEL) IN FOLDER
</t>
    </r>
    <r>
      <rPr>
        <b/>
        <sz val="11"/>
        <color rgb="FF000000"/>
        <rFont val="Calibri"/>
        <family val="2"/>
      </rPr>
      <t>LEAD FREE WASH
DEPANEL &amp; SAND</t>
    </r>
  </si>
  <si>
    <t>2/6 - BOT 2:00</t>
  </si>
  <si>
    <t>2/6 - AOI 11:00</t>
  </si>
  <si>
    <t>BOM 2 PARTS DNII TO LOAD
ECO REVIEWED</t>
  </si>
  <si>
    <r>
      <rPr>
        <b/>
        <strike/>
        <sz val="11"/>
        <color rgb="FF000000"/>
        <rFont val="Calibri"/>
        <family val="2"/>
      </rPr>
      <t>1/7 NO ETA 1/8- PCB DUE</t>
    </r>
    <r>
      <rPr>
        <b/>
        <sz val="11"/>
        <color rgb="FF000000"/>
        <rFont val="Calibri"/>
        <family val="2"/>
      </rPr>
      <t xml:space="preserve">| </t>
    </r>
    <r>
      <rPr>
        <b/>
        <strike/>
        <sz val="11"/>
        <color rgb="FF000000"/>
        <rFont val="Calibri"/>
        <family val="2"/>
      </rPr>
      <t>1/30-TRACKING RECVD, WAIT FOR ETA.</t>
    </r>
    <r>
      <rPr>
        <b/>
        <sz val="11"/>
        <color rgb="FF000000"/>
        <rFont val="Calibri"/>
        <family val="2"/>
      </rPr>
      <t xml:space="preserve"> 281PCS</t>
    </r>
  </si>
  <si>
    <t xml:space="preserve">1/7 - MATERIAL CLEAR
*WE WILL RECEVD &amp; BUILD PARTIAL OF PCB 279 PCS.  1/31 - RECVD </t>
  </si>
  <si>
    <t>1/30 - RUN PARTIAL, 281 (TAD)</t>
  </si>
  <si>
    <t>130116-1
PAR
NEW</t>
  </si>
  <si>
    <t>2/7 
5D</t>
  </si>
  <si>
    <r>
      <rPr>
        <b/>
        <strike/>
        <sz val="11"/>
        <color rgb="FF000000"/>
        <rFont val="Calibri"/>
        <family val="2"/>
      </rPr>
      <t>AS9011 FAIR REQUIRED</t>
    </r>
    <r>
      <rPr>
        <b/>
        <sz val="11"/>
        <color rgb="FF000000"/>
        <rFont val="Calibri"/>
        <family val="2"/>
      </rPr>
      <t xml:space="preserve"> (WAIVED)
DEPANEL
*Please make sure ECO is reviewed for  LED1</t>
    </r>
  </si>
  <si>
    <t>2/3 - TOP 2:30</t>
  </si>
  <si>
    <t>2/4 - AOI 9:30</t>
  </si>
  <si>
    <r>
      <rPr>
        <b/>
        <strike/>
        <sz val="11"/>
        <color rgb="FF000000"/>
        <rFont val="Calibri"/>
        <family val="2"/>
        <scheme val="minor"/>
      </rPr>
      <t xml:space="preserve">11/22 - KIT CLEAR
</t>
    </r>
    <r>
      <rPr>
        <b/>
        <sz val="11"/>
        <color rgb="FF000000"/>
        <rFont val="Calibri"/>
        <family val="2"/>
        <scheme val="minor"/>
      </rPr>
      <t>12/16 - SMT CLEAR
1/14 - btd boards</t>
    </r>
  </si>
  <si>
    <r>
      <t xml:space="preserve">. MULTIPLE CUT STRIPs (splice)
. MIN QTY TO SHIP 50 BY 12/21
. UNDERFILL DONE BY TAD
. THT ALIGNMENT TOOL/FIXTURE @CUSTOMER FOR MOD
12/4 - </t>
    </r>
    <r>
      <rPr>
        <sz val="11"/>
        <color rgb="FF000000"/>
        <rFont val="Calibri"/>
        <family val="2"/>
        <scheme val="minor"/>
      </rPr>
      <t xml:space="preserve">QTY 18 COMPLETE
</t>
    </r>
    <r>
      <rPr>
        <b/>
        <sz val="11"/>
        <color rgb="FF000000"/>
        <rFont val="Calibri"/>
        <family val="2"/>
        <scheme val="minor"/>
      </rPr>
      <t>12/4 -</t>
    </r>
    <r>
      <rPr>
        <sz val="11"/>
        <color rgb="FF000000"/>
        <rFont val="Calibri"/>
        <family val="2"/>
        <scheme val="minor"/>
      </rPr>
      <t xml:space="preserve"> QTY 64 COMPLETE</t>
    </r>
  </si>
  <si>
    <t>122789-
2ND-3
BAL
ROWC 1st Article</t>
  </si>
  <si>
    <r>
      <t xml:space="preserve">2/7
</t>
    </r>
    <r>
      <rPr>
        <b/>
        <strike/>
        <sz val="14"/>
        <color rgb="FF000000"/>
        <rFont val="Calibri"/>
        <family val="2"/>
        <scheme val="minor"/>
      </rPr>
      <t xml:space="preserve">12/21
</t>
    </r>
    <r>
      <rPr>
        <b/>
        <sz val="14"/>
        <color rgb="FF000000"/>
        <rFont val="Calibri"/>
        <family val="2"/>
        <scheme val="minor"/>
      </rPr>
      <t>10D</t>
    </r>
  </si>
  <si>
    <r>
      <rPr>
        <b/>
        <sz val="11"/>
        <color rgb="FF000000"/>
        <rFont val="Aptos Narrow"/>
        <family val="2"/>
      </rPr>
      <t xml:space="preserve">BTD boards
</t>
    </r>
    <r>
      <rPr>
        <b/>
        <sz val="11"/>
        <color rgb="FFFF0000"/>
        <rFont val="Aptos Narrow"/>
        <family val="2"/>
      </rPr>
      <t xml:space="preserve">CLASS 3
</t>
    </r>
    <r>
      <rPr>
        <b/>
        <sz val="11"/>
        <color rgb="FF000000"/>
        <rFont val="Aptos Narrow"/>
        <family val="2"/>
      </rPr>
      <t xml:space="preserve">LEAD WASH PROCESS
PER ECO NOTE 4 GOLD PLATING TO BE FREE OF SOLDER SPLASH
"J19 &amp; C171" - MAXIMUM COMPONENT HEIGHT 0.55(inch) AT J19 ON TOP SIDE AND 0.05(inch) AT C171
ON BOTTOM SIDE
</t>
    </r>
    <r>
      <rPr>
        <b/>
        <sz val="11"/>
        <color rgb="FFFF0000"/>
        <rFont val="Aptos Narrow"/>
        <family val="2"/>
      </rPr>
      <t>*** UNDERFILL REQUIRED FOR "XU1A, XU1B, XU2A, XU2B" PER ECO &amp; DWG
*** UNDERFILL REQUIRED FOR "C31, C48, U7, T1 &amp; PINS A1, A2 OF J19" PER ECO &amp; DWG</t>
    </r>
  </si>
  <si>
    <t>11/27 - BOT 9:30</t>
  </si>
  <si>
    <t>11/27 - TOP 2:30
12/2 - PAUSE 6:00
12/3 - TOP 3:00
12/4 - PAUSE 10:00
12/5 - TOP 8:00
12/6 - PAUSE 6:00
12/13 - TOP 6:00</t>
  </si>
  <si>
    <t>12/16 - AOI 12:30</t>
  </si>
  <si>
    <t xml:space="preserve">Duotech Services Inc
</t>
  </si>
  <si>
    <r>
      <rPr>
        <b/>
        <strike/>
        <sz val="11"/>
        <color rgb="FF000000"/>
        <rFont val="Calibri"/>
        <family val="2"/>
      </rPr>
      <t xml:space="preserve">NO ETA 1/23 - </t>
    </r>
    <r>
      <rPr>
        <b/>
        <sz val="11"/>
        <color rgb="FF000000"/>
        <rFont val="Calibri"/>
        <family val="2"/>
      </rPr>
      <t>RECVD</t>
    </r>
  </si>
  <si>
    <r>
      <t xml:space="preserve">01/13 - SHORT D1 &amp; U4 (SMT) WITH NO ETA 1/20 </t>
    </r>
    <r>
      <rPr>
        <b/>
        <sz val="11"/>
        <color rgb="FF000000"/>
        <rFont val="Calibri"/>
        <family val="2"/>
      </rPr>
      <t>1/27 - KIT CLEAR</t>
    </r>
  </si>
  <si>
    <t>130444
RONC 127823</t>
  </si>
  <si>
    <t>2/3 - BOT 8:00</t>
  </si>
  <si>
    <t>2/3 - TOP 9:30
2/3 - PAUSE 10:30
2/3 - TOP 1:30</t>
  </si>
  <si>
    <t>2/3 - AOI 2:30</t>
  </si>
  <si>
    <t>Genuen, LLC</t>
  </si>
  <si>
    <t>DOC REL 1/10</t>
  </si>
  <si>
    <r>
      <rPr>
        <b/>
        <strike/>
        <sz val="11"/>
        <color rgb="FF000000"/>
        <rFont val="Calibri"/>
        <family val="2"/>
      </rPr>
      <t>1/28 - SHORT U10, U5_1 and P1 (SMT) ,  J1_1 (THT) WITH NO ETA</t>
    </r>
    <r>
      <rPr>
        <b/>
        <sz val="11"/>
        <color rgb="FF000000"/>
        <rFont val="Calibri"/>
        <family val="2"/>
      </rPr>
      <t>. 1/31 - KIT CLEAR</t>
    </r>
  </si>
  <si>
    <t>130320
RONC 127246</t>
  </si>
  <si>
    <t>2/7
5D</t>
  </si>
  <si>
    <r>
      <rPr>
        <b/>
        <sz val="11"/>
        <color rgb="FF000000"/>
        <rFont val="Calibri"/>
        <family val="2"/>
      </rPr>
      <t xml:space="preserve">LEAD FREE WASH
NO </t>
    </r>
    <r>
      <rPr>
        <b/>
        <sz val="11"/>
        <color rgb="FF782170"/>
        <rFont val="Calibri"/>
        <family val="2"/>
      </rPr>
      <t>in-house</t>
    </r>
    <r>
      <rPr>
        <b/>
        <sz val="11"/>
        <color rgb="FF000000"/>
        <rFont val="Calibri"/>
        <family val="2"/>
      </rPr>
      <t xml:space="preserve"> LABLES OR VENDORSTAMPS</t>
    </r>
  </si>
  <si>
    <t>2/4 - TOP 9:30</t>
  </si>
  <si>
    <t>2/4 - AOI 11:00</t>
  </si>
  <si>
    <r>
      <rPr>
        <b/>
        <strike/>
        <sz val="10"/>
        <color rgb="FF000000"/>
        <rFont val="Calibri"/>
        <family val="2"/>
        <scheme val="minor"/>
      </rPr>
      <t xml:space="preserve">1/20 - ETA 1/21
</t>
    </r>
    <r>
      <rPr>
        <b/>
        <sz val="10"/>
        <color rgb="FF000000"/>
        <rFont val="Calibri"/>
        <family val="2"/>
        <scheme val="minor"/>
      </rPr>
      <t>1/23 - PCB REC'D &amp; G2G</t>
    </r>
  </si>
  <si>
    <t>9/26- KIT CLEAR
9/27 - NOT CLEAR</t>
  </si>
  <si>
    <t>10/23 - REMAKING PCB'S
1/29 - SMT BOT COMP</t>
  </si>
  <si>
    <t>127321-
1ST NEW</t>
  </si>
  <si>
    <r>
      <rPr>
        <b/>
        <sz val="14"/>
        <color rgb="FF000000"/>
        <rFont val="Calibri"/>
        <family val="2"/>
      </rPr>
      <t xml:space="preserve">2/6
</t>
    </r>
    <r>
      <rPr>
        <b/>
        <strike/>
        <sz val="14"/>
        <color rgb="FF000000"/>
        <rFont val="Calibri"/>
        <family val="2"/>
      </rPr>
      <t xml:space="preserve">10/10
</t>
    </r>
    <r>
      <rPr>
        <b/>
        <sz val="14"/>
        <color rgb="FF000000"/>
        <rFont val="Calibri"/>
        <family val="2"/>
      </rPr>
      <t>10D</t>
    </r>
  </si>
  <si>
    <r>
      <rPr>
        <b/>
        <strike/>
        <sz val="11"/>
        <color rgb="FF000000"/>
        <rFont val="Calibri"/>
        <family val="2"/>
      </rPr>
      <t xml:space="preserve">ON HOLD - TOO MANY VIA HOLES
</t>
    </r>
    <r>
      <rPr>
        <b/>
        <sz val="11"/>
        <color rgb="FF000000"/>
        <rFont val="Calibri"/>
        <family val="2"/>
      </rPr>
      <t>LEAD PROCESS
"S1" AFTER WASH
DEPANEL</t>
    </r>
  </si>
  <si>
    <t>1/29 - BOT 8:00
1/29 - PAUSE 9:00
1/29 - BOT 11:30</t>
  </si>
  <si>
    <t>1/29 - TOP 12:30</t>
  </si>
  <si>
    <t>1/30 - AOI</t>
  </si>
  <si>
    <r>
      <rPr>
        <b/>
        <strike/>
        <sz val="11"/>
        <color rgb="FF000000"/>
        <rFont val="Calibri"/>
        <family val="2"/>
      </rPr>
      <t xml:space="preserve">1/22 - MATL SHOULD CLEAR 1/24
</t>
    </r>
    <r>
      <rPr>
        <b/>
        <sz val="11"/>
        <color rgb="FF000000"/>
        <rFont val="Calibri"/>
        <family val="2"/>
      </rPr>
      <t>1/27 - KIT CLEAR</t>
    </r>
  </si>
  <si>
    <t>1/22 - RE-MAKE (PREVIOUS RAN LEAD, RE-MAKE LEAD-FREE)
1/29 - SMT BOT COMPLETE</t>
  </si>
  <si>
    <t>130838
127980-RM
NEW</t>
  </si>
  <si>
    <t>2/6
5D</t>
  </si>
  <si>
    <r>
      <rPr>
        <b/>
        <sz val="11"/>
        <color rgb="FF000000"/>
        <rFont val="Calibri"/>
        <family val="2"/>
      </rPr>
      <t xml:space="preserve">CLASS 3
</t>
    </r>
    <r>
      <rPr>
        <b/>
        <sz val="14"/>
        <color rgb="FF000000"/>
        <rFont val="Calibri"/>
        <family val="2"/>
      </rPr>
      <t>LEAD FREE</t>
    </r>
    <r>
      <rPr>
        <b/>
        <sz val="11"/>
        <color rgb="FF000000"/>
        <rFont val="Calibri"/>
        <family val="2"/>
      </rPr>
      <t xml:space="preserve"> WASH PROCESS
POST BAKE BOARDS FOR 30 MIN IF WASHED
MECH REQUIRED
</t>
    </r>
    <r>
      <rPr>
        <b/>
        <sz val="11"/>
        <color rgb="FF782170"/>
        <rFont val="Calibri"/>
        <family val="2"/>
      </rPr>
      <t xml:space="preserve">Q1 BEND PER ECO 14
</t>
    </r>
    <r>
      <rPr>
        <b/>
        <sz val="11"/>
        <color rgb="FF000000"/>
        <rFont val="Calibri"/>
        <family val="2"/>
      </rPr>
      <t>"D1" HEIGHT REQ PER ECO
"CNB" REMOVE 4 PINS PER ECO
THERMAL GREASE REQ PER ECO
RTV REQ PER ECO</t>
    </r>
  </si>
  <si>
    <t>1/29 - BOT 10:00
1/29 - PAUSE 11:30</t>
  </si>
  <si>
    <t>1/30 - TOP</t>
  </si>
  <si>
    <t>1/30 - AOI 10:30</t>
  </si>
  <si>
    <t xml:space="preserve">Toshiba International Corp.
</t>
  </si>
  <si>
    <t>ECO NEED REVIEW
RTV (GE Silicon RTV 162 ) &amp; THERMAL GREASE REQ</t>
  </si>
  <si>
    <t>01/8</t>
  </si>
  <si>
    <r>
      <rPr>
        <b/>
        <strike/>
        <sz val="11"/>
        <color rgb="FF000000"/>
        <rFont val="Calibri"/>
        <family val="2"/>
        <scheme val="minor"/>
      </rPr>
      <t>12/6 &amp; AFTER |ETA 1/17</t>
    </r>
    <r>
      <rPr>
        <b/>
        <sz val="11"/>
        <color rgb="FF000000"/>
        <rFont val="Calibri"/>
        <family val="2"/>
        <scheme val="minor"/>
      </rPr>
      <t xml:space="preserve"> |1/20- RECVD 85 PCS, ASK FOR ETA OF 5PCS</t>
    </r>
  </si>
  <si>
    <r>
      <rPr>
        <b/>
        <strike/>
        <sz val="11"/>
        <color rgb="FF000000"/>
        <rFont val="Calibri"/>
        <family val="2"/>
        <scheme val="minor"/>
      </rPr>
      <t xml:space="preserve">11/20 - PCB DUE / SHORT 14 SMT ITEMS WITH NO ETA (SHORT STRIPS, REQUESTED FOR ATTRITION) 11/22 - WAITING FOR PCB ETA AND UPDATE PO FOR SHORT STRIPS )
11/27 - SHORT PCB WITH NO ETA </t>
    </r>
    <r>
      <rPr>
        <b/>
        <sz val="11"/>
        <color rgb="FF000000"/>
        <rFont val="Calibri"/>
        <family val="2"/>
        <scheme val="minor"/>
      </rPr>
      <t>GUESSING PCB WILL BE DUE SOMETIME IN BETWEEN 12/6 AND AFTER.
1/29 - kit clear and PO change from 110 to 105</t>
    </r>
  </si>
  <si>
    <t>1/31 - smt comp 15 boards 9:00
1/31 - SMT 10 BOARDS / 1HR15MIN
1/31 - SMT 20 BOARDS / HR</t>
  </si>
  <si>
    <t>129215-2
BAL
ROWC 123853 2nd Article</t>
  </si>
  <si>
    <t>2/5
5D</t>
  </si>
  <si>
    <r>
      <rPr>
        <b/>
        <sz val="11"/>
        <color rgb="FF000000"/>
        <rFont val="Calibri"/>
        <family val="2"/>
        <scheme val="minor"/>
      </rPr>
      <t xml:space="preserve">XRAY &amp; SAVE IMAGES
DEPANEL &amp; SAND - NO MOUSE BITES - NEED TO CUT &amp; SAND
NO LABELS REQUIRED
</t>
    </r>
    <r>
      <rPr>
        <b/>
        <sz val="11"/>
        <color rgb="FF782170"/>
        <rFont val="Calibri"/>
        <family val="2"/>
        <scheme val="minor"/>
      </rPr>
      <t>TEMPORARY LABELS FOR XRAY SAVED IMAGES OK – TAD</t>
    </r>
  </si>
  <si>
    <t>1/31 - TOP 6:00</t>
  </si>
  <si>
    <t>1/31 - AOI 2:00</t>
  </si>
  <si>
    <r>
      <rPr>
        <b/>
        <strike/>
        <sz val="11"/>
        <color rgb="FF000000"/>
        <rFont val="Calibri"/>
        <family val="2"/>
      </rPr>
      <t xml:space="preserve">12/30 - NO ETA </t>
    </r>
    <r>
      <rPr>
        <b/>
        <sz val="11"/>
        <color rgb="FF000000"/>
        <rFont val="Calibri"/>
        <family val="2"/>
      </rPr>
      <t>1/22- RECVD</t>
    </r>
  </si>
  <si>
    <t>1/22 - KIT CLEAR
1/28 - LARGE PCB</t>
  </si>
  <si>
    <t>2/TUAN</t>
  </si>
  <si>
    <t>129511
NEW</t>
  </si>
  <si>
    <t>02/5
10D</t>
  </si>
  <si>
    <t>1/28 - BOT 10:00</t>
  </si>
  <si>
    <t>1/28 - TOP 11:30</t>
  </si>
  <si>
    <t>1/28 - AOI 2:30</t>
  </si>
  <si>
    <t>ECO REVIEWED
NOTIFY ROBERT BEFORE WASH BOARDS</t>
  </si>
  <si>
    <t>01/23 - RECVD</t>
  </si>
  <si>
    <r>
      <rPr>
        <b/>
        <strike/>
        <sz val="11"/>
        <color rgb="FF000000"/>
        <rFont val="Calibri"/>
        <family val="2"/>
        <scheme val="minor"/>
      </rPr>
      <t xml:space="preserve">1/23 - SHORT M3, M5 (THT), U17 &amp; U28 (SMT) WAITING FOR CONFIRM.
</t>
    </r>
    <r>
      <rPr>
        <b/>
        <sz val="11"/>
        <color rgb="FF000000"/>
        <rFont val="Calibri"/>
        <family val="2"/>
        <scheme val="minor"/>
      </rPr>
      <t>1/29 - SMT CLEAR
1/31 - KIT CLEAR</t>
    </r>
  </si>
  <si>
    <r>
      <rPr>
        <b/>
        <strike/>
        <sz val="10"/>
        <color rgb="FFFF0000"/>
        <rFont val="Calibri"/>
        <family val="2"/>
        <scheme val="minor"/>
      </rPr>
      <t xml:space="preserve">1/23 - WILL CLEAR (SMT) SOON
1/29 - SMT CLEAR
</t>
    </r>
    <r>
      <rPr>
        <b/>
        <sz val="10"/>
        <color rgb="FFFF0000"/>
        <rFont val="Calibri"/>
        <family val="2"/>
        <scheme val="minor"/>
      </rPr>
      <t>1/31 - 70% SMT SOLDER FILL FOR NO BRIDGING; SMT TOP MACHINE BALANCED</t>
    </r>
  </si>
  <si>
    <t>130070-1ST
NEW</t>
  </si>
  <si>
    <r>
      <rPr>
        <b/>
        <sz val="11"/>
        <color rgb="FFFF0000"/>
        <rFont val="Calibri"/>
        <family val="2"/>
        <scheme val="minor"/>
      </rPr>
      <t xml:space="preserve">CLASS 3
</t>
    </r>
    <r>
      <rPr>
        <b/>
        <sz val="11"/>
        <color rgb="FF000000"/>
        <rFont val="Calibri"/>
        <family val="2"/>
        <scheme val="minor"/>
      </rPr>
      <t xml:space="preserve">LEAD FREE WASH PROCESS
"BT1, M5, M25, M3, U33" AFTER WASH
FAIR REQ
XRAY &amp; SAVE IMAGES
DEPANEL &amp; SAND PER ECO NOTE 3
LIST SERIAL NUMBERS ON CofC
QR CODE REQ ON ESD BAG PER ASSY DRAWING
SPLIT SHIPMENT - QTY 2 FA TO INDUSTRIALEX / QTY 3 FA &amp; FAIR TO ANDURIL
</t>
    </r>
    <r>
      <rPr>
        <b/>
        <sz val="11"/>
        <color rgb="FF782170"/>
        <rFont val="Calibri"/>
        <family val="2"/>
        <scheme val="minor"/>
      </rPr>
      <t>ESD STICKER ON ESD BAG</t>
    </r>
  </si>
  <si>
    <t>1/31 - BOT 10:30</t>
  </si>
  <si>
    <t>2/3 - AOI 8:00</t>
  </si>
  <si>
    <t>ECO / DRAWING REVIEWED
S/N IN CofC</t>
  </si>
  <si>
    <t>1/29 - ETA 2/4</t>
  </si>
  <si>
    <r>
      <rPr>
        <b/>
        <strike/>
        <sz val="11"/>
        <color rgb="FF000000"/>
        <rFont val="Calibri"/>
        <family val="2"/>
      </rPr>
      <t>1/13 - SHORT Y1 (SMT) WITH NO ETA|</t>
    </r>
    <r>
      <rPr>
        <b/>
        <sz val="11"/>
        <color rgb="FF000000"/>
        <rFont val="Calibri"/>
        <family val="2"/>
      </rPr>
      <t xml:space="preserve"> 1/31 - KIT CLEAR</t>
    </r>
  </si>
  <si>
    <t>129740
NEW</t>
  </si>
  <si>
    <r>
      <rPr>
        <b/>
        <sz val="14"/>
        <color rgb="FF000000"/>
        <rFont val="Calibri"/>
        <family val="2"/>
      </rPr>
      <t xml:space="preserve">02/5
</t>
    </r>
    <r>
      <rPr>
        <b/>
        <sz val="14"/>
        <color rgb="FFFF0000"/>
        <rFont val="Calibri"/>
        <family val="2"/>
      </rPr>
      <t>3D</t>
    </r>
  </si>
  <si>
    <t>CLASS 3
MOUNT T/H FLUSH TO BOARD
DEPANEL</t>
  </si>
  <si>
    <t>2/3 - BOT 10:30</t>
  </si>
  <si>
    <t>2/3 - TOP 11:30</t>
  </si>
  <si>
    <t>2/3 - AOI 1:30</t>
  </si>
  <si>
    <r>
      <rPr>
        <b/>
        <sz val="11"/>
        <color rgb="FF000000"/>
        <rFont val="Calibri"/>
        <family val="2"/>
        <scheme val="minor"/>
      </rPr>
      <t xml:space="preserve">. MULTIPLE CUT STRIPs (splice)
. MIN QTY TO SHIP 50 BY 12/21
. UNDERFILL DONE BY TAD
. THT ALIGNMENT TOOL/FIXTURE @CUSTOMER FOR MOD
12/4 - </t>
    </r>
    <r>
      <rPr>
        <sz val="11"/>
        <color rgb="FF000000"/>
        <rFont val="Calibri"/>
        <family val="2"/>
        <scheme val="minor"/>
      </rPr>
      <t xml:space="preserve">QTY 18 COMPLETE
</t>
    </r>
    <r>
      <rPr>
        <b/>
        <sz val="11"/>
        <color rgb="FF000000"/>
        <rFont val="Calibri"/>
        <family val="2"/>
        <scheme val="minor"/>
      </rPr>
      <t>12/4 -</t>
    </r>
    <r>
      <rPr>
        <sz val="11"/>
        <color rgb="FF000000"/>
        <rFont val="Calibri"/>
        <family val="2"/>
        <scheme val="minor"/>
      </rPr>
      <t xml:space="preserve"> QTY 64 COMPLETE</t>
    </r>
  </si>
  <si>
    <t>122789-
2ND-2
PAR
ROWC 1st Article</t>
  </si>
  <si>
    <r>
      <rPr>
        <b/>
        <sz val="14"/>
        <color rgb="FF000000"/>
        <rFont val="Calibri"/>
        <family val="2"/>
        <scheme val="minor"/>
      </rPr>
      <t xml:space="preserve">???
</t>
    </r>
    <r>
      <rPr>
        <b/>
        <strike/>
        <sz val="14"/>
        <color rgb="FF000000"/>
        <rFont val="Calibri"/>
        <family val="2"/>
        <scheme val="minor"/>
      </rPr>
      <t xml:space="preserve">1/16
12/21
</t>
    </r>
    <r>
      <rPr>
        <b/>
        <sz val="14"/>
        <color rgb="FF000000"/>
        <rFont val="Calibri"/>
        <family val="2"/>
        <scheme val="minor"/>
      </rPr>
      <t>10D</t>
    </r>
  </si>
  <si>
    <r>
      <rPr>
        <b/>
        <sz val="11"/>
        <color rgb="FF000000"/>
        <rFont val="Aptos Narrow"/>
        <family val="2"/>
      </rPr>
      <t xml:space="preserve">Short Only J19 boards
</t>
    </r>
    <r>
      <rPr>
        <b/>
        <sz val="11"/>
        <color rgb="FFFF0000"/>
        <rFont val="Aptos Narrow"/>
        <family val="2"/>
      </rPr>
      <t xml:space="preserve">CLASS 3
</t>
    </r>
    <r>
      <rPr>
        <b/>
        <sz val="11"/>
        <color rgb="FF000000"/>
        <rFont val="Aptos Narrow"/>
        <family val="2"/>
      </rPr>
      <t xml:space="preserve">LEAD WASH PROCESS
PER ECO NOTE 4 GOLD PLATING TO BE FREE OF SOLDER SPLASH
"J19 &amp; C171" - MAXIMUM COMPONENT HEIGHT 0.55(inch) AT J19 ON TOP SIDE AND 0.05(inch) AT C171
ON BOTTOM SIDE
</t>
    </r>
    <r>
      <rPr>
        <b/>
        <sz val="11"/>
        <color rgb="FFFF0000"/>
        <rFont val="Aptos Narrow"/>
        <family val="2"/>
      </rPr>
      <t>*** UNDERFILL REQUIRED FOR "XU1A, XU1B, XU2A, XU2B" PER ECO &amp; DWG
*** UNDERFILL REQUIRED FOR "C31, C48, U7, T1 &amp; PINS A1, A2 OF J19" PER ECO &amp; DWG</t>
    </r>
  </si>
  <si>
    <r>
      <rPr>
        <b/>
        <strike/>
        <sz val="11"/>
        <color rgb="FF000000"/>
        <rFont val="Calibri"/>
        <family val="2"/>
      </rPr>
      <t>SHORT, NO ETA</t>
    </r>
    <r>
      <rPr>
        <b/>
        <sz val="11"/>
        <color rgb="FF000000"/>
        <rFont val="Calibri"/>
        <family val="2"/>
      </rPr>
      <t xml:space="preserve"> | 1/15 - RECVD</t>
    </r>
  </si>
  <si>
    <r>
      <rPr>
        <b/>
        <strike/>
        <sz val="10"/>
        <color rgb="FF000000"/>
        <rFont val="Calibri"/>
        <family val="2"/>
      </rPr>
      <t xml:space="preserve">1/14 - SHORT U86_1 (48pcs WILL BE HERE EOD 1/22), U88, L39_1, R242 (SMT) J9 (THT) WITH NO ETA | U25 and U26 WAITING FOR CONFIRM. </t>
    </r>
    <r>
      <rPr>
        <b/>
        <sz val="10"/>
        <color rgb="FF000000"/>
        <rFont val="Calibri"/>
        <family val="2"/>
      </rPr>
      <t xml:space="preserve">01/23 - KIT CLEAR </t>
    </r>
    <r>
      <rPr>
        <b/>
        <strike/>
        <sz val="10"/>
        <color rgb="FFFF0000"/>
        <rFont val="Calibri"/>
        <family val="2"/>
      </rPr>
      <t xml:space="preserve">*CUSTOMER UPDATE BOM, MAY NEED TO ADD REWORK FOR THE DIFFERENCE. </t>
    </r>
    <r>
      <rPr>
        <b/>
        <sz val="10"/>
        <color rgb="FFFF0000"/>
        <rFont val="Calibri"/>
        <family val="2"/>
      </rPr>
      <t>1/28 - J29 RECVD, KIT CLEAR</t>
    </r>
  </si>
  <si>
    <t>1/22 - ok to skip shortages #67 (U86_1...)</t>
  </si>
  <si>
    <t>129223
NEW</t>
  </si>
  <si>
    <r>
      <rPr>
        <b/>
        <sz val="14"/>
        <color rgb="FF000000"/>
        <rFont val="Calibri"/>
        <family val="2"/>
      </rPr>
      <t xml:space="preserve">2/4
</t>
    </r>
    <r>
      <rPr>
        <b/>
        <strike/>
        <sz val="14"/>
        <color rgb="FF000000"/>
        <rFont val="Calibri"/>
        <family val="2"/>
      </rPr>
      <t xml:space="preserve">WTG FOR "J29"
01/30
</t>
    </r>
    <r>
      <rPr>
        <b/>
        <sz val="14"/>
        <color rgb="FF000000"/>
        <rFont val="Calibri"/>
        <family val="2"/>
      </rPr>
      <t>5D</t>
    </r>
  </si>
  <si>
    <r>
      <rPr>
        <b/>
        <sz val="11"/>
        <color rgb="FF000000"/>
        <rFont val="Calibri"/>
        <family val="2"/>
      </rPr>
      <t xml:space="preserve">DEPANEL
SEE ECO NOTE 5 FOR CofC
</t>
    </r>
    <r>
      <rPr>
        <b/>
        <sz val="11"/>
        <color rgb="FF782170"/>
        <rFont val="Calibri"/>
        <family val="2"/>
      </rPr>
      <t>CARE WHEN PACKING
&amp; MATCHING LABEL ON BOARD + BAG</t>
    </r>
  </si>
  <si>
    <t>1/22 - BOT 10:00</t>
  </si>
  <si>
    <t>1/23 - TOP 8:30</t>
  </si>
  <si>
    <t>1/23 - aoi 1:30</t>
  </si>
  <si>
    <t xml:space="preserve">Bausch &amp; Lomb
</t>
  </si>
  <si>
    <r>
      <t xml:space="preserve">SHORT, NO ETA 1/24 </t>
    </r>
    <r>
      <rPr>
        <b/>
        <sz val="11"/>
        <color rgb="FF000000"/>
        <rFont val="Calibri"/>
        <family val="2"/>
      </rPr>
      <t>1/21 -RECVD</t>
    </r>
  </si>
  <si>
    <t>1/14 - MATERIAL CLEAR
1/21 - KIT CLEAR</t>
  </si>
  <si>
    <t>127003
RONC 130732</t>
  </si>
  <si>
    <t>02/4
10D</t>
  </si>
  <si>
    <t>1/28 - BOT 10:30</t>
  </si>
  <si>
    <t>1/28 - TOP</t>
  </si>
  <si>
    <t>1/28 - TOP 1:30</t>
  </si>
  <si>
    <t>SHORT, NO ETA 1/24</t>
  </si>
  <si>
    <t>1/14 - MATERIAL CLEAR 
1/17 - KIT CLEAR</t>
  </si>
  <si>
    <t>129206
RONC 130735</t>
  </si>
  <si>
    <t>01/31
10D</t>
  </si>
  <si>
    <t>1/29 - aoi</t>
  </si>
  <si>
    <t>SHORT, NO ETA 1/30
1/29 - pcb recv'd</t>
  </si>
  <si>
    <r>
      <t xml:space="preserve">1/24 - SHORT 3 pcs JP200 (THT) WITH NO ETA.  </t>
    </r>
    <r>
      <rPr>
        <b/>
        <sz val="11"/>
        <color rgb="FF000000"/>
        <rFont val="Calibri"/>
        <family val="2"/>
      </rPr>
      <t>1/28 - MATERIAL CLEAR
1/29 - KIT CLEAR</t>
    </r>
  </si>
  <si>
    <t>1/29 - NEED NEW STENCIL
1/30 - TOO MUCH SOLDER ON JP200..</t>
  </si>
  <si>
    <t>130801
NEW</t>
  </si>
  <si>
    <r>
      <rPr>
        <b/>
        <sz val="14"/>
        <color rgb="FF000000"/>
        <rFont val="Calibri"/>
        <family val="2"/>
      </rPr>
      <t xml:space="preserve">1/31
</t>
    </r>
    <r>
      <rPr>
        <b/>
        <sz val="14"/>
        <color rgb="FFFF0000"/>
        <rFont val="Calibri"/>
        <family val="2"/>
      </rPr>
      <t>2D</t>
    </r>
  </si>
  <si>
    <t>1/29 - BOT 12:30</t>
  </si>
  <si>
    <t>1/29 - TOP 8:00</t>
  </si>
  <si>
    <t>1/30 - AOI 4:30</t>
  </si>
  <si>
    <t>1/24</t>
  </si>
  <si>
    <r>
      <rPr>
        <b/>
        <strike/>
        <sz val="11"/>
        <color rgb="FF000000"/>
        <rFont val="Calibri"/>
        <family val="2"/>
      </rPr>
      <t xml:space="preserve">1/23 DUE
</t>
    </r>
    <r>
      <rPr>
        <b/>
        <sz val="11"/>
        <color rgb="FF000000"/>
        <rFont val="Calibri"/>
        <family val="2"/>
      </rPr>
      <t>1/15 - RECVD</t>
    </r>
  </si>
  <si>
    <t>1/15 - KIT CLEAR</t>
  </si>
  <si>
    <t>1/23 - SMT QTY 40 BOT COMP
1/29 - 1 PANEL (2 BOARDS) MISSING V-SCORE</t>
  </si>
  <si>
    <t>130436-2
BAL
RONC 115421</t>
  </si>
  <si>
    <r>
      <rPr>
        <b/>
        <sz val="14"/>
        <color rgb="FF000000"/>
        <rFont val="Calibri"/>
        <family val="2"/>
      </rPr>
      <t xml:space="preserve">???
</t>
    </r>
    <r>
      <rPr>
        <b/>
        <strike/>
        <sz val="14"/>
        <color rgb="FF000000"/>
        <rFont val="Calibri"/>
        <family val="2"/>
      </rPr>
      <t xml:space="preserve">01/29
</t>
    </r>
    <r>
      <rPr>
        <b/>
        <sz val="14"/>
        <color rgb="FF000000"/>
        <rFont val="Calibri"/>
        <family val="2"/>
      </rPr>
      <t>10D</t>
    </r>
  </si>
  <si>
    <t>"HDR1" INSTALL ON BOT SIDE PER ECO
"LED1-LED9" ALIGN PER ECO PRIOR TO SOLDERING</t>
  </si>
  <si>
    <t>1/23 - BOT 12:30</t>
  </si>
  <si>
    <t>1/24 - TOP 8:00</t>
  </si>
  <si>
    <t>1/24 - AOI 10:00</t>
  </si>
  <si>
    <t>1/29 - depanel issue
1/30 - Depanel not necessary --- mark bag before shipping</t>
  </si>
  <si>
    <t>DOC REL 12/31</t>
  </si>
  <si>
    <t>01/3</t>
  </si>
  <si>
    <t>NO ETA
12/30 RECEVD</t>
  </si>
  <si>
    <r>
      <rPr>
        <b/>
        <sz val="11"/>
        <color rgb="FF000000"/>
        <rFont val="Calibri"/>
        <family val="2"/>
      </rPr>
      <t xml:space="preserve">12/26 - SHORT </t>
    </r>
    <r>
      <rPr>
        <b/>
        <strike/>
        <sz val="11"/>
        <color rgb="FF000000"/>
        <rFont val="Calibri"/>
        <family val="2"/>
      </rPr>
      <t>Y1, Y2 &amp;</t>
    </r>
    <r>
      <rPr>
        <b/>
        <sz val="11"/>
        <color rgb="FF000000"/>
        <rFont val="Calibri"/>
        <family val="2"/>
      </rPr>
      <t xml:space="preserve"> </t>
    </r>
    <r>
      <rPr>
        <b/>
        <strike/>
        <sz val="11"/>
        <color rgb="FF000000"/>
        <rFont val="Calibri"/>
        <family val="2"/>
      </rPr>
      <t xml:space="preserve">T1 WITH NO ETA 1/2 | </t>
    </r>
    <r>
      <rPr>
        <b/>
        <sz val="11"/>
        <color rgb="FF000000"/>
        <rFont val="Calibri"/>
        <family val="2"/>
      </rPr>
      <t xml:space="preserve">01/2 - KIT CLEAR </t>
    </r>
  </si>
  <si>
    <t>1/10 - job setup for any line in need
1/24 - SMT BOT Qty 140 comp</t>
  </si>
  <si>
    <t>128664
NEW</t>
  </si>
  <si>
    <t>PLEASE REVIEW ALL CUSTOMER SUPPLIED DOCS ON THE "T" DRIVE
DEPANEL
SHIP EXCESS MATL BACK W/ BOARDS</t>
  </si>
  <si>
    <t>1/24 - BOT 10:00</t>
  </si>
  <si>
    <t>1/27 - TOP 7:30</t>
  </si>
  <si>
    <t>1/27 - AOI 1:00</t>
  </si>
  <si>
    <r>
      <t xml:space="preserve">SHORT, NO ETA 1/31 </t>
    </r>
    <r>
      <rPr>
        <b/>
        <sz val="11"/>
        <color rgb="FF000000"/>
        <rFont val="Calibri"/>
        <family val="2"/>
      </rPr>
      <t>1-24 -RECVD</t>
    </r>
  </si>
  <si>
    <r>
      <t xml:space="preserve">1/14 - SHORT U706 and DS600 (SMT) WITH NO ETA. </t>
    </r>
    <r>
      <rPr>
        <b/>
        <sz val="11"/>
        <color rgb="FF000000"/>
        <rFont val="Calibri"/>
        <family val="2"/>
      </rPr>
      <t>1/24 - KIT CLEAR</t>
    </r>
  </si>
  <si>
    <t>129741
NEW</t>
  </si>
  <si>
    <r>
      <rPr>
        <b/>
        <sz val="14"/>
        <color rgb="FF000000"/>
        <rFont val="Calibri"/>
        <family val="2"/>
      </rPr>
      <t xml:space="preserve">1/30
</t>
    </r>
    <r>
      <rPr>
        <b/>
        <strike/>
        <sz val="14"/>
        <color rgb="FF000000"/>
        <rFont val="Calibri"/>
        <family val="2"/>
      </rPr>
      <t xml:space="preserve">01/29
</t>
    </r>
    <r>
      <rPr>
        <b/>
        <sz val="14"/>
        <color rgb="FFFF0000"/>
        <rFont val="Calibri"/>
        <family val="2"/>
      </rPr>
      <t>3D</t>
    </r>
  </si>
  <si>
    <r>
      <rPr>
        <b/>
        <sz val="11"/>
        <color rgb="FFFF0000"/>
        <rFont val="Calibri"/>
        <family val="2"/>
      </rPr>
      <t xml:space="preserve">CLASS 3
</t>
    </r>
    <r>
      <rPr>
        <b/>
        <sz val="11"/>
        <color rgb="FF000000"/>
        <rFont val="Calibri"/>
        <family val="2"/>
      </rPr>
      <t>"U800, U804" HAND SOLDER PER ECO
PRESS FIT REQ
DEPANEL</t>
    </r>
  </si>
  <si>
    <t>1/27 - BOT</t>
  </si>
  <si>
    <t>1/27 - TOP 8:30</t>
  </si>
  <si>
    <t>1/27 - AOI 11:30</t>
  </si>
  <si>
    <r>
      <t>SHORT, NO ETA 1/27</t>
    </r>
    <r>
      <rPr>
        <b/>
        <sz val="11"/>
        <color rgb="FF000000"/>
        <rFont val="Calibri"/>
        <family val="2"/>
      </rPr>
      <t xml:space="preserve"> 1/24 RECVD</t>
    </r>
  </si>
  <si>
    <r>
      <t xml:space="preserve">1/14 - SHORT U1301 (SMT) and P1 (THT) WITH NO ETA. </t>
    </r>
    <r>
      <rPr>
        <b/>
        <sz val="11"/>
        <color rgb="FF000000"/>
        <rFont val="Calibri"/>
        <family val="2"/>
      </rPr>
      <t>1/24-KIT CLEAR</t>
    </r>
  </si>
  <si>
    <t>130238
NEW</t>
  </si>
  <si>
    <r>
      <rPr>
        <b/>
        <sz val="14"/>
        <color rgb="FF000000"/>
        <rFont val="Calibri"/>
        <family val="2"/>
      </rPr>
      <t xml:space="preserve">01/29
</t>
    </r>
    <r>
      <rPr>
        <b/>
        <sz val="14"/>
        <color rgb="FFFF0000"/>
        <rFont val="Calibri"/>
        <family val="2"/>
      </rPr>
      <t>3D</t>
    </r>
  </si>
  <si>
    <r>
      <rPr>
        <b/>
        <sz val="11"/>
        <color rgb="FF000000"/>
        <rFont val="Calibri"/>
        <family val="2"/>
      </rPr>
      <t xml:space="preserve">LEAD WASH
</t>
    </r>
    <r>
      <rPr>
        <b/>
        <u/>
        <sz val="14"/>
        <color rgb="FFFF0000"/>
        <rFont val="Calibri"/>
        <family val="2"/>
      </rPr>
      <t>"P1,P2" ARE FASTENSED BY RIVETS - 1/21 RIVETS NOT REQUIRED PER CUST - PLEASE DO NOT LOSE THE RIVETS</t>
    </r>
  </si>
  <si>
    <t>1/28 - TOP 8:30</t>
  </si>
  <si>
    <t>1/28 - AOI 11:00</t>
  </si>
  <si>
    <t>Scientific Research Corporation</t>
  </si>
  <si>
    <t>01/14</t>
  </si>
  <si>
    <r>
      <rPr>
        <b/>
        <strike/>
        <sz val="11"/>
        <color rgb="FF000000"/>
        <rFont val="Calibri"/>
        <family val="2"/>
      </rPr>
      <t xml:space="preserve">DUE 2/4
</t>
    </r>
    <r>
      <rPr>
        <b/>
        <sz val="11"/>
        <color rgb="FF000000"/>
        <rFont val="Calibri"/>
        <family val="2"/>
      </rPr>
      <t>1/24 -RECVD</t>
    </r>
  </si>
  <si>
    <t>1/16 - MATERIAL CLEAR
1/24 - KIT CLEAR</t>
  </si>
  <si>
    <t>129739
NEW</t>
  </si>
  <si>
    <r>
      <rPr>
        <b/>
        <sz val="11"/>
        <color rgb="FFFF0000"/>
        <rFont val="Calibri"/>
        <family val="2"/>
      </rPr>
      <t xml:space="preserve">CLASS 3
</t>
    </r>
    <r>
      <rPr>
        <b/>
        <sz val="11"/>
        <color rgb="FF000000"/>
        <rFont val="Calibri"/>
        <family val="2"/>
      </rPr>
      <t>DEPANEL</t>
    </r>
  </si>
  <si>
    <t>1/27 - BOT 1:00</t>
  </si>
  <si>
    <t>1/28 - AOI</t>
  </si>
  <si>
    <t>ECO / DRAWING REVIEWED.  MECH ITMS DNI'D</t>
  </si>
  <si>
    <t>SHORT, ETA 1/15</t>
  </si>
  <si>
    <r>
      <rPr>
        <b/>
        <strike/>
        <sz val="11"/>
        <color rgb="FF000000"/>
        <rFont val="Calibri"/>
        <family val="2"/>
      </rPr>
      <t>SHORT J1 &amp; GP1 (THT) WITH ETA 1/15</t>
    </r>
    <r>
      <rPr>
        <b/>
        <sz val="11"/>
        <color rgb="FF000000"/>
        <rFont val="Calibri"/>
        <family val="2"/>
      </rPr>
      <t xml:space="preserve"> | 1/15 - KIT CLEAR</t>
    </r>
  </si>
  <si>
    <t>1/24 - SMT BOT Qty 2 comp
1/27 - smt qty 3 complete</t>
  </si>
  <si>
    <t>130483
NEW</t>
  </si>
  <si>
    <t>1/29 
10D</t>
  </si>
  <si>
    <r>
      <rPr>
        <b/>
        <u/>
        <sz val="14"/>
        <color rgb="FFFF0000"/>
        <rFont val="Calibri"/>
        <family val="2"/>
      </rPr>
      <t xml:space="preserve">*** CUT TRACE PER ECO BEFORE SOLDERING "U12"
</t>
    </r>
    <r>
      <rPr>
        <b/>
        <sz val="11"/>
        <color rgb="FF000000"/>
        <rFont val="Calibri"/>
        <family val="2"/>
      </rPr>
      <t>ALPHA WS-820 LEAD FREE SOLDER REQUIRED OER ECO
BOARDS MUST BE FREE &amp; CLEAN OF DEBRIS
SOLDER JUMBER WIRES AFTER REFOW
DEPANEL</t>
    </r>
  </si>
  <si>
    <t>1/24 - BOT 12:30</t>
  </si>
  <si>
    <t>1/27 - TOP</t>
  </si>
  <si>
    <t>Samtec</t>
  </si>
  <si>
    <t>EMAIL ROBERT DAY BEFORE RUN ABOUT U12
ECO &amp; DRAWING REVIEWED</t>
  </si>
  <si>
    <t>1/23 - SMT QTY 40 BOT COMP
1/29 - 2 BOARDS MISSING VSCORE</t>
  </si>
  <si>
    <t>130436-1
PAR
RONC 115421</t>
  </si>
  <si>
    <t>01/29
10D</t>
  </si>
  <si>
    <t>"HDR1" INSTALL ON BOT SIDE PER ECO
"LED1-LED9" ALLIGN PER ECO PRIOR TO SOLDERING</t>
  </si>
  <si>
    <r>
      <rPr>
        <b/>
        <strike/>
        <sz val="11"/>
        <color rgb="FF000000"/>
        <rFont val="Calibri"/>
        <family val="2"/>
      </rPr>
      <t xml:space="preserve">SHORT, NO ETA </t>
    </r>
    <r>
      <rPr>
        <b/>
        <sz val="11"/>
        <color rgb="FF000000"/>
        <rFont val="Calibri"/>
        <family val="2"/>
      </rPr>
      <t>1/23 - RECVD</t>
    </r>
  </si>
  <si>
    <r>
      <rPr>
        <b/>
        <strike/>
        <sz val="11"/>
        <color rgb="FF000000"/>
        <rFont val="Calibri"/>
        <family val="2"/>
      </rPr>
      <t>1/20 - SHORT R263, and R64 (SMT) WITH NO ETA 1/22</t>
    </r>
    <r>
      <rPr>
        <b/>
        <sz val="11"/>
        <color rgb="FF000000"/>
        <rFont val="Calibri"/>
        <family val="2"/>
      </rPr>
      <t>. 1/23 - KIT CLEAR</t>
    </r>
  </si>
  <si>
    <t>130306
NEW</t>
  </si>
  <si>
    <r>
      <rPr>
        <b/>
        <sz val="14"/>
        <color rgb="FF000000"/>
        <rFont val="Calibri"/>
        <family val="2"/>
      </rPr>
      <t xml:space="preserve">01/28
</t>
    </r>
    <r>
      <rPr>
        <b/>
        <sz val="14"/>
        <color rgb="FFFF0000"/>
        <rFont val="Calibri"/>
        <family val="2"/>
      </rPr>
      <t>3D</t>
    </r>
  </si>
  <si>
    <r>
      <rPr>
        <b/>
        <u/>
        <sz val="14"/>
        <color rgb="FFFF0000"/>
        <rFont val="Calibri"/>
        <family val="2"/>
      </rPr>
      <t xml:space="preserve">*** DO-C9 RATING ***
</t>
    </r>
    <r>
      <rPr>
        <b/>
        <sz val="11"/>
        <color rgb="FF000000"/>
        <rFont val="Calibri"/>
        <family val="2"/>
      </rPr>
      <t>LEAD WASH PROCESS
DEPANEL &amp; SAND</t>
    </r>
  </si>
  <si>
    <t>1/23 - BOT 1:30</t>
  </si>
  <si>
    <t>1/24 - TOP 8:30</t>
  </si>
  <si>
    <t>1/24 - AOI 11:30</t>
  </si>
  <si>
    <t>DOC REL 1/20</t>
  </si>
  <si>
    <t>1/17 RECVD</t>
  </si>
  <si>
    <r>
      <t xml:space="preserve">1/17 - ALL PARTS ETA 1/21 - C18, U24 and Q602 WAITING FOR CONFIRM.  </t>
    </r>
    <r>
      <rPr>
        <b/>
        <sz val="11"/>
        <color rgb="FF000000"/>
        <rFont val="Calibri"/>
        <family val="2"/>
      </rPr>
      <t>1/23 - KIT CLEAR</t>
    </r>
  </si>
  <si>
    <t>1/17 - COULD CLEAR 1/21
1/22 - PAUSE 2:00 (AWT TOP PART CONF)</t>
  </si>
  <si>
    <t>129650
NEW</t>
  </si>
  <si>
    <t>SAC308 PASTE REQ - SEE ECO
"U9,U20" AFTER WASH
POSTBAKE 30 MIN IF BOARDS ARE WASHED
"Q1" SEE ECO FOR INSTALTION &amp; RTV REQ (READ FINE PRINT)</t>
  </si>
  <si>
    <t>1/22 - BOT 10:30</t>
  </si>
  <si>
    <t>1/22 - TOP 1:30
1/22 - PAUSE 2:00
1/23 - TOP 10:00</t>
  </si>
  <si>
    <t>1/23 - AOI 12:30</t>
  </si>
  <si>
    <t>see drawing about RTV placement</t>
  </si>
  <si>
    <r>
      <rPr>
        <b/>
        <strike/>
        <sz val="11"/>
        <color rgb="FF000000"/>
        <rFont val="Calibri"/>
        <family val="2"/>
      </rPr>
      <t>ETA 1/17</t>
    </r>
    <r>
      <rPr>
        <b/>
        <sz val="11"/>
        <color rgb="FF000000"/>
        <rFont val="Calibri"/>
        <family val="2"/>
      </rPr>
      <t xml:space="preserve"> | 1/15 - RECVD</t>
    </r>
  </si>
  <si>
    <r>
      <rPr>
        <b/>
        <strike/>
        <sz val="11"/>
        <color rgb="FF000000"/>
        <rFont val="Calibri"/>
        <family val="2"/>
      </rPr>
      <t>1/14 - SHORT C16, U16, R75 (SMT) WILL BE HERE BY 1/17 OR SOONER</t>
    </r>
    <r>
      <rPr>
        <b/>
        <sz val="11"/>
        <color rgb="FF000000"/>
        <rFont val="Calibri"/>
        <family val="2"/>
      </rPr>
      <t xml:space="preserve"> | D5 WAITING FOR CONFIRM | </t>
    </r>
    <r>
      <rPr>
        <b/>
        <strike/>
        <sz val="11"/>
        <color rgb="FF000000"/>
        <rFont val="Calibri"/>
        <family val="2"/>
      </rPr>
      <t xml:space="preserve">KIT EXPECT TO BE CLEAR 1/17. </t>
    </r>
    <r>
      <rPr>
        <b/>
        <sz val="11"/>
        <color rgb="FF000000"/>
        <rFont val="Calibri"/>
        <family val="2"/>
      </rPr>
      <t>1/23 -KIT CLEAR.</t>
    </r>
  </si>
  <si>
    <t>130253
ROWC 124334</t>
  </si>
  <si>
    <r>
      <rPr>
        <b/>
        <u/>
        <sz val="14"/>
        <color rgb="FFFF0000"/>
        <rFont val="Calibri"/>
        <family val="2"/>
      </rPr>
      <t xml:space="preserve">*** DoD RATING DO-C9 ***
</t>
    </r>
    <r>
      <rPr>
        <b/>
        <sz val="11"/>
        <color rgb="FF000000"/>
        <rFont val="Calibri"/>
        <family val="2"/>
      </rPr>
      <t>LEAD, NO CLEAN PROCESS
"U20" DO NOT WASH
XRAY &amp; SAVE IMAGES</t>
    </r>
  </si>
  <si>
    <t>1/23 - BOT 6:00</t>
  </si>
  <si>
    <t>1/23 - TOP 8:00</t>
  </si>
  <si>
    <t>1/23 - AOI 10:30</t>
  </si>
  <si>
    <r>
      <rPr>
        <b/>
        <strike/>
        <sz val="11"/>
        <color rgb="FF000000"/>
        <rFont val="Calibri"/>
        <family val="2"/>
      </rPr>
      <t xml:space="preserve">NO </t>
    </r>
    <r>
      <rPr>
        <b/>
        <sz val="11"/>
        <color rgb="FF000000"/>
        <rFont val="Calibri"/>
        <family val="2"/>
      </rPr>
      <t xml:space="preserve">ETA </t>
    </r>
    <r>
      <rPr>
        <b/>
        <strike/>
        <sz val="11"/>
        <color rgb="FF000000"/>
        <rFont val="Calibri"/>
        <family val="2"/>
      </rPr>
      <t>1/10</t>
    </r>
    <r>
      <rPr>
        <b/>
        <sz val="11"/>
        <color rgb="FF000000"/>
        <rFont val="Calibri"/>
        <family val="2"/>
      </rPr>
      <t xml:space="preserve"> 1/13 RECVD</t>
    </r>
  </si>
  <si>
    <t>1/13 - KIT CLEAR</t>
  </si>
  <si>
    <t>1/14 - SMT bot comp 94</t>
  </si>
  <si>
    <t>130177
RONC 123320</t>
  </si>
  <si>
    <t>01/27
10D</t>
  </si>
  <si>
    <t>TRUE NO CLEAN  BUILD
NO SOLDER ON DNI/DNP/TEST POINTS PER ECO
XRAY &amp; SAVE IMAGES
DEPANEL</t>
  </si>
  <si>
    <t>1/14 - BOT 11:00
1/14 - PAUSE 2:00
1/23 - BOT 10:00</t>
  </si>
  <si>
    <t>1/23 - TOP 1:30</t>
  </si>
  <si>
    <t xml:space="preserve">Procter &amp; Gamble Company
</t>
  </si>
  <si>
    <t>01/9 - RECVD</t>
  </si>
  <si>
    <r>
      <rPr>
        <b/>
        <strike/>
        <sz val="11"/>
        <color rgb="FF000000"/>
        <rFont val="Calibri"/>
        <family val="2"/>
      </rPr>
      <t>01/9 - SHORT MANY ITEMS WIHT ETA 1/10 OR 1/13, NO TRACKING YET.</t>
    </r>
    <r>
      <rPr>
        <b/>
        <sz val="11"/>
        <color rgb="FF000000"/>
        <rFont val="Calibri"/>
        <family val="2"/>
      </rPr>
      <t xml:space="preserve"> 01/13 -KIT CLEAR</t>
    </r>
  </si>
  <si>
    <t>1/22 - skipped #22 (awt replacement)
1/24 - RECV'D NEW #22</t>
  </si>
  <si>
    <t>129855
NEW</t>
  </si>
  <si>
    <t>"J10" REMOVE PIN PE ECO
"J9" CUT 2 PINS PER ECO
"G1, G2, Q1, Q2" STUFF AS IS PER ECO
"J2, 6,7" INSTALL PER ECO
DNI TP42 (Only one of #58)</t>
  </si>
  <si>
    <t>1/21 - BOT 1:00</t>
  </si>
  <si>
    <t>1/22 - TOP 6:00</t>
  </si>
  <si>
    <t>1/22 - AOI 10:00</t>
  </si>
  <si>
    <t xml:space="preserve">Automation International
</t>
  </si>
  <si>
    <t>01/13 - RECVD</t>
  </si>
  <si>
    <r>
      <rPr>
        <b/>
        <strike/>
        <sz val="11"/>
        <color rgb="FF000000"/>
        <rFont val="Calibri"/>
        <family val="2"/>
      </rPr>
      <t>1/13 - SHORT C3 (SMT) WITH NO ETA</t>
    </r>
    <r>
      <rPr>
        <b/>
        <sz val="11"/>
        <color rgb="FF000000"/>
        <rFont val="Calibri"/>
        <family val="2"/>
      </rPr>
      <t xml:space="preserve"> 1/17 KIT  CLEAR</t>
    </r>
  </si>
  <si>
    <t>129752
NEW</t>
  </si>
  <si>
    <t>01/24
5D</t>
  </si>
  <si>
    <t>LEAD FREE NO CLEAN
"D1-D35" MOISTURE SENSITIVE PER ECO - FOLLOW GUIDELINES</t>
  </si>
  <si>
    <t>1/21 - TOP 11:30</t>
  </si>
  <si>
    <t>1/23 - AOI 10:00</t>
  </si>
  <si>
    <r>
      <rPr>
        <b/>
        <strike/>
        <sz val="11"/>
        <color rgb="FF000000"/>
        <rFont val="Calibri"/>
        <family val="2"/>
      </rPr>
      <t xml:space="preserve">ETA 1/24
</t>
    </r>
    <r>
      <rPr>
        <b/>
        <sz val="11"/>
        <color rgb="FF000000"/>
        <rFont val="Calibri"/>
        <family val="2"/>
      </rPr>
      <t>1/17 - RECVD</t>
    </r>
  </si>
  <si>
    <r>
      <rPr>
        <b/>
        <strike/>
        <sz val="11"/>
        <color rgb="FF000000"/>
        <rFont val="Calibri"/>
        <family val="2"/>
      </rPr>
      <t>1/14 - SHORT 1 PC OF J401 (THT) &amp; EXPECT TO BE CLEAR BEFORE 1/24</t>
    </r>
    <r>
      <rPr>
        <b/>
        <sz val="11"/>
        <color rgb="FF000000"/>
        <rFont val="Calibri"/>
        <family val="2"/>
      </rPr>
      <t>. 1/14 - SMT CLEAR
1/17 - KIT CLEAR</t>
    </r>
  </si>
  <si>
    <t>1/20 - SMT TOP 27 COMPLETE
1/18 - 4 DMG BARE BRDS; 2 RAN COMP| 2 RAN BOT ONLY</t>
  </si>
  <si>
    <t>130575
ROWC 129950</t>
  </si>
  <si>
    <t>LEAD PROCESS
FLUSH MOUNT ALL T/H COMPONENTS
DEPANEL</t>
  </si>
  <si>
    <t>1/18 - BOT 9:00
1/22 - BOT 8:00 (2 BOARDS)</t>
  </si>
  <si>
    <t>1/20 - TOP 9:00
1/22 - TOP 9:00 (2 BOARDS)</t>
  </si>
  <si>
    <t>1/21 - AOI 11:30
1/22 - AOI 10:00 (2 BOARDS)</t>
  </si>
  <si>
    <t xml:space="preserve">Flock Safety
</t>
  </si>
  <si>
    <r>
      <rPr>
        <b/>
        <strike/>
        <sz val="11"/>
        <color rgb="FF000000"/>
        <rFont val="Calibri"/>
        <family val="2"/>
      </rPr>
      <t xml:space="preserve">1/8 - PENDING ON DT1 (SMT) TO CONFIRM, </t>
    </r>
    <r>
      <rPr>
        <strike/>
        <u/>
        <sz val="11"/>
        <color rgb="FF000000"/>
        <rFont val="Calibri"/>
        <family val="2"/>
      </rPr>
      <t>KIT WILL BE CLEAR IF OK TO USE |</t>
    </r>
    <r>
      <rPr>
        <u/>
        <sz val="11"/>
        <color rgb="FF000000"/>
        <rFont val="Calibri"/>
        <family val="2"/>
      </rPr>
      <t xml:space="preserve"> 01/9 -KIT CLEAR</t>
    </r>
  </si>
  <si>
    <t>1/15 - SMT COMP 27/HR
1/16 - 200 SMT COMP</t>
  </si>
  <si>
    <t>130376
RONC 126212</t>
  </si>
  <si>
    <t>01/23
10D</t>
  </si>
  <si>
    <t>1/10 - TOP 10:00
1/10 - PAUSE 2:30
1/15 - TOP 1:30
1/16 - PAUSE 9:00
1/21 - TOP 6:00</t>
  </si>
  <si>
    <t>1/21 - AOI 1:00</t>
  </si>
  <si>
    <r>
      <rPr>
        <b/>
        <strike/>
        <sz val="11"/>
        <color rgb="FF000000"/>
        <rFont val="Calibri"/>
        <family val="2"/>
      </rPr>
      <t xml:space="preserve">ETA 1/14 </t>
    </r>
    <r>
      <rPr>
        <b/>
        <sz val="11"/>
        <color rgb="FF000000"/>
        <rFont val="Calibri"/>
        <family val="2"/>
      </rPr>
      <t>|01/10 RECVD</t>
    </r>
  </si>
  <si>
    <r>
      <rPr>
        <b/>
        <sz val="11"/>
        <color rgb="FF215C98"/>
        <rFont val="Calibri"/>
        <family val="2"/>
      </rPr>
      <t xml:space="preserve">1/8 - </t>
    </r>
    <r>
      <rPr>
        <b/>
        <sz val="11"/>
        <color rgb="FFFF0000"/>
        <rFont val="Calibri"/>
        <family val="2"/>
      </rPr>
      <t xml:space="preserve">SHORT U4000_3, U4000_1, U4000, U4001,  U4000_2 ARE DNI | </t>
    </r>
    <r>
      <rPr>
        <b/>
        <sz val="11"/>
        <color rgb="FF000000"/>
        <rFont val="Calibri"/>
        <family val="2"/>
      </rPr>
      <t xml:space="preserve">U4000_4 (16POS), U4000_5 (12POS)_(THT) </t>
    </r>
    <r>
      <rPr>
        <b/>
        <strike/>
        <sz val="11"/>
        <color rgb="FF000000"/>
        <rFont val="Calibri"/>
        <family val="2"/>
      </rPr>
      <t>WITH NO ETA</t>
    </r>
    <r>
      <rPr>
        <b/>
        <sz val="11"/>
        <color rgb="FF000000"/>
        <rFont val="Calibri"/>
        <family val="2"/>
      </rPr>
      <t xml:space="preserve">  | 1/14 SMT CLEAR |1/15 - KIT CLEAR</t>
    </r>
  </si>
  <si>
    <r>
      <rPr>
        <b/>
        <strike/>
        <sz val="11"/>
        <color rgb="FF000000"/>
        <rFont val="Calibri"/>
        <family val="2"/>
      </rPr>
      <t xml:space="preserve">1-10 - SMT CLEAR - ONLY SHORT 1 T/H
</t>
    </r>
    <r>
      <rPr>
        <b/>
        <sz val="11"/>
        <color rgb="FF000000"/>
        <rFont val="Calibri"/>
        <family val="2"/>
      </rPr>
      <t>1/20 - U4000_6  DOESN'T FIT
1/22 - SHIP #34 WITH BOARDS</t>
    </r>
  </si>
  <si>
    <t>130360
NEW</t>
  </si>
  <si>
    <r>
      <rPr>
        <b/>
        <strike/>
        <sz val="11"/>
        <color rgb="FF000000"/>
        <rFont val="Calibri"/>
        <family val="2"/>
      </rPr>
      <t xml:space="preserve">"U4000_2" AFTER </t>
    </r>
    <r>
      <rPr>
        <b/>
        <strike/>
        <u/>
        <sz val="11"/>
        <color rgb="FF000000"/>
        <rFont val="Calibri"/>
        <family val="2"/>
      </rPr>
      <t>REFLOW</t>
    </r>
    <r>
      <rPr>
        <b/>
        <u/>
        <sz val="11"/>
        <color rgb="FF000000"/>
        <rFont val="Calibri"/>
        <family val="2"/>
      </rPr>
      <t xml:space="preserve"> </t>
    </r>
    <r>
      <rPr>
        <b/>
        <sz val="11"/>
        <color rgb="FF000000"/>
        <rFont val="Calibri"/>
        <family val="2"/>
      </rPr>
      <t xml:space="preserve">-- dni
"U2000" AFTER WASH
</t>
    </r>
    <r>
      <rPr>
        <b/>
        <strike/>
        <sz val="11"/>
        <color rgb="FF000000"/>
        <rFont val="Calibri"/>
        <family val="2"/>
      </rPr>
      <t>"U4001_1-_4" SEE ECO FOR INSTALLATION
"U4001" SEE ECO PRIOR TO SOLDERING</t>
    </r>
    <r>
      <rPr>
        <b/>
        <sz val="11"/>
        <color rgb="FF000000"/>
        <rFont val="Calibri"/>
        <family val="2"/>
      </rPr>
      <t xml:space="preserve"> -- dni
DEPANEL
</t>
    </r>
  </si>
  <si>
    <t>1/17 - TOP 12:30</t>
  </si>
  <si>
    <t>1/18 - AOI</t>
  </si>
  <si>
    <t xml:space="preserve">Summit Santa Clara - Streamline Circuits
</t>
  </si>
  <si>
    <r>
      <rPr>
        <b/>
        <strike/>
        <sz val="11"/>
        <color rgb="FF000000"/>
        <rFont val="Calibri"/>
        <family val="2"/>
      </rPr>
      <t>12/26 - NO ETA
1/22</t>
    </r>
    <r>
      <rPr>
        <b/>
        <sz val="11"/>
        <color rgb="FF000000"/>
        <rFont val="Calibri"/>
        <family val="2"/>
      </rPr>
      <t xml:space="preserve"> 1/10 ETA (1/7 RECVD 48+2 PCS )</t>
    </r>
  </si>
  <si>
    <r>
      <rPr>
        <b/>
        <strike/>
        <sz val="11"/>
        <color rgb="FF000000"/>
        <rFont val="Calibri"/>
        <family val="2"/>
      </rPr>
      <t xml:space="preserve">12/26 - SHORT R28 WITH NO ETA | </t>
    </r>
    <r>
      <rPr>
        <b/>
        <sz val="11"/>
        <color rgb="FF000000"/>
        <rFont val="Calibri"/>
        <family val="2"/>
      </rPr>
      <t>1/8/ - KIT CLEAR</t>
    </r>
  </si>
  <si>
    <t>130251
ROWC 126644</t>
  </si>
  <si>
    <t>1/18 - BOT 10:30</t>
  </si>
  <si>
    <t>1/20 - TOP 8:30</t>
  </si>
  <si>
    <t>1/20 - AOI 3:30</t>
  </si>
  <si>
    <r>
      <t xml:space="preserve">NO ETA 1/13 1/15 </t>
    </r>
    <r>
      <rPr>
        <b/>
        <sz val="11"/>
        <color rgb="FF000000"/>
        <rFont val="Calibri"/>
        <family val="2"/>
      </rPr>
      <t>|1/14 -RECVD</t>
    </r>
  </si>
  <si>
    <r>
      <rPr>
        <b/>
        <strike/>
        <sz val="11"/>
        <color rgb="FF000000"/>
        <rFont val="Calibri"/>
        <family val="2"/>
      </rPr>
      <t>1/8 - D1 (SMT) WAITING FOR CONFIRM IF OK TO USE</t>
    </r>
    <r>
      <rPr>
        <b/>
        <sz val="11"/>
        <color rgb="FF000000"/>
        <rFont val="Calibri"/>
        <family val="2"/>
      </rPr>
      <t xml:space="preserve"> | 1/14 - KIT CLEAR</t>
    </r>
  </si>
  <si>
    <t>1/17 - SMT BOT 6 BOARDS/HR
1/17 - HOLD DUE TO L1,L2, OHM ISSUE</t>
  </si>
  <si>
    <t>130113
NEW</t>
  </si>
  <si>
    <r>
      <rPr>
        <b/>
        <sz val="14"/>
        <color rgb="FF000000"/>
        <rFont val="Calibri"/>
        <family val="2"/>
      </rPr>
      <t xml:space="preserve">1/22
</t>
    </r>
    <r>
      <rPr>
        <b/>
        <strike/>
        <sz val="14"/>
        <color rgb="FF000000"/>
        <rFont val="Calibri"/>
        <family val="2"/>
      </rPr>
      <t xml:space="preserve">01/21*
</t>
    </r>
    <r>
      <rPr>
        <b/>
        <sz val="14"/>
        <color rgb="FF000000"/>
        <rFont val="Calibri"/>
        <family val="2"/>
      </rPr>
      <t>5D</t>
    </r>
  </si>
  <si>
    <t>1/16 - BOT 3:00</t>
  </si>
  <si>
    <t>1/17 - TOP 9:00
1/17 - PAUSE 10:30
1/18 - TOP</t>
  </si>
  <si>
    <t>1/18 - AOI 12:00</t>
  </si>
  <si>
    <t>1/9 RECVD</t>
  </si>
  <si>
    <r>
      <rPr>
        <b/>
        <strike/>
        <sz val="11"/>
        <color rgb="FF000000"/>
        <rFont val="Calibri"/>
        <family val="2"/>
        <scheme val="minor"/>
      </rPr>
      <t>01/9 - ALL MATERIALS ARE ON THE WAY WITH ETA 1/10, EXCEPT R127 WITH NO ETA. 1/10 - SHORT R127 BUT OK TO SKIP | C1 &amp; F3 WAITING FOR CONFIRM OK TO US</t>
    </r>
    <r>
      <rPr>
        <b/>
        <sz val="11"/>
        <color rgb="FF000000"/>
        <rFont val="Calibri"/>
        <family val="2"/>
        <scheme val="minor"/>
      </rPr>
      <t>E | 01/14 - KIT CLEAR</t>
    </r>
  </si>
  <si>
    <t>1/9 - OK TO SKIP "R127"
1/10 - OK TO RUN SMT</t>
  </si>
  <si>
    <t>130022
ROWC 127780</t>
  </si>
  <si>
    <t>01/21*
5D</t>
  </si>
  <si>
    <t>1/18 - BOT</t>
  </si>
  <si>
    <t>1/18 - TOP</t>
  </si>
  <si>
    <t>DOC REL 12/11</t>
  </si>
  <si>
    <r>
      <rPr>
        <b/>
        <strike/>
        <sz val="11"/>
        <color rgb="FF000000"/>
        <rFont val="Calibri"/>
        <family val="2"/>
      </rPr>
      <t xml:space="preserve">NO ETA 1/21 | </t>
    </r>
    <r>
      <rPr>
        <b/>
        <sz val="11"/>
        <color rgb="FF000000"/>
        <rFont val="Calibri"/>
        <family val="2"/>
      </rPr>
      <t>1/14 RECVD</t>
    </r>
  </si>
  <si>
    <t>1/9 - MATERIAL CLEAR
1/14 - KIT CLEAR</t>
  </si>
  <si>
    <t>130519
NEW</t>
  </si>
  <si>
    <r>
      <rPr>
        <b/>
        <sz val="11"/>
        <color rgb="FF000000"/>
        <rFont val="Calibri"/>
        <family val="2"/>
      </rPr>
      <t xml:space="preserve">"J11" SEE ECO </t>
    </r>
    <r>
      <rPr>
        <b/>
        <sz val="11"/>
        <color rgb="FF782170"/>
        <rFont val="Calibri"/>
        <family val="2"/>
      </rPr>
      <t>(APPLY LOCTITE, IF NECESSARY, ACCORDING TO IN-HOUSE PROCESS)</t>
    </r>
  </si>
  <si>
    <t>1/17 - BOT 11:00</t>
  </si>
  <si>
    <t>12/20 PCB DUE</t>
  </si>
  <si>
    <r>
      <rPr>
        <b/>
        <strike/>
        <sz val="11"/>
        <color rgb="FF000000"/>
        <rFont val="Calibri"/>
        <family val="2"/>
      </rPr>
      <t xml:space="preserve">12/16 - WE RECEIVED PARTIALS OF U1 (SMT), PS3, PS1 (THT) BUT THE BALANCE WITH NO ETA ARE TBD. C52 and R195 WAITING FOR THE CORRECT PARTS. CONFIRM.  TRINH FIXING ITEM #26 WAITING FOR CONFIRM TBD.
</t>
    </r>
    <r>
      <rPr>
        <b/>
        <sz val="11"/>
        <color rgb="FF000000"/>
        <rFont val="Calibri"/>
        <family val="2"/>
      </rPr>
      <t>1/16 - KIT CLEAR</t>
    </r>
  </si>
  <si>
    <t>1/2 - BOT COMP</t>
  </si>
  <si>
    <t>129683
NEW</t>
  </si>
  <si>
    <r>
      <rPr>
        <b/>
        <sz val="14"/>
        <color rgb="FF000000"/>
        <rFont val="Calibri"/>
        <family val="2"/>
      </rPr>
      <t xml:space="preserve">1/21
</t>
    </r>
    <r>
      <rPr>
        <b/>
        <sz val="14"/>
        <color rgb="FFFF0000"/>
        <rFont val="Calibri"/>
        <family val="2"/>
      </rPr>
      <t>3D</t>
    </r>
  </si>
  <si>
    <r>
      <rPr>
        <b/>
        <sz val="14"/>
        <color rgb="FFFF0000"/>
        <rFont val="Calibri"/>
        <family val="2"/>
      </rPr>
      <t xml:space="preserve">*** 3 DAY TURN ***
</t>
    </r>
    <r>
      <rPr>
        <b/>
        <sz val="11"/>
        <color rgb="FF000000"/>
        <rFont val="Calibri"/>
        <family val="2"/>
      </rPr>
      <t xml:space="preserve">LEAD WASH PROCESS
24HR PREBAKE 3 ITEMS PER ECO #3
USE Sn63/Pb37 SOLDER PASTE
CLASS 3
PRESS FIT &amp; MECH REQ PER ECO 5 &amp; 6
THERMAL PAD REQ PER ECO 7 &amp; 9
</t>
    </r>
    <r>
      <rPr>
        <b/>
        <sz val="11"/>
        <color rgb="FF7030A0"/>
        <rFont val="Calibri"/>
        <family val="2"/>
      </rPr>
      <t xml:space="preserve">MIX POP: U11 (P/N ..MP.. ON S/N 003)
</t>
    </r>
    <r>
      <rPr>
        <b/>
        <u/>
        <sz val="16"/>
        <color rgb="FFFF0000"/>
        <rFont val="Calibri"/>
        <family val="2"/>
      </rPr>
      <t>***INSPECTION &amp; SHIPPING VERIFICATION - Please build 2 boards that have PS3, PS5 loaded and 1 board will have these 2 locations unpopulated</t>
    </r>
  </si>
  <si>
    <t>1/2 - BOT 9:00</t>
  </si>
  <si>
    <t>1/2 - PAUSE 10:30
1/18 - TOP</t>
  </si>
  <si>
    <t xml:space="preserve">Astrobotic Technology, Inc.
</t>
  </si>
  <si>
    <r>
      <rPr>
        <b/>
        <strike/>
        <sz val="11"/>
        <color rgb="FF000000"/>
        <rFont val="Calibri"/>
        <family val="2"/>
        <scheme val="minor"/>
      </rPr>
      <t xml:space="preserve">11/27 12/12- PCB DUE / SHORT 5 SMT ITEMS WITH NO ETA. SHORT BALANCE (115PCS) OF U11 WITH NO ETA. CUSTOMER APPROVED TO RUN PARTIAL, COUNT MONDAY AS DAY 1
</t>
    </r>
    <r>
      <rPr>
        <b/>
        <sz val="11"/>
        <color rgb="FFFF0000"/>
        <rFont val="Calibri"/>
        <family val="2"/>
        <scheme val="minor"/>
      </rPr>
      <t xml:space="preserve">1/9 - BALANCE (115PCS) OF U11  TO ARRIVE RECEVD </t>
    </r>
    <r>
      <rPr>
        <b/>
        <strike/>
        <sz val="11"/>
        <color rgb="FFFF0000"/>
        <rFont val="Calibri"/>
        <family val="2"/>
        <scheme val="minor"/>
      </rPr>
      <t>ANYDAY</t>
    </r>
    <r>
      <rPr>
        <b/>
        <sz val="11"/>
        <color rgb="FFFF0000"/>
        <rFont val="Calibri"/>
        <family val="2"/>
        <scheme val="minor"/>
      </rPr>
      <t xml:space="preserve"> |</t>
    </r>
    <r>
      <rPr>
        <b/>
        <sz val="11"/>
        <color rgb="FF000000"/>
        <rFont val="Calibri"/>
        <family val="2"/>
        <scheme val="minor"/>
      </rPr>
      <t xml:space="preserve"> 01/13 - KIT CLEAR</t>
    </r>
  </si>
  <si>
    <r>
      <rPr>
        <b/>
        <strike/>
        <sz val="11"/>
        <color rgb="FF000000"/>
        <rFont val="Calibri"/>
        <family val="2"/>
        <scheme val="minor"/>
      </rPr>
      <t xml:space="preserve">WOULD NEED TO CLEAR BY 12/17
</t>
    </r>
    <r>
      <rPr>
        <b/>
        <sz val="11"/>
        <color rgb="FF000000"/>
        <rFont val="Calibri"/>
        <family val="2"/>
        <scheme val="minor"/>
      </rPr>
      <t>12/12 - OK TO RUN BOT SIDE (U11 TOP SIDE)
12/13 - RUN &amp; SHIP 100 OF 215
1/17 - SMT ETA COMP EOD</t>
    </r>
  </si>
  <si>
    <t>129046-2
BAL
ROWC 127298</t>
  </si>
  <si>
    <t>***START ON DAY 1 OR SOONER
CLASS 3
"U11" HANDLE WITH CARE &amp; DO NOT LOSE PARTS
"U22, SW2" AFTER WASH
MAKE SURE BOARDS ARE CLEAN AND FREE OF DEBRIS
DEPANEL &amp; SAND - 0.015" MAX BURRS</t>
  </si>
  <si>
    <t>1/16 - BOT 10:00</t>
  </si>
  <si>
    <t>1/16 - TOP 12:30</t>
  </si>
  <si>
    <t>1/17 - AOI 2:30</t>
  </si>
  <si>
    <t>cofc s/n requirements</t>
  </si>
  <si>
    <t>11/1</t>
  </si>
  <si>
    <t>1/10 - RECVD</t>
  </si>
  <si>
    <t>1/10 - KIT CLEAR</t>
  </si>
  <si>
    <t>1/14 - smt bot 3min/board
1/15 - smt top 3min/board</t>
  </si>
  <si>
    <t>130636
NEW</t>
  </si>
  <si>
    <r>
      <rPr>
        <b/>
        <sz val="14"/>
        <color rgb="FF000000"/>
        <rFont val="Calibri"/>
        <family val="2"/>
      </rPr>
      <t xml:space="preserve">1/21
</t>
    </r>
    <r>
      <rPr>
        <b/>
        <strike/>
        <sz val="14"/>
        <color rgb="FF000000"/>
        <rFont val="Calibri"/>
        <family val="2"/>
      </rPr>
      <t xml:space="preserve">1/20
01/17
</t>
    </r>
    <r>
      <rPr>
        <b/>
        <sz val="14"/>
        <color rgb="FF000000"/>
        <rFont val="Calibri"/>
        <family val="2"/>
      </rPr>
      <t xml:space="preserve"> 5D</t>
    </r>
  </si>
  <si>
    <t>"S1,2,3" AFTER WASH</t>
  </si>
  <si>
    <t>1/14 - TOP 8:00
HOLD 10:00
1/15 - TOP 8:00</t>
  </si>
  <si>
    <t>1/15 - BOT 10:00</t>
  </si>
  <si>
    <t>1/16 - aoi 10:00</t>
  </si>
  <si>
    <t>J</t>
  </si>
  <si>
    <t>TOP 1ST
LED OPEN ISSUE</t>
  </si>
  <si>
    <t>1/10</t>
  </si>
  <si>
    <t>129940-5
PAR
RONC 128277</t>
  </si>
  <si>
    <t>1/21
10D</t>
  </si>
  <si>
    <r>
      <rPr>
        <b/>
        <sz val="12"/>
        <color rgb="FFFF0000"/>
        <rFont val="Calibri"/>
        <family val="2"/>
      </rPr>
      <t xml:space="preserve">*** CUST HAVING ISSUES W/ "U1" PLEASE SEE TAD BEFORE STARTING
</t>
    </r>
    <r>
      <rPr>
        <b/>
        <sz val="11"/>
        <color rgb="FF000000"/>
        <rFont val="Calibri"/>
        <family val="2"/>
      </rPr>
      <t>LEAD-FREE, NO CLEAN
"U1" SEE ECO
DEPANEL</t>
    </r>
  </si>
  <si>
    <t>1/20 - BOT 11:30</t>
  </si>
  <si>
    <t>1/20 - TOP 1:00</t>
  </si>
  <si>
    <t>1/21 - AOI 8:00</t>
  </si>
  <si>
    <t>ETA 1/13 -RECVD</t>
  </si>
  <si>
    <t>1/8 - MATERIAL CLEAR
1/13 - KIT CLEAR</t>
  </si>
  <si>
    <t>130418
NEW</t>
  </si>
  <si>
    <t>"L2" BI-DIRECTIOAL BUT KEEP UNIFORM ORIENTATION
WASH BOARDS WITHIN 8 HRS PER ECO
DEPANEL</t>
  </si>
  <si>
    <t>1/16 - TOP 9:00</t>
  </si>
  <si>
    <t>1/16 - aoi 3:30</t>
  </si>
  <si>
    <r>
      <rPr>
        <b/>
        <strike/>
        <sz val="11"/>
        <color rgb="FF000000"/>
        <rFont val="Calibri"/>
        <family val="2"/>
      </rPr>
      <t>NO ETA 1/16</t>
    </r>
    <r>
      <rPr>
        <b/>
        <sz val="11"/>
        <color rgb="FF000000"/>
        <rFont val="Calibri"/>
        <family val="2"/>
      </rPr>
      <t xml:space="preserve"> |1/15 RECVD</t>
    </r>
  </si>
  <si>
    <t>1/14 - MATERIAL CLEAR
1/15 - KIT CLEAR</t>
  </si>
  <si>
    <t>1/16 - smt bot comp 72 boards @2:00</t>
  </si>
  <si>
    <t>130732
NEW</t>
  </si>
  <si>
    <r>
      <rPr>
        <b/>
        <sz val="14"/>
        <color rgb="FF000000"/>
        <rFont val="Calibri"/>
        <family val="2"/>
      </rPr>
      <t xml:space="preserve">01/20
</t>
    </r>
    <r>
      <rPr>
        <b/>
        <sz val="14"/>
        <color rgb="FFFF0000"/>
        <rFont val="Calibri"/>
        <family val="2"/>
      </rPr>
      <t>3D</t>
    </r>
  </si>
  <si>
    <t>1/16 - BOT 11:00</t>
  </si>
  <si>
    <t>1/17 - TOP 9:30</t>
  </si>
  <si>
    <t>1/17 - AOI 12:30</t>
  </si>
  <si>
    <t>129414-2
PAR
ROWC 116458</t>
  </si>
  <si>
    <t>1/20
10D</t>
  </si>
  <si>
    <r>
      <rPr>
        <b/>
        <sz val="11"/>
        <color rgb="FF000000"/>
        <rFont val="Calibri"/>
        <family val="2"/>
      </rPr>
      <t xml:space="preserve">"U46" REQUIRES 24HR PRE-BAKE
"X1" CONFIRM ORIENTATION BEFORE PLACING
SPLIT SHIPMENT: </t>
    </r>
    <r>
      <rPr>
        <b/>
        <strike/>
        <sz val="11"/>
        <color rgb="FF000000"/>
        <rFont val="Calibri"/>
        <family val="2"/>
      </rPr>
      <t xml:space="preserve">WILL CALL
Ship 33 when due (12/18)
</t>
    </r>
    <r>
      <rPr>
        <b/>
        <sz val="11"/>
        <color rgb="FF000000"/>
        <rFont val="Calibri"/>
        <family val="2"/>
      </rPr>
      <t>Ship 33 1-20-2025
Ship 34 2-20-2025</t>
    </r>
  </si>
  <si>
    <t>*THIS JOB CAN'T BE LATE
1/13 - KIT CLEAR BUT NOT REPORTED</t>
  </si>
  <si>
    <t>1/15 - SMT RUN NOTES: c51 (bottom) cannot be machine placed because removal is needed to reflow top side</t>
  </si>
  <si>
    <t>130445
NEW</t>
  </si>
  <si>
    <r>
      <rPr>
        <b/>
        <sz val="14"/>
        <color rgb="FF000000"/>
        <rFont val="Calibri"/>
        <family val="2"/>
      </rPr>
      <t xml:space="preserve"> 1/20
</t>
    </r>
    <r>
      <rPr>
        <b/>
        <sz val="14"/>
        <color rgb="FFFF0000"/>
        <rFont val="Calibri"/>
        <family val="2"/>
      </rPr>
      <t>3D</t>
    </r>
  </si>
  <si>
    <r>
      <rPr>
        <b/>
        <sz val="11"/>
        <color rgb="FF000000"/>
        <rFont val="Calibri"/>
        <family val="2"/>
      </rPr>
      <t xml:space="preserve">DPAS Rating: DO-A7
</t>
    </r>
    <r>
      <rPr>
        <b/>
        <sz val="11"/>
        <color rgb="FFFF0000"/>
        <rFont val="Calibri"/>
        <family val="2"/>
      </rPr>
      <t xml:space="preserve">CLASS 3
</t>
    </r>
    <r>
      <rPr>
        <b/>
        <sz val="11"/>
        <color rgb="FF000000"/>
        <rFont val="Calibri"/>
        <family val="2"/>
      </rPr>
      <t xml:space="preserve">SAC305 WITH NO CLEAN FLUX
REQUIRED
LEAD FREE WASH PROCESS
WILL NEED TO USE CHEMICAL WASH FOR NO CLEAN
SEE ECO ALTA NOTE PRIOR TO RUNNING - NEED TO MAKE SURE THERE IS ENOUGH ATTRITION FOR "TP6 &amp; RELATED"
COPIES OF CofC'S REQUIRED IN EACH SHIPPING BOX
</t>
    </r>
    <r>
      <rPr>
        <b/>
        <sz val="11"/>
        <color rgb="FFFF0000"/>
        <rFont val="Calibri"/>
        <family val="2"/>
      </rPr>
      <t>***BAG &amp; BOX WITH EXTRA CARE - USE MULTIPLE BOXES</t>
    </r>
  </si>
  <si>
    <t>1/14 - BOT 12:30</t>
  </si>
  <si>
    <t>1/15 - TOP 9:00</t>
  </si>
  <si>
    <t>1/15 - AOI 2:30</t>
  </si>
  <si>
    <t>c51 (bottom) cannot be machine placed because removal is needed to reflow top side</t>
  </si>
  <si>
    <t>TRACKING DELAY BUT IN SJ 1/9 -DUE</t>
  </si>
  <si>
    <r>
      <rPr>
        <b/>
        <strike/>
        <sz val="11"/>
        <color rgb="FF000000"/>
        <rFont val="Calibri"/>
        <family val="2"/>
      </rPr>
      <t>12/30 - SHORT L7 (SMT) ETA 1/13 &amp; C243 (THT)</t>
    </r>
    <r>
      <rPr>
        <b/>
        <sz val="11"/>
        <color rgb="FF000000"/>
        <rFont val="Calibri"/>
        <family val="2"/>
      </rPr>
      <t xml:space="preserve"> </t>
    </r>
    <r>
      <rPr>
        <b/>
        <strike/>
        <sz val="11"/>
        <color rgb="FF000000"/>
        <rFont val="Calibri"/>
        <family val="2"/>
      </rPr>
      <t>WITH NO</t>
    </r>
    <r>
      <rPr>
        <b/>
        <sz val="11"/>
        <color rgb="FF000000"/>
        <rFont val="Calibri"/>
        <family val="2"/>
      </rPr>
      <t xml:space="preserve"> | 01/13 - KIT CLEAR</t>
    </r>
  </si>
  <si>
    <r>
      <rPr>
        <b/>
        <strike/>
        <sz val="10"/>
        <color rgb="FF000000"/>
        <rFont val="Calibri"/>
        <family val="2"/>
      </rPr>
      <t xml:space="preserve">1/7 - PCB IN ROUTE - MAY RECV 1/10, 1/9
</t>
    </r>
    <r>
      <rPr>
        <b/>
        <sz val="10"/>
        <color rgb="FFFF0000"/>
        <rFont val="Calibri"/>
        <family val="2"/>
      </rPr>
      <t>1/9 - "L7" OK TO SKIP
1/13 - FA top complete</t>
    </r>
  </si>
  <si>
    <t>129653
NEW</t>
  </si>
  <si>
    <t>01/20
5D</t>
  </si>
  <si>
    <t>TRUE NO CLEAN PROCESS
"RL1, RL2, C140, C253, C257, L12" AFTER WASH PER ECO &amp; DATA LINKS
DEPANEL</t>
  </si>
  <si>
    <t>1/13 - BOT 6:00</t>
  </si>
  <si>
    <t>1/13 - TOP 1:30</t>
  </si>
  <si>
    <t>1/14 - AOI 10:00</t>
  </si>
  <si>
    <t>12/30 - PCB DUE</t>
  </si>
  <si>
    <r>
      <rPr>
        <b/>
        <strike/>
        <sz val="11"/>
        <color rgb="FF000000"/>
        <rFont val="Calibri"/>
        <family val="2"/>
      </rPr>
      <t xml:space="preserve">SHORT J403 &amp; Q500 (SMT) WITH NO ETA. / LOCK1.. (THT)*RECVD BUT SHORT 1PC,ASKING IF BTD? | J403 RECVD TRACKING # BUT NO ETA, GUESSING 1/13 OR 1/14 </t>
    </r>
    <r>
      <rPr>
        <b/>
        <sz val="11"/>
        <color rgb="FF000000"/>
        <rFont val="Calibri"/>
        <family val="2"/>
      </rPr>
      <t>| 1/13 - KIT CLEAR</t>
    </r>
  </si>
  <si>
    <t>12/19 - CAN SKIP ITEM 46 &amp; 87 IF YOU NEED SOMETHING TO RUN</t>
  </si>
  <si>
    <t>129710
NEW</t>
  </si>
  <si>
    <r>
      <rPr>
        <b/>
        <strike/>
        <sz val="14"/>
        <color rgb="FF000000"/>
        <rFont val="Calibri"/>
        <family val="2"/>
      </rPr>
      <t xml:space="preserve">01/16
</t>
    </r>
    <r>
      <rPr>
        <b/>
        <sz val="14"/>
        <color rgb="FFFF0000"/>
        <rFont val="Calibri"/>
        <family val="2"/>
      </rPr>
      <t>3D</t>
    </r>
  </si>
  <si>
    <r>
      <rPr>
        <b/>
        <sz val="11"/>
        <color rgb="FFFF0000"/>
        <rFont val="Calibri"/>
        <family val="2"/>
      </rPr>
      <t xml:space="preserve">CLASS 3
</t>
    </r>
    <r>
      <rPr>
        <b/>
        <sz val="11"/>
        <color rgb="FF000000"/>
        <rFont val="Calibri"/>
        <family val="2"/>
      </rPr>
      <t>"B1" AFTER REFLOW
"J1, J8" MECH REQ PER ECO
DEPANEL</t>
    </r>
  </si>
  <si>
    <t>1/3 - BOT 10:30</t>
  </si>
  <si>
    <t>1/3 - TOP</t>
  </si>
  <si>
    <t>1/3 - AOI 1:00</t>
  </si>
  <si>
    <t>LABELS NOT REQUIRED</t>
  </si>
  <si>
    <t>DOC REL 12/13</t>
  </si>
  <si>
    <t>1/14 -  MATERIAL CLEAR
KIT CLEAR</t>
  </si>
  <si>
    <t>130735*
NEW</t>
  </si>
  <si>
    <t>1/16 - aoi 11:00</t>
  </si>
  <si>
    <t>1/10 - CLEAR</t>
  </si>
  <si>
    <r>
      <rPr>
        <b/>
        <strike/>
        <sz val="11"/>
        <color rgb="FF000000"/>
        <rFont val="Calibri"/>
        <family val="2"/>
      </rPr>
      <t xml:space="preserve">1/10 - SHORT J11 (COULD BE CLEAR NEXT WEEK)| J10 NEED TO CONFIRM </t>
    </r>
    <r>
      <rPr>
        <b/>
        <sz val="11"/>
        <color rgb="FF000000"/>
        <rFont val="Calibri"/>
        <family val="2"/>
      </rPr>
      <t>|01/13 - KIT CLEAR</t>
    </r>
  </si>
  <si>
    <r>
      <rPr>
        <b/>
        <sz val="9"/>
        <color rgb="FFFF0000"/>
        <rFont val="Calibri"/>
        <family val="2"/>
      </rPr>
      <t xml:space="preserve">1/10 - WOULD BE GOOD TO GET BOT SET UP
</t>
    </r>
    <r>
      <rPr>
        <b/>
        <sz val="9"/>
        <color rgb="FF000000"/>
        <rFont val="Calibri"/>
        <family val="2"/>
      </rPr>
      <t>1/14 - SMT BOT 5MIN/BOARD</t>
    </r>
  </si>
  <si>
    <t>130411
NEW</t>
  </si>
  <si>
    <r>
      <rPr>
        <b/>
        <sz val="14"/>
        <color rgb="FF000000"/>
        <rFont val="Calibri"/>
        <family val="2"/>
      </rPr>
      <t xml:space="preserve">1/17
</t>
    </r>
    <r>
      <rPr>
        <b/>
        <strike/>
        <sz val="14"/>
        <color rgb="FF000000"/>
        <rFont val="Calibri"/>
        <family val="2"/>
      </rPr>
      <t xml:space="preserve">01/16
</t>
    </r>
    <r>
      <rPr>
        <b/>
        <sz val="14"/>
        <color rgb="FFFF0000"/>
        <rFont val="Calibri"/>
        <family val="2"/>
      </rPr>
      <t>3D</t>
    </r>
  </si>
  <si>
    <r>
      <rPr>
        <b/>
        <sz val="12"/>
        <color rgb="FFFF0000"/>
        <rFont val="Calibri"/>
        <family val="2"/>
      </rPr>
      <t xml:space="preserve">* NEED HEAD START FOR FEEDER S/U
</t>
    </r>
    <r>
      <rPr>
        <b/>
        <sz val="12"/>
        <color rgb="FF782170"/>
        <rFont val="Calibri"/>
        <family val="2"/>
      </rPr>
      <t>DPAS Rating: DO-A7
REMOVE COLORED TEST POINT MARKERS BEFORE WASH &amp; REINSTALL BEFORE SHIPPING
COMPLETE REMOVAL OF ALL FLUX
NO VENDOR MARKINGS</t>
    </r>
  </si>
  <si>
    <t>1/13 - BOT 1:00</t>
  </si>
  <si>
    <t>1/14 - TOP 11:30</t>
  </si>
  <si>
    <t>1/14 - AOI 3:30</t>
  </si>
  <si>
    <t>NO VENDOR MARKINGS</t>
  </si>
  <si>
    <t>01/10</t>
  </si>
  <si>
    <t>REVCD, SINGLE</t>
  </si>
  <si>
    <t>1/13 - QTY 3 COMPLETE (3.5 MIN / BOARD)</t>
  </si>
  <si>
    <t>130517
NEW</t>
  </si>
  <si>
    <t>01/17
5D</t>
  </si>
  <si>
    <t>NO CLEAN PROCESS
ALL T/H MOUNT FLUSH TO BOARD
J1 MUST BE SOLDERED PRIOR TO 
SW11, SW12, SW15, SW16 
"SW1x18 SEE ECO 5 FOR DEFECT RATE
"MH1" SEE ECO 5 FOR DEFECT RATE</t>
  </si>
  <si>
    <t>1/13 - BOT 10:00
1/13 - PAUSE 1:30
1/14 - BOT 10:00</t>
  </si>
  <si>
    <t>1/14 - AOI 12:30</t>
  </si>
  <si>
    <r>
      <rPr>
        <b/>
        <strike/>
        <sz val="11"/>
        <color rgb="FF000000"/>
        <rFont val="Calibri"/>
        <family val="2"/>
      </rPr>
      <t xml:space="preserve">1/20 DUE </t>
    </r>
    <r>
      <rPr>
        <b/>
        <sz val="11"/>
        <color rgb="FF000000"/>
        <rFont val="Calibri"/>
        <family val="2"/>
      </rPr>
      <t>1/14 - RECVD</t>
    </r>
  </si>
  <si>
    <r>
      <rPr>
        <b/>
        <strike/>
        <sz val="11"/>
        <color rgb="FF000000"/>
        <rFont val="Calibri"/>
        <family val="2"/>
      </rPr>
      <t xml:space="preserve">1/7 - SHORT J601, MTG200 (SMT), U504, J404 (THT) WITH NO ETA </t>
    </r>
    <r>
      <rPr>
        <b/>
        <sz val="11"/>
        <color rgb="FF000000"/>
        <rFont val="Calibri"/>
        <family val="2"/>
      </rPr>
      <t>| 1/14 - KIT CLEAR</t>
    </r>
  </si>
  <si>
    <t>130420
RONC 129989</t>
  </si>
  <si>
    <r>
      <rPr>
        <b/>
        <u/>
        <sz val="14"/>
        <color rgb="FFFF0000"/>
        <rFont val="Calibri"/>
        <family val="2"/>
      </rPr>
      <t xml:space="preserve">***SEVERAL WASH &amp; NO WASH REQUIREEMNTS - READ ECO PRIOR TO RUNNING***
</t>
    </r>
    <r>
      <rPr>
        <b/>
        <sz val="11"/>
        <color rgb="FF000000"/>
        <rFont val="Calibri"/>
        <family val="2"/>
      </rPr>
      <t xml:space="preserve">"L200" BI-DIRECTINAL
"SW100x4, SW700, SW703, SW200,300,400,401,701,702,704,SW201" AFTER WASH
BOARDS MUST BE WASHED WITHIN 8HRS OF SOLDERING
</t>
    </r>
    <r>
      <rPr>
        <b/>
        <u/>
        <sz val="14"/>
        <color rgb="FFFF0000"/>
        <rFont val="Calibri"/>
        <family val="2"/>
      </rPr>
      <t xml:space="preserve">T/H "U504,505,508,509" DO NOT WASH
</t>
    </r>
    <r>
      <rPr>
        <b/>
        <sz val="11"/>
        <color rgb="FF000000"/>
        <rFont val="Calibri"/>
        <family val="2"/>
      </rPr>
      <t>DEPANEL</t>
    </r>
  </si>
  <si>
    <t>1/15 - TOP 10:30</t>
  </si>
  <si>
    <r>
      <rPr>
        <b/>
        <strike/>
        <sz val="11"/>
        <color rgb="FF000000"/>
        <rFont val="Calibri"/>
        <family val="2"/>
      </rPr>
      <t>1/7 NO ETA 1/20</t>
    </r>
    <r>
      <rPr>
        <b/>
        <sz val="11"/>
        <color rgb="FF000000"/>
        <rFont val="Calibri"/>
        <family val="2"/>
      </rPr>
      <t>| 1/14  RECVD</t>
    </r>
  </si>
  <si>
    <r>
      <rPr>
        <b/>
        <strike/>
        <sz val="11"/>
        <color rgb="FF000000"/>
        <rFont val="Calibri"/>
        <family val="2"/>
      </rPr>
      <t xml:space="preserve">1/7 - SHORT D1, F1, U8 (SMT) J1 (THT) WITH NO ETA 1/13 TO
</t>
    </r>
    <r>
      <rPr>
        <b/>
        <sz val="11"/>
        <color rgb="FF000000"/>
        <rFont val="Calibri"/>
        <family val="2"/>
      </rPr>
      <t>1/14 -KIT CLEAR</t>
    </r>
  </si>
  <si>
    <t>130584
NEW</t>
  </si>
  <si>
    <r>
      <rPr>
        <b/>
        <sz val="14"/>
        <color rgb="FF000000"/>
        <rFont val="Calibri"/>
        <family val="2"/>
      </rPr>
      <t xml:space="preserve">
1/16
</t>
    </r>
    <r>
      <rPr>
        <b/>
        <strike/>
        <sz val="14"/>
        <color rgb="FF000000"/>
        <rFont val="Calibri"/>
        <family val="2"/>
      </rPr>
      <t xml:space="preserve">1/15
</t>
    </r>
    <r>
      <rPr>
        <b/>
        <sz val="14"/>
        <color rgb="FFFF0000"/>
        <rFont val="Calibri"/>
        <family val="2"/>
      </rPr>
      <t>1D</t>
    </r>
  </si>
  <si>
    <t>"SW1" AFTER WASH
DEPANEL &amp; SAND</t>
  </si>
  <si>
    <t>1/15 - AOI</t>
  </si>
  <si>
    <r>
      <rPr>
        <b/>
        <strike/>
        <sz val="11"/>
        <color rgb="FF000000"/>
        <rFont val="Calibri"/>
        <family val="2"/>
      </rPr>
      <t xml:space="preserve">12/30 - ETA 1/8 </t>
    </r>
    <r>
      <rPr>
        <b/>
        <sz val="11"/>
        <color rgb="FF000000"/>
        <rFont val="Calibri"/>
        <family val="2"/>
      </rPr>
      <t>|1/2 RECVD</t>
    </r>
  </si>
  <si>
    <r>
      <rPr>
        <b/>
        <strike/>
        <sz val="11"/>
        <color rgb="FF000000"/>
        <rFont val="Calibri"/>
        <family val="2"/>
      </rPr>
      <t>12/30 - SHORT J1 ETA 12/31</t>
    </r>
    <r>
      <rPr>
        <b/>
        <sz val="11"/>
        <color rgb="FF000000"/>
        <rFont val="Calibri"/>
        <family val="2"/>
      </rPr>
      <t xml:space="preserve"> | 1/2 - KIT CLEAR</t>
    </r>
  </si>
  <si>
    <t>128119-1ST
NEW</t>
  </si>
  <si>
    <r>
      <rPr>
        <b/>
        <sz val="12"/>
        <color rgb="FF000000"/>
        <rFont val="Calibri"/>
        <family val="2"/>
      </rPr>
      <t xml:space="preserve">ship with B128118 (1 box)
</t>
    </r>
    <r>
      <rPr>
        <b/>
        <u/>
        <sz val="14"/>
        <color rgb="FF000000"/>
        <rFont val="Calibri"/>
        <family val="2"/>
      </rPr>
      <t xml:space="preserve">"U3" MIXED POP PER ECO
</t>
    </r>
    <r>
      <rPr>
        <b/>
        <sz val="11"/>
        <color rgb="FF000000"/>
        <rFont val="Calibri"/>
        <family val="2"/>
      </rPr>
      <t>"U2" AFTER WASH
"U1" POST BAKE IF BOARDS ARE WASHED
*** "J1" SEE ECO 7 BEFORE INSTALLING
ALL T/H HEADERS/TEST PIONTS FLUSH TO BOARD
DEPANEL</t>
    </r>
  </si>
  <si>
    <t>1/7 - BOT 8:00
1/7 - PAUSE 8:30</t>
  </si>
  <si>
    <t>1/9 - TOP</t>
  </si>
  <si>
    <t>1/9 - AOI</t>
  </si>
  <si>
    <r>
      <t xml:space="preserve">1/8 - ETA </t>
    </r>
    <r>
      <rPr>
        <b/>
        <sz val="11"/>
        <color rgb="FF000000"/>
        <rFont val="Calibri"/>
        <family val="2"/>
      </rPr>
      <t>01/2 RECVD</t>
    </r>
  </si>
  <si>
    <t>12/24 - SHORT J1 (THT) BUT ENOUGH FOR F/A |01/2 -KIT CLEAR FOR F/A</t>
  </si>
  <si>
    <t>1/6 - DS12 - DS15 ORIENTATION ISSUE</t>
  </si>
  <si>
    <t>128118-1ST
NEW</t>
  </si>
  <si>
    <r>
      <rPr>
        <b/>
        <sz val="11"/>
        <color rgb="FF000000"/>
        <rFont val="Calibri"/>
        <family val="2"/>
      </rPr>
      <t xml:space="preserve">ship with B128119 (1 box)
"U4" AFTER WASH
"U4" FLUSH TO BOARD
ALL T/H HEADERS/TEST PIONTS FLUSH </t>
    </r>
    <r>
      <rPr>
        <b/>
        <sz val="12"/>
        <color rgb="FFFF0000"/>
        <rFont val="Calibri"/>
        <family val="2"/>
      </rPr>
      <t xml:space="preserve">TO BOARD
*** "J1,3,5" SEE ECO 5 BEFORE INSTALLING
</t>
    </r>
    <r>
      <rPr>
        <b/>
        <sz val="11"/>
        <color rgb="FF000000"/>
        <rFont val="Calibri"/>
        <family val="2"/>
      </rPr>
      <t>DEPANEL</t>
    </r>
  </si>
  <si>
    <t>1/6 - BOT 7:00</t>
  </si>
  <si>
    <t>1/6 - TOP 8:30
1/6 - PAUSE 10:00
1/6 - TOP 1:30</t>
  </si>
  <si>
    <t>1/7 - aoi 12:00</t>
  </si>
  <si>
    <r>
      <rPr>
        <b/>
        <strike/>
        <sz val="11"/>
        <color rgb="FF000000"/>
        <rFont val="Calibri"/>
        <family val="2"/>
      </rPr>
      <t xml:space="preserve">12/24 - ETA 12/30 1/3
1/2 - NO ETA 1/10 </t>
    </r>
    <r>
      <rPr>
        <b/>
        <sz val="11"/>
        <color rgb="FF000000"/>
        <rFont val="Calibri"/>
        <family val="2"/>
      </rPr>
      <t>01/9 RECVD</t>
    </r>
  </si>
  <si>
    <r>
      <rPr>
        <b/>
        <strike/>
        <sz val="11"/>
        <color rgb="FF000000"/>
        <rFont val="Calibri"/>
        <family val="2"/>
      </rPr>
      <t xml:space="preserve">12/24 - SHORT "U3" AND "R70" - ETA 12/30/12/31
</t>
    </r>
    <r>
      <rPr>
        <b/>
        <sz val="11"/>
        <color rgb="FF000000"/>
        <rFont val="Calibri"/>
        <family val="2"/>
      </rPr>
      <t>12/30 - MATL CLEAR</t>
    </r>
  </si>
  <si>
    <t>130442
RONC 130431</t>
  </si>
  <si>
    <r>
      <rPr>
        <b/>
        <sz val="14"/>
        <color rgb="FF000000"/>
        <rFont val="Calibri"/>
        <family val="2"/>
      </rPr>
      <t xml:space="preserve">01/14
</t>
    </r>
    <r>
      <rPr>
        <b/>
        <sz val="14"/>
        <color rgb="FFFF0000"/>
        <rFont val="Calibri"/>
        <family val="2"/>
      </rPr>
      <t>3D</t>
    </r>
  </si>
  <si>
    <r>
      <rPr>
        <b/>
        <sz val="14"/>
        <color rgb="FFFF0000"/>
        <rFont val="Calibri"/>
        <family val="2"/>
      </rPr>
      <t xml:space="preserve">*** 3 DAY TURN ***
</t>
    </r>
    <r>
      <rPr>
        <b/>
        <sz val="11"/>
        <color rgb="FF000000"/>
        <rFont val="Calibri"/>
        <family val="2"/>
      </rPr>
      <t xml:space="preserve">"F1, LS1, SW1" AFTER WASH
DEPANEL
</t>
    </r>
    <r>
      <rPr>
        <b/>
        <sz val="11"/>
        <color rgb="FFFF0000"/>
        <rFont val="Calibri"/>
        <family val="2"/>
      </rPr>
      <t>***PACK IN ALUMINUM ESD BAGS</t>
    </r>
  </si>
  <si>
    <t>1/10 - TOP 7:00</t>
  </si>
  <si>
    <t>1/10 - AOI 10:00</t>
  </si>
  <si>
    <t>12/24</t>
  </si>
  <si>
    <r>
      <rPr>
        <b/>
        <strike/>
        <sz val="11"/>
        <color rgb="FF000000"/>
        <rFont val="Calibri"/>
        <family val="2"/>
      </rPr>
      <t xml:space="preserve">01/7 - NO 
</t>
    </r>
    <r>
      <rPr>
        <b/>
        <strike/>
        <sz val="11"/>
        <color rgb="FFFF0000"/>
        <rFont val="Calibri"/>
        <family val="2"/>
      </rPr>
      <t xml:space="preserve">ETA 1/8 </t>
    </r>
    <r>
      <rPr>
        <b/>
        <sz val="11"/>
        <color rgb="FFFF0000"/>
        <rFont val="Calibri"/>
        <family val="2"/>
      </rPr>
      <t>1/9 RECVD</t>
    </r>
  </si>
  <si>
    <r>
      <rPr>
        <b/>
        <strike/>
        <sz val="11"/>
        <color rgb="FF000000"/>
        <rFont val="Calibri"/>
        <family val="2"/>
      </rPr>
      <t xml:space="preserve">01/7 - SHORT D5 (SMT), J10_1 (THT) WITH NO ETA
</t>
    </r>
    <r>
      <rPr>
        <b/>
        <sz val="11"/>
        <color rgb="FFFF0000"/>
        <rFont val="Calibri"/>
        <family val="2"/>
      </rPr>
      <t>1/8 - MATL CLEAR</t>
    </r>
  </si>
  <si>
    <t>1/9 - BOT QTY 5 COMPLETE</t>
  </si>
  <si>
    <t>130546
NEW</t>
  </si>
  <si>
    <t>"SW1. PZ1" AFTER WASH</t>
  </si>
  <si>
    <t>1/9 - BOT 12:00</t>
  </si>
  <si>
    <t>1/10 - AOI 1:30</t>
  </si>
  <si>
    <r>
      <rPr>
        <b/>
        <strike/>
        <sz val="11"/>
        <color rgb="FF000000"/>
        <rFont val="Calibri"/>
        <family val="2"/>
      </rPr>
      <t>01/07 PCB DUE</t>
    </r>
    <r>
      <rPr>
        <b/>
        <sz val="11"/>
        <color rgb="FF000000"/>
        <rFont val="Calibri"/>
        <family val="2"/>
      </rPr>
      <t xml:space="preserve"> </t>
    </r>
  </si>
  <si>
    <r>
      <rPr>
        <b/>
        <strike/>
        <sz val="11"/>
        <color rgb="FF000000"/>
        <rFont val="Calibri"/>
        <family val="2"/>
      </rPr>
      <t>12/30 - C20 and U1 WITH NO ETA.</t>
    </r>
    <r>
      <rPr>
        <b/>
        <sz val="11"/>
        <color rgb="FF000000"/>
        <rFont val="Calibri"/>
        <family val="2"/>
      </rPr>
      <t xml:space="preserve"> 01/6 -KIT CLEAR</t>
    </r>
  </si>
  <si>
    <t>1/9 - QTY 45 COMPLETE</t>
  </si>
  <si>
    <t>130322
NEW</t>
  </si>
  <si>
    <t>1/13
5D</t>
  </si>
  <si>
    <t>DEPANEL
LIST SERIAL NUMBER ON CoFC PER ECO 3</t>
  </si>
  <si>
    <t>1/9 - TOP 9:30</t>
  </si>
  <si>
    <t>1/10 - AOI 7:00</t>
  </si>
  <si>
    <t>C</t>
  </si>
  <si>
    <t>PCB CLEAR</t>
  </si>
  <si>
    <r>
      <rPr>
        <b/>
        <strike/>
        <sz val="11"/>
        <color rgb="FF000000"/>
        <rFont val="Calibri"/>
        <family val="2"/>
      </rPr>
      <t xml:space="preserve">12/30 - SHORT "R5, Q1" ALTA BUYING - SHOULD CLEAR BY 12/31
</t>
    </r>
    <r>
      <rPr>
        <b/>
        <sz val="11"/>
        <color rgb="FF000000"/>
        <rFont val="Calibri"/>
        <family val="2"/>
      </rPr>
      <t>12/31 - KIT CLEAR</t>
    </r>
  </si>
  <si>
    <t>130060
NEW</t>
  </si>
  <si>
    <r>
      <rPr>
        <b/>
        <sz val="14"/>
        <color rgb="FF000000"/>
        <rFont val="Calibri"/>
        <family val="2"/>
      </rPr>
      <t xml:space="preserve">1/13
</t>
    </r>
    <r>
      <rPr>
        <b/>
        <strike/>
        <sz val="14"/>
        <color rgb="FF000000"/>
        <rFont val="Calibri"/>
        <family val="2"/>
      </rPr>
      <t xml:space="preserve">*1/15
</t>
    </r>
    <r>
      <rPr>
        <b/>
        <sz val="14"/>
        <color rgb="FF000000"/>
        <rFont val="Calibri"/>
        <family val="2"/>
      </rPr>
      <t>10D</t>
    </r>
  </si>
  <si>
    <t>1/3 - TOP 1:30</t>
  </si>
  <si>
    <t>1/6 - AOI 9:00</t>
  </si>
  <si>
    <r>
      <rPr>
        <b/>
        <strike/>
        <sz val="11"/>
        <color rgb="FF000000"/>
        <rFont val="Calibri"/>
        <family val="2"/>
      </rPr>
      <t xml:space="preserve">NO ETA
</t>
    </r>
    <r>
      <rPr>
        <b/>
        <sz val="11"/>
        <color rgb="FF000000"/>
        <rFont val="Calibri"/>
        <family val="2"/>
      </rPr>
      <t>1/7 PCB DUE</t>
    </r>
  </si>
  <si>
    <t>12/19 - SHORT U17, U43.., U28.., U2.., OS1..,Q8 (SMT) AND L1.., J1.., TP1.. (THT) WILL BE HERE TODAY.</t>
  </si>
  <si>
    <t>12/19 - THOMAS... WATCH OUT FOR THIS JOB. 112 LINES &amp; PCB COULD COME</t>
  </si>
  <si>
    <t>129735
NEW</t>
  </si>
  <si>
    <r>
      <rPr>
        <b/>
        <sz val="14"/>
        <color rgb="FF000000"/>
        <rFont val="Calibri"/>
        <family val="2"/>
      </rPr>
      <t xml:space="preserve">1/13
</t>
    </r>
    <r>
      <rPr>
        <b/>
        <sz val="14"/>
        <color rgb="FFFF0000"/>
        <rFont val="Calibri"/>
        <family val="2"/>
      </rPr>
      <t>3D</t>
    </r>
  </si>
  <si>
    <r>
      <rPr>
        <b/>
        <sz val="11"/>
        <color rgb="FFFF0000"/>
        <rFont val="Calibri"/>
        <family val="2"/>
      </rPr>
      <t xml:space="preserve">CLASS 3
</t>
    </r>
    <r>
      <rPr>
        <b/>
        <sz val="11"/>
        <color rgb="FF000000"/>
        <rFont val="Calibri"/>
        <family val="2"/>
      </rPr>
      <t xml:space="preserve">LEAD WASH PROCESS
PRE-BAKE "U28 &amp; RELATED"
</t>
    </r>
    <r>
      <rPr>
        <b/>
        <sz val="14"/>
        <color rgb="FFFF0000"/>
        <rFont val="Calibri"/>
        <family val="2"/>
      </rPr>
      <t xml:space="preserve">*** *** SPECIFIC "3M 1205" </t>
    </r>
    <r>
      <rPr>
        <b/>
        <u/>
        <sz val="16"/>
        <color rgb="FFFF0000"/>
        <rFont val="Calibri"/>
        <family val="2"/>
      </rPr>
      <t xml:space="preserve">KAPTON TAPE REQ PER ECO... Apply Kapton tape to the bottom (board contacting) face of L1 L2 L3 L4 prior to install
</t>
    </r>
    <r>
      <rPr>
        <b/>
        <sz val="11"/>
        <color rgb="FF000000"/>
        <rFont val="Calibri"/>
        <family val="2"/>
      </rPr>
      <t>PRESS FIT "P10, 11, 12"
"J1,2" MECH REQ
TRIM LEADS PER CLASS 3
"P10" SEE ECO 10 FOR BOWING</t>
    </r>
  </si>
  <si>
    <t>1/8 - BOT 8:30</t>
  </si>
  <si>
    <t>1/8 - PAUSE 10:30
1/8 - TOP 3:30</t>
  </si>
  <si>
    <t>12/19</t>
  </si>
  <si>
    <r>
      <rPr>
        <b/>
        <strike/>
        <sz val="11"/>
        <color rgb="FF000000"/>
        <rFont val="Calibri"/>
        <family val="2"/>
      </rPr>
      <t>1/3 - NO ETA 01/8</t>
    </r>
    <r>
      <rPr>
        <b/>
        <sz val="11"/>
        <color rgb="FF000000"/>
        <rFont val="Calibri"/>
        <family val="2"/>
      </rPr>
      <t xml:space="preserve"> RECVD 1/7, PENDING COUNT/VERIFY</t>
    </r>
  </si>
  <si>
    <r>
      <rPr>
        <b/>
        <strike/>
        <sz val="11"/>
        <color rgb="FF000000"/>
        <rFont val="Calibri"/>
        <family val="2"/>
      </rPr>
      <t>1/3 - ONLY PARTIAL SHORT "D15" EXPECTING TO BE HERE MONDAY/TUESDAY</t>
    </r>
    <r>
      <rPr>
        <b/>
        <sz val="11"/>
        <color rgb="FF000000"/>
        <rFont val="Calibri"/>
        <family val="2"/>
      </rPr>
      <t xml:space="preserve">. 
1/7 - MATL CLEAR </t>
    </r>
  </si>
  <si>
    <t>1/8 - QTY 55 BOT COMP</t>
  </si>
  <si>
    <t>130515
NEW</t>
  </si>
  <si>
    <t>"L2, U42, SW1, SW3" AFTER WASH
POST BAK 30 MIN IF BOARDS ARE WASHED
DEPANEL &amp; SAND
PLACE LED1 PER ECO #3</t>
  </si>
  <si>
    <t>1/8 - BOT 12:00</t>
  </si>
  <si>
    <t>1/9 - TOP 4:00</t>
  </si>
  <si>
    <t>1/9 - AOI 12:00</t>
  </si>
  <si>
    <t>DOES J15 (TOP) OVERHANG</t>
  </si>
  <si>
    <t>DOC REL 1/2</t>
  </si>
  <si>
    <t>1/3</t>
  </si>
  <si>
    <r>
      <t>12/26 - NO ETA
12/31 - ETA</t>
    </r>
    <r>
      <rPr>
        <b/>
        <sz val="11"/>
        <color rgb="FF000000"/>
        <rFont val="Calibri"/>
        <family val="2"/>
      </rPr>
      <t xml:space="preserve"> 1/6 RECVD</t>
    </r>
  </si>
  <si>
    <r>
      <rPr>
        <b/>
        <strike/>
        <sz val="11"/>
        <color rgb="FF215C98"/>
        <rFont val="Calibri"/>
        <family val="2"/>
      </rPr>
      <t xml:space="preserve">12/26 - SHORT "P2,P3"
12/30 - MATL CLEAR | 01/6 - SHORT PARTIAL OF P2 &amp; P3 ETA MAYBE THIS WEEK
</t>
    </r>
    <r>
      <rPr>
        <b/>
        <sz val="11"/>
        <color rgb="FFFF0000"/>
        <rFont val="Calibri"/>
        <family val="2"/>
      </rPr>
      <t xml:space="preserve">1/9 - "P2, P3" TO ARRIVE ANYDAY | </t>
    </r>
    <r>
      <rPr>
        <b/>
        <sz val="11"/>
        <color rgb="FF000000"/>
        <rFont val="Calibri"/>
        <family val="2"/>
      </rPr>
      <t>01/10 - KIT CLEAR</t>
    </r>
  </si>
  <si>
    <t>SEE NOTES</t>
  </si>
  <si>
    <t>130501
NEW</t>
  </si>
  <si>
    <r>
      <rPr>
        <b/>
        <sz val="14"/>
        <color rgb="FF000000"/>
        <rFont val="Calibri"/>
        <family val="2"/>
      </rPr>
      <t xml:space="preserve">01/13
</t>
    </r>
    <r>
      <rPr>
        <b/>
        <sz val="14"/>
        <color rgb="FFFF0000"/>
        <rFont val="Calibri"/>
        <family val="2"/>
      </rPr>
      <t>1D</t>
    </r>
  </si>
  <si>
    <r>
      <rPr>
        <b/>
        <sz val="11"/>
        <color rgb="FF000000"/>
        <rFont val="Calibri"/>
        <family val="2"/>
      </rPr>
      <t xml:space="preserve">T/H ONLY
</t>
    </r>
    <r>
      <rPr>
        <b/>
        <u/>
        <sz val="14"/>
        <color rgb="FFFF0000"/>
        <rFont val="Calibri"/>
        <family val="2"/>
      </rPr>
      <t xml:space="preserve">NOTE: "P1' P2" ARE CUSTOM MACHINED PARTS AND NEED TO BE PLACED @ SMT
</t>
    </r>
    <r>
      <rPr>
        <b/>
        <u/>
        <sz val="16"/>
        <color rgb="FFFF0000"/>
        <rFont val="Calibri"/>
        <family val="2"/>
      </rPr>
      <t>*** DO NOT LOSE PARTS!!!</t>
    </r>
  </si>
  <si>
    <t>1/10 - TOP 10:30</t>
  </si>
  <si>
    <t>1/10 - AOI 11:30</t>
  </si>
  <si>
    <t>12/26</t>
  </si>
  <si>
    <t>12/19 12/27 - 1/7 PCB DUE</t>
  </si>
  <si>
    <r>
      <rPr>
        <b/>
        <strike/>
        <sz val="11"/>
        <color rgb="FF000000"/>
        <rFont val="Calibri"/>
        <family val="2"/>
      </rPr>
      <t xml:space="preserve">12/19 - SHORT C2A.., J3.., R57.., R58.., Q8.. (SMT) SHORT 10PCS WITH NO ETA 1/8 | *SOME OF THE SHORTAGE EXPECT TO BE HERE TODAY.
12/23 - SHORT 
</t>
    </r>
    <r>
      <rPr>
        <b/>
        <sz val="11"/>
        <color rgb="FF000000"/>
        <rFont val="Calibri"/>
        <family val="2"/>
      </rPr>
      <t>1/9 - KIT CLEAR</t>
    </r>
  </si>
  <si>
    <t>12/23 - “J3,4” &amp; "Q8x12" OK TO SKIP
1/7 - Q8x12 top side</t>
  </si>
  <si>
    <t>130047
NEW</t>
  </si>
  <si>
    <r>
      <rPr>
        <b/>
        <sz val="14"/>
        <color rgb="FF000000"/>
        <rFont val="Calibri"/>
        <family val="2"/>
      </rPr>
      <t xml:space="preserve">1/10
</t>
    </r>
    <r>
      <rPr>
        <b/>
        <strike/>
        <sz val="14"/>
        <color rgb="FF000000"/>
        <rFont val="Calibri"/>
        <family val="2"/>
      </rPr>
      <t xml:space="preserve">01/14
</t>
    </r>
    <r>
      <rPr>
        <b/>
        <sz val="14"/>
        <color rgb="FF000000"/>
        <rFont val="Calibri"/>
        <family val="2"/>
      </rPr>
      <t>3D</t>
    </r>
  </si>
  <si>
    <r>
      <rPr>
        <b/>
        <sz val="14"/>
        <color rgb="FFFF0000"/>
        <rFont val="Calibri"/>
        <family val="2"/>
      </rPr>
      <t xml:space="preserve">*** 3 DAY TURN ***
</t>
    </r>
    <r>
      <rPr>
        <b/>
        <sz val="11"/>
        <color rgb="FF000000"/>
        <rFont val="Calibri"/>
        <family val="2"/>
      </rPr>
      <t xml:space="preserve">LEAD WASH PROCESS
24HR PREBAKE PER ECO #3
USE Sn63/Pb37 SOLDER PASTE
</t>
    </r>
    <r>
      <rPr>
        <b/>
        <sz val="11"/>
        <color rgb="FFFF0000"/>
        <rFont val="Calibri"/>
        <family val="2"/>
      </rPr>
      <t xml:space="preserve">CLASS 3
</t>
    </r>
    <r>
      <rPr>
        <b/>
        <sz val="11"/>
        <color rgb="FF000000"/>
        <rFont val="Calibri"/>
        <family val="2"/>
      </rPr>
      <t xml:space="preserve">MECH PER ECO 7
TRIM LEADS 0.25 MAX
"P10" SEE ECO 10 FOR BOWING
</t>
    </r>
    <r>
      <rPr>
        <b/>
        <sz val="14"/>
        <color rgb="FFFF0000"/>
        <rFont val="Calibri"/>
        <family val="2"/>
      </rPr>
      <t xml:space="preserve">*** SPECIFIC "3M 1205" </t>
    </r>
    <r>
      <rPr>
        <b/>
        <u/>
        <sz val="16"/>
        <color rgb="FFFF0000"/>
        <rFont val="Calibri"/>
        <family val="2"/>
      </rPr>
      <t xml:space="preserve">KAPTON TAPE REQ PER ECO... </t>
    </r>
    <r>
      <rPr>
        <b/>
        <u/>
        <sz val="16"/>
        <color rgb="FF000000"/>
        <rFont val="Calibri"/>
        <family val="2"/>
      </rPr>
      <t>Apply Kapton tape to the bottom (board contacting) face of L1 L2 L3 L4 prior to install</t>
    </r>
  </si>
  <si>
    <t>1/8 - BOT 7:00</t>
  </si>
  <si>
    <t>1/8 - TOP 9:00</t>
  </si>
  <si>
    <t>1/8 - AOI 12:00</t>
  </si>
  <si>
    <r>
      <rPr>
        <b/>
        <strike/>
        <sz val="11"/>
        <color rgb="FF000000"/>
        <rFont val="Calibri"/>
        <family val="2"/>
      </rPr>
      <t>ETA 12/31 ? 1/2</t>
    </r>
    <r>
      <rPr>
        <b/>
        <sz val="11"/>
        <color rgb="FF000000"/>
        <rFont val="Calibri"/>
        <family val="2"/>
      </rPr>
      <t xml:space="preserve"> |1/6 RECVD</t>
    </r>
  </si>
  <si>
    <r>
      <t xml:space="preserve">12/26 - C804 &amp; C400 WAITING FOR CONFIRM | </t>
    </r>
    <r>
      <rPr>
        <b/>
        <sz val="11"/>
        <color rgb="FF000000"/>
        <rFont val="Calibri"/>
        <family val="2"/>
      </rPr>
      <t>1/6 - KIT CLEAR</t>
    </r>
  </si>
  <si>
    <t>1/7 - about 55 complete</t>
  </si>
  <si>
    <t>129950
NEW</t>
  </si>
  <si>
    <t>25 + 75</t>
  </si>
  <si>
    <r>
      <rPr>
        <b/>
        <sz val="14"/>
        <color rgb="FF000000"/>
        <rFont val="Calibri"/>
        <family val="2"/>
      </rPr>
      <t xml:space="preserve">1/10
</t>
    </r>
    <r>
      <rPr>
        <b/>
        <strike/>
        <sz val="14"/>
        <color rgb="FF000000"/>
        <rFont val="Calibri"/>
        <family val="2"/>
      </rPr>
      <t xml:space="preserve">1/13
</t>
    </r>
    <r>
      <rPr>
        <b/>
        <sz val="14"/>
        <color rgb="FF000000"/>
        <rFont val="Calibri"/>
        <family val="2"/>
      </rPr>
      <t>5D</t>
    </r>
  </si>
  <si>
    <r>
      <rPr>
        <b/>
        <sz val="14"/>
        <color rgb="FFFF0000"/>
        <rFont val="Calibri"/>
        <family val="2"/>
      </rPr>
      <t xml:space="preserve">*** PAID EXPEDITE ***
</t>
    </r>
    <r>
      <rPr>
        <b/>
        <u/>
        <sz val="14"/>
        <color rgb="FFFF0000"/>
        <rFont val="Calibri"/>
        <family val="2"/>
      </rPr>
      <t xml:space="preserve">SPLIT SHIPMENT - QTY 25 TO 1170 HOWELL MILL RD 
</t>
    </r>
    <r>
      <rPr>
        <b/>
        <sz val="11"/>
        <color rgb="FF000000"/>
        <rFont val="Calibri"/>
        <family val="2"/>
      </rPr>
      <t>TRUE NO CLEAN  BUILD
FLUSH MOUNT COMPONENTS
DEPANEL</t>
    </r>
  </si>
  <si>
    <t>1/7 - BOT 9:30</t>
  </si>
  <si>
    <t>1/7 - TOP 12:00</t>
  </si>
  <si>
    <t>1/8 - AOI 9:00</t>
  </si>
  <si>
    <t>STENCIL WRONG B#</t>
  </si>
  <si>
    <r>
      <rPr>
        <b/>
        <strike/>
        <sz val="11"/>
        <color rgb="FF000000"/>
        <rFont val="Calibri"/>
        <family val="2"/>
      </rPr>
      <t xml:space="preserve">12/27 - ETA
</t>
    </r>
    <r>
      <rPr>
        <b/>
        <sz val="11"/>
        <color rgb="FF000000"/>
        <rFont val="Calibri"/>
        <family val="2"/>
      </rPr>
      <t>12/30 - RECVD</t>
    </r>
  </si>
  <si>
    <r>
      <t>12/24 - SHORT C25, C211, C58, D47, U8, R199, R105 and Q8, WITH NO ETA | C15, Y1, D10, U25, U3, U66, U46, TB2, FB3, R323, Q32 and Q13 WAITING FOR CONFIRM</t>
    </r>
    <r>
      <rPr>
        <b/>
        <sz val="11"/>
        <color rgb="FF000000"/>
        <rFont val="Calibri"/>
        <family val="2"/>
      </rPr>
      <t xml:space="preserve"> | 01/3 - KIT CLEAR</t>
    </r>
  </si>
  <si>
    <t>130310
NEW</t>
  </si>
  <si>
    <t>01/10
5D</t>
  </si>
  <si>
    <t>"SW1-4" AFTER WASH
"TB2" JUMPER WIRE REQ PER ECO
DEPANEL
MAKE SURE TO REMOVE ALL PICK &amp; PLACE TABS AND STICKERS PRIOR TO SHIPPING
BAG &amp; BOX TO KEEP BOARDS SAFE FROM DAMAGE</t>
  </si>
  <si>
    <t>1/7 - bot 6:00</t>
  </si>
  <si>
    <t>1/7 - top 9:30</t>
  </si>
  <si>
    <t>1/7 - AOI 3:00</t>
  </si>
  <si>
    <r>
      <rPr>
        <b/>
        <strike/>
        <sz val="11"/>
        <color rgb="FF000000"/>
        <rFont val="Calibri"/>
        <family val="2"/>
        <scheme val="minor"/>
      </rPr>
      <t xml:space="preserve">12/19 - 12/23 -PCB DUE
</t>
    </r>
    <r>
      <rPr>
        <b/>
        <sz val="11"/>
        <color rgb="FFFF0000"/>
        <rFont val="Calibri"/>
        <family val="2"/>
        <scheme val="minor"/>
      </rPr>
      <t>12/30 - WE HAVE 2/3 PCBS - 3RD GOT SENT BACK TO CUST BY MISTAK</t>
    </r>
    <r>
      <rPr>
        <b/>
        <sz val="11"/>
        <color rgb="FF000000"/>
        <rFont val="Calibri"/>
        <family val="2"/>
        <scheme val="minor"/>
      </rPr>
      <t>E</t>
    </r>
  </si>
  <si>
    <r>
      <rPr>
        <b/>
        <strike/>
        <sz val="11"/>
        <color rgb="FF000000"/>
        <rFont val="Calibri"/>
        <family val="2"/>
      </rPr>
      <t xml:space="preserve">SHORT ITEM #41 &amp; #42 (THT), WILL TRANSFER FROM B129924 TO THIS KIT ON MONDAY
</t>
    </r>
    <r>
      <rPr>
        <b/>
        <sz val="11"/>
        <color rgb="FF000000"/>
        <rFont val="Calibri"/>
        <family val="2"/>
      </rPr>
      <t>12/16 MATL CEAR
1/6 - KIT CLEAR</t>
    </r>
  </si>
  <si>
    <r>
      <rPr>
        <b/>
        <strike/>
        <sz val="11"/>
        <color rgb="FF4EA72E"/>
        <rFont val="Calibri"/>
        <family val="2"/>
      </rPr>
      <t xml:space="preserve">WOULD NEED TO CLEAR BY 12/19
</t>
    </r>
    <r>
      <rPr>
        <b/>
        <sz val="11"/>
        <color rgb="FFFF0000"/>
        <rFont val="Calibri"/>
        <family val="2"/>
      </rPr>
      <t xml:space="preserve">SHOULD CLEAR </t>
    </r>
    <r>
      <rPr>
        <b/>
        <strike/>
        <sz val="11"/>
        <color rgb="FFFF0000"/>
        <rFont val="Calibri"/>
        <family val="2"/>
      </rPr>
      <t>12/23</t>
    </r>
    <r>
      <rPr>
        <b/>
        <sz val="11"/>
        <color rgb="FFFF0000"/>
        <rFont val="Calibri"/>
        <family val="2"/>
      </rPr>
      <t>, 1/6</t>
    </r>
  </si>
  <si>
    <t>129925
ROWC 129924</t>
  </si>
  <si>
    <r>
      <rPr>
        <b/>
        <sz val="14"/>
        <color rgb="FF000000"/>
        <rFont val="Calibri"/>
        <family val="2"/>
      </rPr>
      <t xml:space="preserve">01/9
</t>
    </r>
    <r>
      <rPr>
        <b/>
        <sz val="14"/>
        <color rgb="FFFF0000"/>
        <rFont val="Calibri"/>
        <family val="2"/>
      </rPr>
      <t>3D</t>
    </r>
  </si>
  <si>
    <t>CLASS 3
LEAD WASH PROCESS
PRE-BAKE "Q15_1 &amp; RELATED)
USE Sn63/Pb37 
PRESS FIT
STAKING 2216 PER ECO 8
"PS2" THERMAL PAD REQ
"J1, J2" MECH REQ</t>
  </si>
  <si>
    <t>1/6 - TOP 11:30</t>
  </si>
  <si>
    <t>1/6 - AOI 2:00</t>
  </si>
  <si>
    <t>12/24 - PCB RECVD</t>
  </si>
  <si>
    <r>
      <rPr>
        <b/>
        <strike/>
        <sz val="11"/>
        <color rgb="FF000000"/>
        <rFont val="Calibri"/>
        <family val="2"/>
      </rPr>
      <t xml:space="preserve">12/24 - EXPECTED CLEAR DATE 12/30-12/31 | </t>
    </r>
    <r>
      <rPr>
        <b/>
        <strike/>
        <sz val="11"/>
        <color rgb="FFFF0000"/>
        <rFont val="Calibri"/>
        <family val="2"/>
      </rPr>
      <t>12/31 - STILL SHORT R30 &amp; R26 (SMT) - OK TO SKIP IF NEED SOMETHING TO RUN</t>
    </r>
    <r>
      <rPr>
        <b/>
        <sz val="11"/>
        <color rgb="FFFF0000"/>
        <rFont val="Calibri"/>
        <family val="2"/>
      </rPr>
      <t xml:space="preserve"> | </t>
    </r>
    <r>
      <rPr>
        <b/>
        <sz val="11"/>
        <color rgb="FF000000"/>
        <rFont val="Calibri"/>
        <family val="2"/>
      </rPr>
      <t>01/02 KIT CLEAR</t>
    </r>
  </si>
  <si>
    <t>130356
ROWC 123232</t>
  </si>
  <si>
    <t>01/09
5D</t>
  </si>
  <si>
    <t xml:space="preserve">CHECK PCB - MAY HAVE TO CUT BY HAND?
NO CLEAN SOLDER REQ
</t>
  </si>
  <si>
    <t>1/3 - TOP 10:30</t>
  </si>
  <si>
    <t>1/4 - AOI</t>
  </si>
  <si>
    <r>
      <rPr>
        <b/>
        <strike/>
        <sz val="11"/>
        <color rgb="FF000000"/>
        <rFont val="Calibri"/>
        <family val="2"/>
      </rPr>
      <t>12/24 - NO ETA
1/3 - ETA</t>
    </r>
    <r>
      <rPr>
        <b/>
        <sz val="11"/>
        <color rgb="FF000000"/>
        <rFont val="Calibri"/>
        <family val="2"/>
      </rPr>
      <t xml:space="preserve"> 1/8 RECVD</t>
    </r>
  </si>
  <si>
    <t>12/24 - MATL CLEAR
01/8 - KIT CLEAR</t>
  </si>
  <si>
    <t>130431
NEW</t>
  </si>
  <si>
    <r>
      <rPr>
        <b/>
        <sz val="14"/>
        <color rgb="FF000000"/>
        <rFont val="Calibri"/>
        <family val="2"/>
      </rPr>
      <t xml:space="preserve">01/9
</t>
    </r>
    <r>
      <rPr>
        <b/>
        <sz val="14"/>
        <color rgb="FFFF0000"/>
        <rFont val="Calibri"/>
        <family val="2"/>
      </rPr>
      <t>1D</t>
    </r>
  </si>
  <si>
    <r>
      <rPr>
        <b/>
        <sz val="14"/>
        <color rgb="FFFF0000"/>
        <rFont val="Calibri"/>
        <family val="2"/>
      </rPr>
      <t xml:space="preserve">*** 1 DAY TURN ***
</t>
    </r>
    <r>
      <rPr>
        <b/>
        <sz val="11"/>
        <color rgb="FF000000"/>
        <rFont val="Calibri"/>
        <family val="2"/>
      </rPr>
      <t xml:space="preserve">"F1, LS1, SW1" AFTER WASH
DEPANEL
</t>
    </r>
    <r>
      <rPr>
        <b/>
        <sz val="11"/>
        <color rgb="FFFF0000"/>
        <rFont val="Calibri"/>
        <family val="2"/>
      </rPr>
      <t>***PACK IN ALUMINUM ESD BAGS</t>
    </r>
  </si>
  <si>
    <t>1/8 - TOP 10:30</t>
  </si>
  <si>
    <t>1/8 - AOI 3:30</t>
  </si>
  <si>
    <r>
      <rPr>
        <b/>
        <strike/>
        <sz val="11"/>
        <color rgb="FF000000"/>
        <rFont val="Calibri"/>
        <family val="2"/>
      </rPr>
      <t xml:space="preserve">NO ETA </t>
    </r>
    <r>
      <rPr>
        <b/>
        <sz val="11"/>
        <color rgb="FF000000"/>
        <rFont val="Calibri"/>
        <family val="2"/>
      </rPr>
      <t>1/7 RECVD</t>
    </r>
  </si>
  <si>
    <t>01/07 - KIT CLEAR</t>
  </si>
  <si>
    <t>130508
NEW</t>
  </si>
  <si>
    <t>NO REFURBISHED PARTS ALLOWED
DEPANEL &amp; SAND</t>
  </si>
  <si>
    <t>01/2</t>
  </si>
  <si>
    <t>SHORT PCB, NO ETA</t>
  </si>
  <si>
    <r>
      <rPr>
        <b/>
        <strike/>
        <sz val="11"/>
        <color rgb="FF000000"/>
        <rFont val="Calibri"/>
        <family val="2"/>
      </rPr>
      <t xml:space="preserve">12/18 - SHORT C74, U30 is DNI, RP2 (SMT) ETA 12/20, TP12 is DNI (THT) WITH NO ETA.
12/23 - SHORT RP2 W/ NO ETA
</t>
    </r>
    <r>
      <rPr>
        <b/>
        <sz val="11"/>
        <color rgb="FF000000"/>
        <rFont val="Calibri"/>
        <family val="2"/>
      </rPr>
      <t>12/24 - KIT CLEAR</t>
    </r>
  </si>
  <si>
    <t>12/23 - SMT CEAR - "RP2" IS OK TO SKIP</t>
  </si>
  <si>
    <t>130143
NEW</t>
  </si>
  <si>
    <r>
      <rPr>
        <b/>
        <sz val="14"/>
        <color rgb="FF000000"/>
        <rFont val="Calibri"/>
        <family val="2"/>
      </rPr>
      <t xml:space="preserve">1/10
</t>
    </r>
    <r>
      <rPr>
        <b/>
        <strike/>
        <sz val="14"/>
        <color rgb="FF000000"/>
        <rFont val="Calibri"/>
        <family val="2"/>
      </rPr>
      <t xml:space="preserve">*1/13
</t>
    </r>
    <r>
      <rPr>
        <b/>
        <sz val="14"/>
        <color rgb="FF000000"/>
        <rFont val="Calibri"/>
        <family val="2"/>
      </rPr>
      <t>10D</t>
    </r>
  </si>
  <si>
    <t>"SW2" AFTER WASH
DEPABEL</t>
  </si>
  <si>
    <t>1/3 - TOP 8:00</t>
  </si>
  <si>
    <t>1/3 - AOI 10:30</t>
  </si>
  <si>
    <t xml:space="preserve">INFICON Inc.
</t>
  </si>
  <si>
    <r>
      <rPr>
        <b/>
        <strike/>
        <sz val="11"/>
        <color rgb="FF000000"/>
        <rFont val="Calibri"/>
        <family val="2"/>
        <scheme val="minor"/>
      </rPr>
      <t xml:space="preserve">12/11 -  SHORT 2 1 SMT (C122.. ETA 12/17) &amp; (C322.. ETA 12/12)
</t>
    </r>
    <r>
      <rPr>
        <b/>
        <sz val="11"/>
        <color rgb="FF000000"/>
        <rFont val="Calibri"/>
        <family val="2"/>
        <scheme val="minor"/>
      </rPr>
      <t>12/20 - KIT CLEAR</t>
    </r>
  </si>
  <si>
    <t>12/30 - J6 - J9 MISSING HOLES FOR GROUND PINS
12/31 - NEED NEW STENCIL</t>
  </si>
  <si>
    <t>124575
NEW</t>
  </si>
  <si>
    <t>"T1, T2, T3, SW1, SW,2 ,SW3" AFTER WASH</t>
  </si>
  <si>
    <t>12/30 - PAUSE 12:30
12/31 - BOT 7:30</t>
  </si>
  <si>
    <t>12/31 - TOP 9:00
12/31 - PAUSE 1:00
1/2 - TOP 2:00</t>
  </si>
  <si>
    <t>1/3 - AOI 8:00</t>
  </si>
  <si>
    <t>UCAR</t>
  </si>
  <si>
    <t>J6 - J9 MISSING JOLES FOR GROUND PINS</t>
  </si>
  <si>
    <r>
      <rPr>
        <b/>
        <strike/>
        <sz val="11"/>
        <color rgb="FF000000"/>
        <rFont val="Calibri"/>
        <family val="2"/>
      </rPr>
      <t xml:space="preserve">12/13 - SHORT U12 (SMT), EXPECT TO BE HERE NEXT WEEK.
</t>
    </r>
    <r>
      <rPr>
        <b/>
        <sz val="11"/>
        <color rgb="FF000000"/>
        <rFont val="Calibri"/>
        <family val="2"/>
      </rPr>
      <t>12/20 - KIT CLEAR</t>
    </r>
  </si>
  <si>
    <r>
      <rPr>
        <b/>
        <sz val="11"/>
        <color rgb="FF00B050"/>
        <rFont val="Calibri"/>
        <family val="2"/>
      </rPr>
      <t xml:space="preserve">12/13 - SHOULD CLEAR WK OF 12/16 / CAN SKIP "U12" IF NEEDED
</t>
    </r>
    <r>
      <rPr>
        <b/>
        <sz val="11"/>
        <color rgb="FF000000"/>
        <rFont val="Calibri"/>
        <family val="2"/>
      </rPr>
      <t>12/30 - J14 MISSING PADS FOR GROUND PINS</t>
    </r>
  </si>
  <si>
    <t>129645
NEW</t>
  </si>
  <si>
    <r>
      <rPr>
        <b/>
        <sz val="11"/>
        <color rgb="FF000000"/>
        <rFont val="Calibri"/>
        <family val="2"/>
      </rPr>
      <t xml:space="preserve">LEAD WASH PROCESS
DEPANEL
</t>
    </r>
    <r>
      <rPr>
        <b/>
        <sz val="11"/>
        <color rgb="FFFF0000"/>
        <rFont val="Calibri"/>
        <family val="2"/>
      </rPr>
      <t>** dni J14 AND SHIP WITH BOARDS</t>
    </r>
  </si>
  <si>
    <t>12/30 - BOT 10:00</t>
  </si>
  <si>
    <t>12/30 - PAUSE 12:00
12/31 - TOP 7:00</t>
  </si>
  <si>
    <t>12/31 - AOI 8:00</t>
  </si>
  <si>
    <t>SRI</t>
  </si>
  <si>
    <t>J14 MISSING PADS FOR GROUND PINS</t>
  </si>
  <si>
    <t>12/23 - PCB RECEIVED</t>
  </si>
  <si>
    <r>
      <rPr>
        <b/>
        <strike/>
        <sz val="11"/>
        <color rgb="FF156082"/>
        <rFont val="Calibri"/>
        <family val="2"/>
      </rPr>
      <t>12/23 - ALL SHORTAGE (14 SMT ITEMS  1 THT NO ETA)</t>
    </r>
    <r>
      <rPr>
        <b/>
        <sz val="11"/>
        <color rgb="FF156082"/>
        <rFont val="Calibri"/>
        <family val="2"/>
      </rPr>
      <t xml:space="preserve"> </t>
    </r>
    <r>
      <rPr>
        <b/>
        <strike/>
        <sz val="11"/>
        <color rgb="FF156082"/>
        <rFont val="Calibri"/>
        <family val="2"/>
      </rPr>
      <t>AT DIGIKEY, KIT</t>
    </r>
    <r>
      <rPr>
        <b/>
        <sz val="11"/>
        <color rgb="FF156082"/>
        <rFont val="Calibri"/>
        <family val="2"/>
      </rPr>
      <t xml:space="preserve"> </t>
    </r>
    <r>
      <rPr>
        <b/>
        <strike/>
        <sz val="11"/>
        <color rgb="FF000000"/>
        <rFont val="Calibri"/>
        <family val="2"/>
      </rPr>
      <t xml:space="preserve">SHOULD | BE CLEAR 12/30 OR 12/31 | 12/31 - SMT CLEAR | 
</t>
    </r>
    <r>
      <rPr>
        <b/>
        <sz val="11"/>
        <color rgb="FF000000"/>
        <rFont val="Calibri"/>
        <family val="2"/>
      </rPr>
      <t>01/02 -KIT CLEAR</t>
    </r>
  </si>
  <si>
    <t>130355
ROWC 123245</t>
  </si>
  <si>
    <t xml:space="preserve">NO CLEAN SOLDER ONLY
"BZ1" AFTER WASH
MAKE SURE BOARDS ARE CLEAN AAND FREE OF DEBRIS BEFORE BAGGING
</t>
  </si>
  <si>
    <t>1/3 - BOT 6:00</t>
  </si>
  <si>
    <r>
      <rPr>
        <b/>
        <strike/>
        <sz val="11"/>
        <color rgb="FF000000"/>
        <rFont val="Calibri"/>
        <family val="2"/>
      </rPr>
      <t xml:space="preserve">NO ETA </t>
    </r>
    <r>
      <rPr>
        <b/>
        <sz val="11"/>
        <color rgb="FF000000"/>
        <rFont val="Calibri"/>
        <family val="2"/>
      </rPr>
      <t>01/7 RECVD</t>
    </r>
  </si>
  <si>
    <r>
      <rPr>
        <b/>
        <strike/>
        <sz val="11"/>
        <color rgb="FF000000"/>
        <rFont val="Calibri"/>
        <family val="2"/>
      </rPr>
      <t xml:space="preserve">1/3 - ONLY SHORT PCB </t>
    </r>
    <r>
      <rPr>
        <b/>
        <sz val="11"/>
        <color rgb="FF000000"/>
        <rFont val="Calibri"/>
        <family val="2"/>
      </rPr>
      <t>1/7 - KIT CLEAR</t>
    </r>
  </si>
  <si>
    <t>130504
NEW</t>
  </si>
  <si>
    <r>
      <rPr>
        <b/>
        <sz val="14"/>
        <color rgb="FF000000"/>
        <rFont val="Calibri"/>
        <family val="2"/>
      </rPr>
      <t xml:space="preserve">01/8
</t>
    </r>
    <r>
      <rPr>
        <b/>
        <sz val="14"/>
        <color rgb="FFFF0000"/>
        <rFont val="Calibri"/>
        <family val="2"/>
      </rPr>
      <t>1D</t>
    </r>
  </si>
  <si>
    <t>"L2" AFTER WASH
NO REFURBISHED PARTS ALLOWED
DEPANEL &amp; SAND</t>
  </si>
  <si>
    <t>1/7 - AOI</t>
  </si>
  <si>
    <r>
      <rPr>
        <b/>
        <sz val="11"/>
        <color rgb="FF000000"/>
        <rFont val="Calibri"/>
        <family val="2"/>
      </rPr>
      <t xml:space="preserve">01/2 - </t>
    </r>
    <r>
      <rPr>
        <b/>
        <strike/>
        <sz val="11"/>
        <color rgb="FF000000"/>
        <rFont val="Calibri"/>
        <family val="2"/>
      </rPr>
      <t>SHORT J7 WITH NO ETA |</t>
    </r>
    <r>
      <rPr>
        <b/>
        <sz val="11"/>
        <color rgb="FF156082"/>
        <rFont val="Calibri"/>
        <family val="2"/>
      </rPr>
      <t xml:space="preserve"> </t>
    </r>
    <r>
      <rPr>
        <b/>
        <sz val="11"/>
        <color rgb="FFFF0000"/>
        <rFont val="Calibri"/>
        <family val="2"/>
      </rPr>
      <t xml:space="preserve">DNI J7 
</t>
    </r>
    <r>
      <rPr>
        <b/>
        <sz val="11"/>
        <color rgb="FF000000"/>
        <rFont val="Calibri"/>
        <family val="2"/>
      </rPr>
      <t>01/7 - KIT CLEAR</t>
    </r>
  </si>
  <si>
    <t>130503
NEW</t>
  </si>
  <si>
    <r>
      <rPr>
        <b/>
        <sz val="14"/>
        <color rgb="FF000000"/>
        <rFont val="Calibri"/>
        <family val="2"/>
      </rPr>
      <t xml:space="preserve">01/08
</t>
    </r>
    <r>
      <rPr>
        <b/>
        <sz val="14"/>
        <color rgb="FFFF0000"/>
        <rFont val="Calibri"/>
        <family val="2"/>
      </rPr>
      <t>1D</t>
    </r>
  </si>
  <si>
    <t>REQUESTED</t>
  </si>
  <si>
    <r>
      <rPr>
        <b/>
        <strike/>
        <sz val="11"/>
        <color rgb="FF000000"/>
        <rFont val="Calibri"/>
        <family val="2"/>
      </rPr>
      <t xml:space="preserve">12/26 - NO ETA </t>
    </r>
    <r>
      <rPr>
        <b/>
        <sz val="11"/>
        <color rgb="FF000000"/>
        <rFont val="Calibri"/>
        <family val="2"/>
      </rPr>
      <t>1/7 RECVD</t>
    </r>
  </si>
  <si>
    <t>12/26 - MATL CLEAR
01/7 - KIT CLEAR</t>
  </si>
  <si>
    <t>130506
NEW</t>
  </si>
  <si>
    <t>T/H ONLY
"P1x9" SEE ECO FOR PLACEMENT - SPECIFIC TOLERANCES REQUIRED</t>
  </si>
  <si>
    <t>RUN SMT FOR 1 PART</t>
  </si>
  <si>
    <r>
      <rPr>
        <b/>
        <sz val="11"/>
        <color rgb="FF000000"/>
        <rFont val="Calibri"/>
        <family val="2"/>
      </rPr>
      <t xml:space="preserve">12/16 - </t>
    </r>
    <r>
      <rPr>
        <b/>
        <strike/>
        <sz val="11"/>
        <color rgb="FF000000"/>
        <rFont val="Calibri"/>
        <family val="2"/>
      </rPr>
      <t>SHORT U6, U16, R77, R118 and  U2, (SMT) WITH NO ETA |</t>
    </r>
    <r>
      <rPr>
        <b/>
        <sz val="11"/>
        <color rgb="FF000000"/>
        <rFont val="Calibri"/>
        <family val="2"/>
      </rPr>
      <t xml:space="preserve">  </t>
    </r>
    <r>
      <rPr>
        <b/>
        <strike/>
        <sz val="11"/>
        <color rgb="FF000000"/>
        <rFont val="Calibri"/>
        <family val="2"/>
      </rPr>
      <t>U4_1, and R37</t>
    </r>
    <r>
      <rPr>
        <b/>
        <sz val="11"/>
        <color rgb="FF000000"/>
        <rFont val="Calibri"/>
        <family val="2"/>
      </rPr>
      <t xml:space="preserve"> </t>
    </r>
    <r>
      <rPr>
        <b/>
        <strike/>
        <sz val="11"/>
        <color rgb="FF000000"/>
        <rFont val="Calibri"/>
        <family val="2"/>
      </rPr>
      <t>WAITING FOR CONFIRM</t>
    </r>
    <r>
      <rPr>
        <b/>
        <sz val="11"/>
        <color rgb="FF000000"/>
        <rFont val="Calibri"/>
        <family val="2"/>
      </rPr>
      <t xml:space="preserve">. PS4 and Q4_1 are BTD.  
12/19 - KIT CLEAR
</t>
    </r>
    <r>
      <rPr>
        <b/>
        <sz val="11"/>
        <color rgb="FFFFFF00"/>
        <rFont val="Calibri"/>
        <family val="2"/>
      </rPr>
      <t>12/26 - CUST CIS CONFIRMING IF "U6 &amp; U21" ARE CORRECT?</t>
    </r>
  </si>
  <si>
    <r>
      <rPr>
        <b/>
        <strike/>
        <sz val="11"/>
        <color rgb="FF000000"/>
        <rFont val="Calibri"/>
        <family val="2"/>
      </rPr>
      <t xml:space="preserve">WOULD NEED TO CLEAR BY 12/19
</t>
    </r>
    <r>
      <rPr>
        <b/>
        <strike/>
        <sz val="11"/>
        <color rgb="FFFF0000"/>
        <rFont val="Calibri"/>
        <family val="2"/>
      </rPr>
      <t>12/19 - SMT CLEAR (SKIP 1 ITEM)</t>
    </r>
  </si>
  <si>
    <t>129720
NEW</t>
  </si>
  <si>
    <r>
      <rPr>
        <b/>
        <sz val="14"/>
        <color rgb="FF000000"/>
        <rFont val="Calibri"/>
        <family val="2"/>
      </rPr>
      <t xml:space="preserve">???
</t>
    </r>
    <r>
      <rPr>
        <b/>
        <strike/>
        <sz val="14"/>
        <color rgb="FF000000"/>
        <rFont val="Calibri"/>
        <family val="2"/>
      </rPr>
      <t xml:space="preserve">12/24
</t>
    </r>
    <r>
      <rPr>
        <b/>
        <sz val="14"/>
        <color rgb="FFFF0000"/>
        <rFont val="Calibri"/>
        <family val="2"/>
      </rPr>
      <t>3D</t>
    </r>
  </si>
  <si>
    <r>
      <rPr>
        <b/>
        <sz val="11"/>
        <color rgb="FFFF0000"/>
        <rFont val="Calibri"/>
        <family val="2"/>
      </rPr>
      <t xml:space="preserve">CLASS 3
</t>
    </r>
    <r>
      <rPr>
        <b/>
        <sz val="11"/>
        <color rgb="FF000000"/>
        <rFont val="Calibri"/>
        <family val="2"/>
      </rPr>
      <t>LEAD WASH PROCESS
USE Sn63/Pb37 SOLDER PASTE
"U13" LEAD FORMING REQUIRED
THERMAL PADS REQ PER ECO
"J1, J2" MECH REQ PER ECO
REMOVE SNV54LVCH244AFK  AND REPLACE WITH</t>
    </r>
  </si>
  <si>
    <t>12/20 - BOT 7:00</t>
  </si>
  <si>
    <t>12/20 - TOP 8:30</t>
  </si>
  <si>
    <t>12/20 - AOI 11:00</t>
  </si>
  <si>
    <t>12/24 - PCB DUE</t>
  </si>
  <si>
    <r>
      <rPr>
        <b/>
        <sz val="11"/>
        <color rgb="FF000000"/>
        <rFont val="Calibri"/>
        <family val="2"/>
      </rPr>
      <t xml:space="preserve">12/18 - SHORT PS1 DNI (THT) </t>
    </r>
    <r>
      <rPr>
        <b/>
        <strike/>
        <sz val="11"/>
        <color rgb="FF000000"/>
        <rFont val="Calibri"/>
        <family val="2"/>
      </rPr>
      <t xml:space="preserve">W/ NO ETA.
</t>
    </r>
    <r>
      <rPr>
        <b/>
        <sz val="11"/>
        <color rgb="FF000000"/>
        <rFont val="Calibri"/>
        <family val="2"/>
      </rPr>
      <t>12/19 - KIT CLEAR</t>
    </r>
  </si>
  <si>
    <t>128984
NEW</t>
  </si>
  <si>
    <t xml:space="preserve">LEAD WASH PROCESS
</t>
  </si>
  <si>
    <t>12/26 - TOP 8:00</t>
  </si>
  <si>
    <t>12/26 - AOI 11:30</t>
  </si>
  <si>
    <r>
      <rPr>
        <b/>
        <strike/>
        <sz val="11"/>
        <color rgb="FF000000"/>
        <rFont val="Calibri"/>
        <family val="2"/>
      </rPr>
      <t xml:space="preserve">12/24 - SHORT "C1, R6" ETA 12/27
</t>
    </r>
    <r>
      <rPr>
        <b/>
        <sz val="11"/>
        <color rgb="FF000000"/>
        <rFont val="Calibri"/>
        <family val="2"/>
      </rPr>
      <t>12/30 - KIT CLEAR</t>
    </r>
  </si>
  <si>
    <t>130393
NEW</t>
  </si>
  <si>
    <t>12/31 - TOP 1:00</t>
  </si>
  <si>
    <t>1/2 - AOI 8:00</t>
  </si>
  <si>
    <r>
      <rPr>
        <b/>
        <strike/>
        <sz val="11"/>
        <color rgb="FF000000"/>
        <rFont val="Calibri"/>
        <family val="2"/>
      </rPr>
      <t xml:space="preserve">12/11 - SHORT PCB WITH NO ETA
</t>
    </r>
    <r>
      <rPr>
        <b/>
        <sz val="11"/>
        <color rgb="FF000000"/>
        <rFont val="Calibri"/>
        <family val="2"/>
      </rPr>
      <t>12/23 - 37 BOT SMT COMP</t>
    </r>
  </si>
  <si>
    <t>129693
ROWC 129068</t>
  </si>
  <si>
    <t>*1/7
10D</t>
  </si>
  <si>
    <t>12/23 - TOP 8:00</t>
  </si>
  <si>
    <t>12/24 - TOP 10:00</t>
  </si>
  <si>
    <t>12/24 - AOI 3:30</t>
  </si>
  <si>
    <r>
      <t xml:space="preserve">12/27 - SHORT 1 PCB DUE 
</t>
    </r>
    <r>
      <rPr>
        <b/>
        <sz val="11"/>
        <color rgb="FF000000"/>
        <rFont val="Calibri"/>
        <family val="2"/>
      </rPr>
      <t>12/30 - RECVD</t>
    </r>
  </si>
  <si>
    <r>
      <rPr>
        <b/>
        <sz val="14"/>
        <color rgb="FFFF0000"/>
        <rFont val="Calibri"/>
        <family val="2"/>
      </rPr>
      <t xml:space="preserve">12/20 - SHORT Y4, Y3, U19, U40, PS1, PS2 ARE BTD | R23 NEED ATTRITION | </t>
    </r>
    <r>
      <rPr>
        <b/>
        <strike/>
        <sz val="14"/>
        <color rgb="FFFF0000"/>
        <rFont val="Calibri"/>
        <family val="2"/>
      </rPr>
      <t>U32, U1,</t>
    </r>
    <r>
      <rPr>
        <b/>
        <sz val="14"/>
        <color rgb="FFFF0000"/>
        <rFont val="Calibri"/>
        <family val="2"/>
      </rPr>
      <t xml:space="preserve"> SHORT H14 WITH NO ETA. 
12/31 - PS1 DOESN'T FIT PROPERLY
</t>
    </r>
    <r>
      <rPr>
        <b/>
        <u/>
        <sz val="14"/>
        <color rgb="FF000000"/>
        <rFont val="Calibri"/>
        <family val="2"/>
      </rPr>
      <t>1/6 - *** "PS1" IS NOW DNI &amp; ship with boards ***</t>
    </r>
  </si>
  <si>
    <t>129648
NEW</t>
  </si>
  <si>
    <r>
      <rPr>
        <b/>
        <sz val="14"/>
        <color rgb="FF000000"/>
        <rFont val="Calibri"/>
        <family val="2"/>
      </rPr>
      <t xml:space="preserve">1/7
</t>
    </r>
    <r>
      <rPr>
        <b/>
        <strike/>
        <sz val="14"/>
        <color rgb="FF000000"/>
        <rFont val="Calibri"/>
        <family val="2"/>
      </rPr>
      <t xml:space="preserve">*1/3
</t>
    </r>
    <r>
      <rPr>
        <b/>
        <sz val="14"/>
        <color rgb="FFFF0000"/>
        <rFont val="Calibri"/>
        <family val="2"/>
      </rPr>
      <t>3D</t>
    </r>
  </si>
  <si>
    <r>
      <rPr>
        <b/>
        <sz val="14"/>
        <color rgb="FFFF0000"/>
        <rFont val="Calibri"/>
        <family val="2"/>
      </rPr>
      <t xml:space="preserve">*** 3 DAY TURN ***
</t>
    </r>
    <r>
      <rPr>
        <b/>
        <sz val="11"/>
        <color rgb="FF000000"/>
        <rFont val="Calibri"/>
        <family val="2"/>
      </rPr>
      <t xml:space="preserve">LEAD WASH PROCESS
USE Sn63/Pb37 SOLDER PASTE
CLASS 3
24 HR PREBAKE "U2,U19, U35, U40"
KAPTON TAPE &amp; THERMAL GEL REQ FOR "U1, U32, H12, H13, H14" PER ECO NOTE 7
</t>
    </r>
    <r>
      <rPr>
        <b/>
        <sz val="14"/>
        <color rgb="FFFF0000"/>
        <rFont val="Calibri"/>
        <family val="2"/>
      </rPr>
      <t xml:space="preserve">*** "U1, U32, H13" REQUIRE SPECIAL STAKING W/ PARKER CHROMERICS THERMAGAP GEL 45
***STAKE "C19" W/ SCOTCH-WELD 2216 GRAY EPOXY 
</t>
    </r>
    <r>
      <rPr>
        <b/>
        <sz val="11"/>
        <color rgb="FF000000"/>
        <rFont val="Calibri"/>
        <family val="2"/>
      </rPr>
      <t>"PS1, PS2, PS3" THERMAL PAD REQ PER ECO NOTE 9
MECH REQ PER ECO #11</t>
    </r>
  </si>
  <si>
    <t>12/26 - BOT 6:30
12/26 - PAUSE 10:30
12/31 - BOT 6:00</t>
  </si>
  <si>
    <t>12/31 - TOP 7:00</t>
  </si>
  <si>
    <t>12/31 - AOI 1:00</t>
  </si>
  <si>
    <t>RUN TOP 1ST</t>
  </si>
  <si>
    <t>12/31 - KIT CLEAR</t>
  </si>
  <si>
    <t>130396
ROWC 129354</t>
  </si>
  <si>
    <t>SPLIT SHIPMENT PER ECO
QTY 10 TO PACKET DIGITAL
QTY 5 TO ANDURIL AUSTRALIA
QTY 10 &amp; EXCESS MATL TO ANDURIL INDUSTRIES
NOTE: THERE ARE DIFFERENT SHIP ACCOUNTS AND METHODS</t>
  </si>
  <si>
    <t>1/2 - BOT 8:00</t>
  </si>
  <si>
    <t>1/2 - TOP 10:00</t>
  </si>
  <si>
    <t>1/2 - AOI 2:00</t>
  </si>
  <si>
    <t>UPS RED
&amp;
FEDEX
INTL</t>
  </si>
  <si>
    <t>SPLIT SHIPMENT</t>
  </si>
  <si>
    <t>12/30 RECEVIED</t>
  </si>
  <si>
    <r>
      <rPr>
        <b/>
        <strike/>
        <sz val="11"/>
        <color rgb="FF000000"/>
        <rFont val="Calibri"/>
        <family val="2"/>
      </rPr>
      <t>12/30 - SHORT (11 SMT ITEM &amp; 7 THT ITEMS)  NO ETA|</t>
    </r>
    <r>
      <rPr>
        <b/>
        <sz val="11"/>
        <color rgb="FF000000"/>
        <rFont val="Calibri"/>
        <family val="2"/>
      </rPr>
      <t xml:space="preserve"> 
12/31 - KIT CLEAR</t>
    </r>
  </si>
  <si>
    <t>130357
ROWC 123244</t>
  </si>
  <si>
    <r>
      <rPr>
        <b/>
        <u/>
        <sz val="12"/>
        <color rgb="FFFF0000"/>
        <rFont val="Calibri"/>
        <family val="2"/>
      </rPr>
      <t xml:space="preserve">*** "K2-K9" AVOID EXCESSIVE HEAT AND/OR TIME AT HIGH TEMP PER ECO 1
</t>
    </r>
    <r>
      <rPr>
        <b/>
        <sz val="14"/>
        <color rgb="FFFF0000"/>
        <rFont val="Calibri"/>
        <family val="2"/>
      </rPr>
      <t xml:space="preserve">"U20" MASK OFF PER ECO
</t>
    </r>
    <r>
      <rPr>
        <b/>
        <sz val="11"/>
        <color rgb="FF000000"/>
        <rFont val="Calibri"/>
        <family val="2"/>
      </rPr>
      <t xml:space="preserve">"U2" AFTER WASH
*** "U6" was DNI, NOW LOAD
</t>
    </r>
    <r>
      <rPr>
        <b/>
        <u/>
        <sz val="12"/>
        <color rgb="FFFF0000"/>
        <rFont val="Calibri"/>
        <family val="2"/>
      </rPr>
      <t>"Q10, Q11" SEE ECO FOR SOLDER JOINT LEAD SPACING - POST BAKE REQ IF BOARDS ARE WASHE</t>
    </r>
    <r>
      <rPr>
        <b/>
        <u/>
        <sz val="11"/>
        <color rgb="FF000000"/>
        <rFont val="Calibri"/>
        <family val="2"/>
      </rPr>
      <t xml:space="preserve">D
</t>
    </r>
    <r>
      <rPr>
        <b/>
        <sz val="11"/>
        <color rgb="FF000000"/>
        <rFont val="Calibri"/>
        <family val="2"/>
      </rPr>
      <t>MAKE SURE BOARDS ARE CLEAN AND FREE OF DEBRIS BEFORE BAGGING</t>
    </r>
  </si>
  <si>
    <t>1/2 - BOT 1:00</t>
  </si>
  <si>
    <t>1/3 - AOI 6:00</t>
  </si>
  <si>
    <t>PREVIOUS BUILD TOP 1ST</t>
  </si>
  <si>
    <t>12/27 - RECVD NEW LOT SENSORS W/ DATE CODE 24348-01</t>
  </si>
  <si>
    <r>
      <rPr>
        <b/>
        <sz val="11"/>
        <color rgb="FF000000"/>
        <rFont val="Calibri"/>
        <family val="2"/>
      </rPr>
      <t xml:space="preserve">12/31 - RUN  </t>
    </r>
    <r>
      <rPr>
        <b/>
        <u/>
        <sz val="11"/>
        <color rgb="FF000000"/>
        <rFont val="Calibri"/>
        <family val="2"/>
      </rPr>
      <t>BAKED</t>
    </r>
    <r>
      <rPr>
        <b/>
        <sz val="11"/>
        <color rgb="FF000000"/>
        <rFont val="Calibri"/>
        <family val="2"/>
      </rPr>
      <t xml:space="preserve"> SENSOR SAMPLES</t>
    </r>
  </si>
  <si>
    <t>129940-4
PAR
RONC 128277</t>
  </si>
  <si>
    <t>1/6
10D</t>
  </si>
  <si>
    <r>
      <rPr>
        <b/>
        <sz val="11"/>
        <color rgb="FF000000"/>
        <rFont val="Calibri"/>
        <family val="2"/>
      </rPr>
      <t xml:space="preserve">__NEW SENSORS BAKED__
EXPEDITE
</t>
    </r>
    <r>
      <rPr>
        <b/>
        <sz val="11"/>
        <color rgb="FFFF0000"/>
        <rFont val="Calibri"/>
        <family val="2"/>
      </rPr>
      <t xml:space="preserve">CUST HAVING ISSUES W/ "U1" 
*** USE SILICON PLUGS AND HAND LOAD
</t>
    </r>
    <r>
      <rPr>
        <b/>
        <sz val="11"/>
        <color rgb="FF000000"/>
        <rFont val="Calibri"/>
        <family val="2"/>
      </rPr>
      <t>LEAD-FREE, NO CLEAN
"U1" SEE ECO
DEPANEL</t>
    </r>
  </si>
  <si>
    <t>1/3 - BOT 11:00</t>
  </si>
  <si>
    <t>1/3 - TOP 12:30</t>
  </si>
  <si>
    <t>1/3 - AOI 1:30</t>
  </si>
  <si>
    <r>
      <rPr>
        <b/>
        <sz val="11"/>
        <color rgb="FF000000"/>
        <rFont val="Calibri"/>
        <family val="2"/>
      </rPr>
      <t xml:space="preserve">12/31 - RUN </t>
    </r>
    <r>
      <rPr>
        <b/>
        <u/>
        <sz val="11"/>
        <color rgb="FF000000"/>
        <rFont val="Calibri"/>
        <family val="2"/>
      </rPr>
      <t xml:space="preserve">NON BAKED </t>
    </r>
    <r>
      <rPr>
        <b/>
        <sz val="11"/>
        <color rgb="FF000000"/>
        <rFont val="Calibri"/>
        <family val="2"/>
      </rPr>
      <t>SENSOR SAMPLES</t>
    </r>
  </si>
  <si>
    <t>129940-3
PAR
RONC 128277</t>
  </si>
  <si>
    <r>
      <rPr>
        <b/>
        <sz val="11"/>
        <color rgb="FF000000"/>
        <rFont val="Calibri"/>
        <family val="2"/>
      </rPr>
      <t xml:space="preserve">__NEW SENSORS </t>
    </r>
    <r>
      <rPr>
        <b/>
        <u/>
        <sz val="11"/>
        <color rgb="FF000000"/>
        <rFont val="Calibri"/>
        <family val="2"/>
      </rPr>
      <t>"NOT"</t>
    </r>
    <r>
      <rPr>
        <b/>
        <sz val="11"/>
        <color rgb="FF000000"/>
        <rFont val="Calibri"/>
        <family val="2"/>
      </rPr>
      <t xml:space="preserve"> BAKED__
EXPEDITE
</t>
    </r>
    <r>
      <rPr>
        <b/>
        <sz val="11"/>
        <color rgb="FFFF0000"/>
        <rFont val="Calibri"/>
        <family val="2"/>
      </rPr>
      <t xml:space="preserve">CUST HAVING ISSUES W/ "U1" 
*** USE SILICON PLUGS AND HAND LOAD
</t>
    </r>
    <r>
      <rPr>
        <b/>
        <sz val="11"/>
        <color rgb="FF000000"/>
        <rFont val="Calibri"/>
        <family val="2"/>
      </rPr>
      <t>LEAD-FREE, NO CLEAN
"U1" SEE ECO
DEPANEL</t>
    </r>
  </si>
  <si>
    <t>1/3 - TOP 11:30</t>
  </si>
  <si>
    <t>12/17 BALANCE OF PCB (250 PCBs) DUE.</t>
  </si>
  <si>
    <r>
      <rPr>
        <b/>
        <strike/>
        <sz val="11"/>
        <color rgb="FF000000"/>
        <rFont val="Calibri"/>
        <family val="2"/>
        <scheme val="minor"/>
      </rPr>
      <t>12/12 - kit &amp; pcb's due 12/13 SHORT</t>
    </r>
    <r>
      <rPr>
        <b/>
        <sz val="11"/>
        <color rgb="FF000000"/>
        <rFont val="Calibri"/>
        <family val="2"/>
        <scheme val="minor"/>
      </rPr>
      <t xml:space="preserve"> .
12/17 - KIT CLEAR</t>
    </r>
  </si>
  <si>
    <t>12/26 - BOT COMP</t>
  </si>
  <si>
    <t>130197
NEW</t>
  </si>
  <si>
    <t>XRAY &amp; SAVE IMAGES
DEPANEL &amp; SAND - NO MOUSE BITES - NEED TO CUT &amp; SAND
NO LABELS REQUIRED</t>
  </si>
  <si>
    <t>12/24 - BOT 9:30
12/24 - PAUSE 11:00
12/24 - BOT 2:30</t>
  </si>
  <si>
    <t>12/26 - PAUSE 11:00
12/27 - TOP</t>
  </si>
  <si>
    <t>12/30 - AOI 1:30</t>
  </si>
  <si>
    <r>
      <rPr>
        <b/>
        <sz val="11"/>
        <color rgb="FF000000"/>
        <rFont val="Calibri"/>
        <family val="2"/>
      </rPr>
      <t xml:space="preserve">12/31 - SKIP C74. </t>
    </r>
    <r>
      <rPr>
        <b/>
        <strike/>
        <sz val="11"/>
        <color rgb="FF000000"/>
        <rFont val="Calibri"/>
        <family val="2"/>
      </rPr>
      <t>*NATION REQUESTING ARRAY FILE</t>
    </r>
  </si>
  <si>
    <t>12/31 - USE B129820 STENCIL</t>
  </si>
  <si>
    <t>130505
NEW</t>
  </si>
  <si>
    <r>
      <rPr>
        <b/>
        <sz val="14"/>
        <color rgb="FF000000"/>
        <rFont val="Calibri"/>
        <family val="2"/>
      </rPr>
      <t xml:space="preserve">1/3
</t>
    </r>
    <r>
      <rPr>
        <b/>
        <strike/>
        <sz val="14"/>
        <color rgb="FF000000"/>
        <rFont val="Calibri"/>
        <family val="2"/>
      </rPr>
      <t xml:space="preserve">1/2
</t>
    </r>
    <r>
      <rPr>
        <b/>
        <sz val="14"/>
        <color rgb="FFFF0000"/>
        <rFont val="Calibri"/>
        <family val="2"/>
      </rPr>
      <t>1D</t>
    </r>
  </si>
  <si>
    <t>"U31" AFTER WASH
DEPANEL &amp; SAND</t>
  </si>
  <si>
    <t>1/2 - BOT 4:00</t>
  </si>
  <si>
    <t>1/2 -  TOP</t>
  </si>
  <si>
    <t>1/2 - AOI 9:00</t>
  </si>
  <si>
    <t>change of rev?</t>
  </si>
  <si>
    <r>
      <rPr>
        <b/>
        <strike/>
        <sz val="11"/>
        <color theme="1"/>
        <rFont val="Calibri"/>
        <family val="2"/>
      </rPr>
      <t>10/3 - PCB DUE | SHORT #19 (U4) NO ETA</t>
    </r>
    <r>
      <rPr>
        <b/>
        <sz val="11"/>
        <color theme="1"/>
        <rFont val="Calibri"/>
        <family val="2"/>
      </rPr>
      <t xml:space="preserve">
10/1 - KIT CLEAR</t>
    </r>
  </si>
  <si>
    <t>11/14 - DAMAGE PARTS DUE TO DEPANEL | DEPANEL BEFORE SMT RUN</t>
  </si>
  <si>
    <t xml:space="preserve">
</t>
  </si>
  <si>
    <t>127138-3
BAL NEW</t>
  </si>
  <si>
    <r>
      <rPr>
        <b/>
        <sz val="14"/>
        <color rgb="FF000000"/>
        <rFont val="Calibri"/>
        <family val="2"/>
      </rPr>
      <t xml:space="preserve">1/3
</t>
    </r>
    <r>
      <rPr>
        <b/>
        <strike/>
        <sz val="14"/>
        <color rgb="FF000000"/>
        <rFont val="Calibri"/>
        <family val="2"/>
      </rPr>
      <t xml:space="preserve">1/4
</t>
    </r>
    <r>
      <rPr>
        <b/>
        <sz val="14"/>
        <color rgb="FF000000"/>
        <rFont val="Calibri"/>
        <family val="2"/>
      </rPr>
      <t>10D</t>
    </r>
  </si>
  <si>
    <r>
      <rPr>
        <b/>
        <strike/>
        <sz val="11"/>
        <color rgb="FF000000"/>
        <rFont val="Calibri"/>
        <family val="2"/>
      </rPr>
      <t xml:space="preserve">30 10/22/2024
30 12/2/2024
</t>
    </r>
    <r>
      <rPr>
        <b/>
        <sz val="11"/>
        <color rgb="FF000000"/>
        <rFont val="Calibri"/>
        <family val="2"/>
      </rPr>
      <t>40 1/4/2024
NO CLEAN PROCESS - DO NOT WASH
DEPANEL</t>
    </r>
  </si>
  <si>
    <t>DOC REL 9/4</t>
  </si>
  <si>
    <t>12/31 - added to schedule</t>
  </si>
  <si>
    <t>back</t>
  </si>
  <si>
    <t>1/3
5D</t>
  </si>
  <si>
    <t>PRIORITY RATING DO:A7</t>
  </si>
  <si>
    <r>
      <rPr>
        <b/>
        <strike/>
        <sz val="11"/>
        <color rgb="FF000000"/>
        <rFont val="Calibri"/>
        <family val="2"/>
        <scheme val="minor"/>
      </rPr>
      <t xml:space="preserve">11/1 - SHORT PCB, U200, J500_REF1, J1000_1 (SMT), J1300 (THT) WITH NO ETA, for 12/18 - MORE L3300 ETA 12/20-12/23 &amp; J1300 WAITING FOR CONFIRM BTD </t>
    </r>
    <r>
      <rPr>
        <b/>
        <sz val="11"/>
        <color rgb="FF000000"/>
        <rFont val="Calibri"/>
        <family val="2"/>
        <scheme val="minor"/>
      </rPr>
      <t xml:space="preserve">| </t>
    </r>
    <r>
      <rPr>
        <b/>
        <strike/>
        <sz val="11"/>
        <color rgb="FF000000"/>
        <rFont val="Calibri"/>
        <family val="2"/>
        <scheme val="minor"/>
      </rPr>
      <t xml:space="preserve">CORRECT J500_REF1 ETA 12/20-12/23.  WAITING FOR CONFIRM OK TO USE? 
</t>
    </r>
    <r>
      <rPr>
        <b/>
        <sz val="11"/>
        <color rgb="FF000000"/>
        <rFont val="Calibri"/>
        <family val="2"/>
        <scheme val="minor"/>
      </rPr>
      <t>12/24 - KIT CLEAR</t>
    </r>
  </si>
  <si>
    <r>
      <rPr>
        <b/>
        <strike/>
        <sz val="11"/>
        <color rgb="FF000000"/>
        <rFont val="Calibri"/>
        <family val="2"/>
        <scheme val="minor"/>
      </rPr>
      <t xml:space="preserve">12/17 - SHOULD CLEAR THIS WEEK
</t>
    </r>
    <r>
      <rPr>
        <b/>
        <sz val="11"/>
        <color rgb="FFFFFF00"/>
        <rFont val="Calibri"/>
        <family val="2"/>
        <scheme val="minor"/>
      </rPr>
      <t xml:space="preserve">12/19 - SHOULD CLEAR 12/20-12/23
</t>
    </r>
  </si>
  <si>
    <t>128661
NEW</t>
  </si>
  <si>
    <t>LEAD WASH PROCESS
DEPANEL
1/2 - DNI J101, J1300 &amp; J1301</t>
  </si>
  <si>
    <t>12/26 - TOP 10:30</t>
  </si>
  <si>
    <t>12/26 - BOT 1:00</t>
  </si>
  <si>
    <t>12/27 - AOI</t>
  </si>
  <si>
    <t>RUN L3 ONLY</t>
  </si>
  <si>
    <t>12/24 - NO ETA</t>
  </si>
  <si>
    <r>
      <rPr>
        <b/>
        <strike/>
        <sz val="11"/>
        <color rgb="FF000000"/>
        <rFont val="Calibri"/>
        <family val="2"/>
      </rPr>
      <t>12/24 - SHORT "P2,P3".</t>
    </r>
    <r>
      <rPr>
        <b/>
        <sz val="11"/>
        <color rgb="FF000000"/>
        <rFont val="Calibri"/>
        <family val="2"/>
      </rPr>
      <t xml:space="preserve"> 12/30 -KIT CLEAR</t>
    </r>
  </si>
  <si>
    <t>12/30 - "P1, P2" ARE MACHINED PARTS TO BE PLACED BY SMT</t>
  </si>
  <si>
    <t>130502
RONC 130501</t>
  </si>
  <si>
    <r>
      <rPr>
        <b/>
        <sz val="11"/>
        <color rgb="FF000000"/>
        <rFont val="Calibri"/>
        <family val="2"/>
      </rPr>
      <t xml:space="preserve">T/H ONLY
</t>
    </r>
    <r>
      <rPr>
        <b/>
        <u/>
        <sz val="14"/>
        <color rgb="FFFF0000"/>
        <rFont val="Calibri"/>
        <family val="2"/>
      </rPr>
      <t>NOTE: "P1' P2" ARE CUSTOM MACHINED PARTS AND NEED TO BE PLACED @ SMT</t>
    </r>
  </si>
  <si>
    <t>12/31 - AOI 2:30</t>
  </si>
  <si>
    <r>
      <rPr>
        <b/>
        <strike/>
        <sz val="11"/>
        <color rgb="FF000000"/>
        <rFont val="Calibri"/>
        <family val="2"/>
      </rPr>
      <t xml:space="preserve">12/18 - SHORT C17 (SMT) WITH NO ETA.
</t>
    </r>
    <r>
      <rPr>
        <b/>
        <sz val="11"/>
        <color rgb="FF000000"/>
        <rFont val="Calibri"/>
        <family val="2"/>
      </rPr>
      <t>12/23 - KIT CLEAR, BUT NOT REPORTED</t>
    </r>
  </si>
  <si>
    <t>129973-2
BAL
NEW</t>
  </si>
  <si>
    <r>
      <rPr>
        <b/>
        <strike/>
        <sz val="14"/>
        <color rgb="FF000000"/>
        <rFont val="Calibri"/>
        <family val="2"/>
      </rPr>
      <t xml:space="preserve">12/31
*1/3
</t>
    </r>
    <r>
      <rPr>
        <b/>
        <sz val="14"/>
        <color rgb="FF000000"/>
        <rFont val="Calibri"/>
        <family val="2"/>
      </rPr>
      <t>5D</t>
    </r>
  </si>
  <si>
    <t>CLASS 3
LEAD FREE WASH PROCESS
XRAY &amp; SAVE IMAGES
NEED QR CODE ON ESD BAGS</t>
  </si>
  <si>
    <t>12/24 - BOT 11:00</t>
  </si>
  <si>
    <t>12/24 - TOP</t>
  </si>
  <si>
    <t>12/24 - AOI 2:30</t>
  </si>
  <si>
    <r>
      <t>12/10 -</t>
    </r>
    <r>
      <rPr>
        <b/>
        <strike/>
        <sz val="11"/>
        <color rgb="FF000000"/>
        <rFont val="Calibri"/>
        <family val="2"/>
      </rPr>
      <t xml:space="preserve"> SHORT ITEM #33 
</t>
    </r>
    <r>
      <rPr>
        <b/>
        <sz val="11"/>
        <color rgb="FF000000"/>
        <rFont val="Calibri"/>
        <family val="2"/>
      </rPr>
      <t>*Z1 IS USED PARTS HAS LEFT OVER SOLDER ON PARTS. KIT CLEAR</t>
    </r>
  </si>
  <si>
    <t>12/24 - PEM NUT CAUSING FRACTURES - CUST NOTIFIED</t>
  </si>
  <si>
    <t>130066
ROWC 119234</t>
  </si>
  <si>
    <r>
      <rPr>
        <b/>
        <sz val="14"/>
        <color rgb="FF000000"/>
        <rFont val="Calibri"/>
        <family val="2"/>
      </rPr>
      <t xml:space="preserve">1/2
</t>
    </r>
    <r>
      <rPr>
        <b/>
        <strike/>
        <sz val="14"/>
        <color rgb="FF000000"/>
        <rFont val="Calibri"/>
        <family val="2"/>
      </rPr>
      <t xml:space="preserve">12/24
</t>
    </r>
    <r>
      <rPr>
        <b/>
        <sz val="14"/>
        <color rgb="FF000000"/>
        <rFont val="Calibri"/>
        <family val="2"/>
      </rPr>
      <t>10D</t>
    </r>
  </si>
  <si>
    <t>T/H ONLY
"U1" ATTACH WITH GLUE PER ECO 5</t>
  </si>
  <si>
    <t>M</t>
  </si>
  <si>
    <t>12/18 - PCB DUE</t>
  </si>
  <si>
    <r>
      <rPr>
        <b/>
        <strike/>
        <sz val="11"/>
        <color rgb="FF000000"/>
        <rFont val="Calibri"/>
        <family val="2"/>
      </rPr>
      <t xml:space="preserve">5 PARTS WAITING FOR CONFIRM (D2, D3A, U8, PS1, and MP1)
</t>
    </r>
    <r>
      <rPr>
        <b/>
        <sz val="11"/>
        <color rgb="FF000000"/>
        <rFont val="Calibri"/>
        <family val="2"/>
      </rPr>
      <t>12/23 - KIT CLEAR</t>
    </r>
  </si>
  <si>
    <t>WOULD NEED TO CLEAR BY 12/19</t>
  </si>
  <si>
    <t>129668
NEW</t>
  </si>
  <si>
    <r>
      <rPr>
        <b/>
        <sz val="14"/>
        <color rgb="FF000000"/>
        <rFont val="Calibri"/>
        <family val="2"/>
      </rPr>
      <t xml:space="preserve">12/31
</t>
    </r>
    <r>
      <rPr>
        <b/>
        <sz val="14"/>
        <color rgb="FFFF0000"/>
        <rFont val="Calibri"/>
        <family val="2"/>
      </rPr>
      <t>3D</t>
    </r>
  </si>
  <si>
    <r>
      <rPr>
        <b/>
        <sz val="14"/>
        <color rgb="FFFF0000"/>
        <rFont val="Calibri"/>
        <family val="2"/>
      </rPr>
      <t xml:space="preserve">*** 3 DAY TURN ***
</t>
    </r>
    <r>
      <rPr>
        <b/>
        <sz val="11"/>
        <color rgb="FF000000"/>
        <rFont val="Calibri"/>
        <family val="2"/>
      </rPr>
      <t xml:space="preserve">LEAD WASH PROCESS
24HR PREBAKE 3 ITEMS PER ECO #3
USE Sn63/Pb37 SOLDER PASTE
CLASS 3
"P4, P5" PRESS FIT &amp; MECHREQ
"PS1, MP1" THERMAL PAD REQ
</t>
    </r>
    <r>
      <rPr>
        <b/>
        <sz val="12"/>
        <color rgb="FFFF0000"/>
        <rFont val="Calibri"/>
        <family val="2"/>
      </rPr>
      <t>*** TRIM LEADS 0.060" MAX</t>
    </r>
    <r>
      <rPr>
        <b/>
        <sz val="11"/>
        <color rgb="FFFF0000"/>
        <rFont val="Calibri"/>
        <family val="2"/>
      </rPr>
      <t>!</t>
    </r>
  </si>
  <si>
    <t>12/24 - BOT 7:00</t>
  </si>
  <si>
    <t>12/24 - TOP 8:30</t>
  </si>
  <si>
    <t>12/24 - AOI 10:00</t>
  </si>
  <si>
    <t>12/16  1/2 PCB DUE</t>
  </si>
  <si>
    <t>12/17 - KIT CLEAR</t>
  </si>
  <si>
    <t>130296
RONC 129271</t>
  </si>
  <si>
    <r>
      <rPr>
        <b/>
        <sz val="14"/>
        <color rgb="FF000000"/>
        <rFont val="Calibri"/>
        <family val="2"/>
      </rPr>
      <t xml:space="preserve">12/31
</t>
    </r>
    <r>
      <rPr>
        <b/>
        <strike/>
        <sz val="14"/>
        <color rgb="FF000000"/>
        <rFont val="Calibri"/>
        <family val="2"/>
      </rPr>
      <t xml:space="preserve">*1/6
</t>
    </r>
    <r>
      <rPr>
        <b/>
        <sz val="14"/>
        <color rgb="FF000000"/>
        <rFont val="Calibri"/>
        <family val="2"/>
      </rPr>
      <t>10D</t>
    </r>
  </si>
  <si>
    <t>12/19 - BOT 6:00</t>
  </si>
  <si>
    <t>12/19 - TOP</t>
  </si>
  <si>
    <t>12/19 - AOI 8:00</t>
  </si>
  <si>
    <t xml:space="preserve">Diligent Robotics
</t>
  </si>
  <si>
    <r>
      <rPr>
        <b/>
        <strike/>
        <sz val="11"/>
        <color rgb="FF000000"/>
        <rFont val="Calibri"/>
        <family val="2"/>
      </rPr>
      <t xml:space="preserve">12/11 - SHORT PCB WITH NO ETA. 12/24 PCB DUE </t>
    </r>
    <r>
      <rPr>
        <b/>
        <sz val="11"/>
        <color rgb="FF000000"/>
        <rFont val="Calibri"/>
        <family val="2"/>
      </rPr>
      <t>12/16 - KIT CLEAR</t>
    </r>
  </si>
  <si>
    <t>130191
ROWC 110795</t>
  </si>
  <si>
    <r>
      <rPr>
        <b/>
        <sz val="14"/>
        <color rgb="FF000000"/>
        <rFont val="Calibri"/>
        <family val="2"/>
      </rPr>
      <t xml:space="preserve">12/31
</t>
    </r>
    <r>
      <rPr>
        <b/>
        <strike/>
        <sz val="14"/>
        <color rgb="FF000000"/>
        <rFont val="Calibri"/>
        <family val="2"/>
      </rPr>
      <t xml:space="preserve">*1/3
</t>
    </r>
    <r>
      <rPr>
        <b/>
        <sz val="14"/>
        <color rgb="FF000000"/>
        <rFont val="Calibri"/>
        <family val="2"/>
      </rPr>
      <t>10D</t>
    </r>
  </si>
  <si>
    <t>12/23 - TOP 7:30</t>
  </si>
  <si>
    <t>12/23 - TOP 1:00</t>
  </si>
  <si>
    <t xml:space="preserve">Hose Monster
</t>
  </si>
  <si>
    <t>12/11</t>
  </si>
  <si>
    <t>129973-1
PAR
NEW</t>
  </si>
  <si>
    <r>
      <rPr>
        <b/>
        <sz val="14"/>
        <color rgb="FF000000"/>
        <rFont val="Calibri"/>
        <family val="2"/>
      </rPr>
      <t xml:space="preserve">12/31
</t>
    </r>
    <r>
      <rPr>
        <b/>
        <strike/>
        <sz val="14"/>
        <color rgb="FF000000"/>
        <rFont val="Calibri"/>
        <family val="2"/>
      </rPr>
      <t xml:space="preserve">*1/3
</t>
    </r>
    <r>
      <rPr>
        <b/>
        <sz val="14"/>
        <color rgb="FF000000"/>
        <rFont val="Calibri"/>
        <family val="2"/>
      </rPr>
      <t>5D</t>
    </r>
  </si>
  <si>
    <r>
      <rPr>
        <b/>
        <strike/>
        <sz val="11"/>
        <color rgb="FF000000"/>
        <rFont val="Calibri"/>
        <family val="2"/>
        <scheme val="minor"/>
      </rPr>
      <t xml:space="preserve">12/18 - </t>
    </r>
    <r>
      <rPr>
        <b/>
        <sz val="11"/>
        <color rgb="FF000000"/>
        <rFont val="Calibri"/>
        <family val="2"/>
        <scheme val="minor"/>
      </rPr>
      <t>1</t>
    </r>
    <r>
      <rPr>
        <b/>
        <strike/>
        <sz val="11"/>
        <color rgb="FF000000"/>
        <rFont val="Calibri"/>
        <family val="2"/>
        <scheme val="minor"/>
      </rPr>
      <t>2/23 - PCB DUE END OF THE DAY</t>
    </r>
  </si>
  <si>
    <r>
      <rPr>
        <b/>
        <strike/>
        <sz val="11"/>
        <color rgb="FF000000"/>
        <rFont val="Calibri"/>
        <family val="2"/>
      </rPr>
      <t xml:space="preserve">SHORT JPS1 (THT), CUSTOMER ORDERING HOPE TO SEND IT TO US 12/18 OR 12/19
</t>
    </r>
    <r>
      <rPr>
        <b/>
        <sz val="11"/>
        <color rgb="FF000000"/>
        <rFont val="Calibri"/>
        <family val="2"/>
      </rPr>
      <t>12/23 - KIT CLEAR</t>
    </r>
  </si>
  <si>
    <t xml:space="preserve">WOULD NEED TO CLEAR BY 12/19
</t>
  </si>
  <si>
    <t>129899
NEW</t>
  </si>
  <si>
    <r>
      <rPr>
        <b/>
        <sz val="14"/>
        <color rgb="FFFF0000"/>
        <rFont val="Calibri"/>
        <family val="2"/>
      </rPr>
      <t xml:space="preserve">*** 3 DAY TURN ***
</t>
    </r>
    <r>
      <rPr>
        <b/>
        <sz val="11"/>
        <color rgb="FF000000"/>
        <rFont val="Calibri"/>
        <family val="2"/>
      </rPr>
      <t xml:space="preserve">LEAD WASH PROCESS
USE Sn63/Pb37 SOLDER PASTE
CLASS 3
INSTALL "PAD3" FOR "EMI2" PER ECO
INSTALL "PAD2" PER ECO #5 &amp; 7
"PS1, MP1" THERMAL PAD ECO #6
PRESS FIT &amp; MECH REQ
</t>
    </r>
    <r>
      <rPr>
        <b/>
        <sz val="12"/>
        <color rgb="FFFF0000"/>
        <rFont val="Calibri"/>
        <family val="2"/>
      </rPr>
      <t>*** TRIM LEADS 0.060" MAX</t>
    </r>
    <r>
      <rPr>
        <b/>
        <sz val="11"/>
        <color rgb="FFFF0000"/>
        <rFont val="Calibri"/>
        <family val="2"/>
      </rPr>
      <t>!</t>
    </r>
  </si>
  <si>
    <t>12/24 - TOP 6:00</t>
  </si>
  <si>
    <t>12/24 - AOI 7:30</t>
  </si>
  <si>
    <t>12/23 - PCB DUE</t>
  </si>
  <si>
    <r>
      <rPr>
        <b/>
        <strike/>
        <sz val="11"/>
        <color rgb="FF000000"/>
        <rFont val="Calibri"/>
        <family val="2"/>
      </rPr>
      <t xml:space="preserve">SHORT Y1 WITH ETA 12/18
</t>
    </r>
    <r>
      <rPr>
        <b/>
        <sz val="11"/>
        <color rgb="FF000000"/>
        <rFont val="Calibri"/>
        <family val="2"/>
      </rPr>
      <t>12/20 - KIT CLEAR</t>
    </r>
  </si>
  <si>
    <t>129902
NEW</t>
  </si>
  <si>
    <r>
      <rPr>
        <b/>
        <sz val="14"/>
        <color rgb="FFFF0000"/>
        <rFont val="Calibri"/>
        <family val="2"/>
      </rPr>
      <t xml:space="preserve">*** 3 DAY TURN ***
</t>
    </r>
    <r>
      <rPr>
        <b/>
        <sz val="11"/>
        <color rgb="FF000000"/>
        <rFont val="Calibri"/>
        <family val="2"/>
      </rPr>
      <t>LEAD WASH PROCESS
24HR PREBAKE PER ECO #4
USE Sn63/Pb37 SOLDER PASTE
CLASS 3
"U1" SEE ECO
PRESS FIT &amp; MECH REQ PER ECO 7 &amp; 10
THERMAL PAD REQ PER ECO 8 &amp; 9</t>
    </r>
  </si>
  <si>
    <t>12/23 - BOT 6:00</t>
  </si>
  <si>
    <t>12/23 - TOP 8:30</t>
  </si>
  <si>
    <t>12/23 - AOI 11:30</t>
  </si>
  <si>
    <t>12/17</t>
  </si>
  <si>
    <t>12/27 - PCB DUE</t>
  </si>
  <si>
    <r>
      <t xml:space="preserve">12/18 - </t>
    </r>
    <r>
      <rPr>
        <b/>
        <strike/>
        <sz val="11"/>
        <color rgb="FF000000"/>
        <rFont val="Calibri"/>
        <family val="2"/>
      </rPr>
      <t>SHORT U1 WITH NO ETA.</t>
    </r>
    <r>
      <rPr>
        <b/>
        <sz val="11"/>
        <color rgb="FF000000"/>
        <rFont val="Calibri"/>
        <family val="2"/>
      </rPr>
      <t xml:space="preserve"> *Y1, U21, U14, U37, U33, J11, PS1, EMI1  is  BTD.</t>
    </r>
  </si>
  <si>
    <r>
      <rPr>
        <b/>
        <strike/>
        <sz val="11"/>
        <color rgb="FF000000"/>
        <rFont val="Calibri"/>
        <family val="2"/>
      </rPr>
      <t xml:space="preserve">12/18 - "U1x3" POSS SKIP? CHK W/ TRINH SMT CLEAR IF OK TO SKIP
</t>
    </r>
    <r>
      <rPr>
        <b/>
        <sz val="11"/>
        <color rgb="FF000000"/>
        <rFont val="Calibri"/>
        <family val="2"/>
      </rPr>
      <t>12/23 - SMT FA TOP COMP</t>
    </r>
  </si>
  <si>
    <t>129867
NEW</t>
  </si>
  <si>
    <r>
      <rPr>
        <b/>
        <sz val="11"/>
        <color rgb="FFFF0000"/>
        <rFont val="Calibri"/>
        <family val="2"/>
      </rPr>
      <t xml:space="preserve">CLASS 3
</t>
    </r>
    <r>
      <rPr>
        <b/>
        <sz val="11"/>
        <color rgb="FF000000"/>
        <rFont val="Calibri"/>
        <family val="2"/>
      </rPr>
      <t xml:space="preserve">LEAD WASH PROCESS
USE USE Sn63/Pb37 
"J1, J2" MECH REQ
</t>
    </r>
    <r>
      <rPr>
        <b/>
        <sz val="11"/>
        <color rgb="FFFF0000"/>
        <rFont val="Calibri"/>
        <family val="2"/>
      </rPr>
      <t xml:space="preserve">***WATCH FOR PCB BOWING/WARPING PER ECO 7
</t>
    </r>
    <r>
      <rPr>
        <b/>
        <sz val="11"/>
        <color rgb="FF000000"/>
        <rFont val="Calibri"/>
        <family val="2"/>
      </rPr>
      <t>TRIM LEADS PER CLASS 3</t>
    </r>
  </si>
  <si>
    <t>12/23 - BOT 11:30</t>
  </si>
  <si>
    <t>12/23 - TOP 2:30</t>
  </si>
  <si>
    <t>12/24 - AOI 6:00</t>
  </si>
  <si>
    <t>12/12 - PCB HERE</t>
  </si>
  <si>
    <r>
      <rPr>
        <b/>
        <strike/>
        <sz val="11"/>
        <color rgb="FF000000"/>
        <rFont val="Calibri"/>
        <family val="2"/>
      </rPr>
      <t xml:space="preserve">12/11 - SHORT PCB DUE | AND 1 SMT ITEM (U3) WITH NO ETA 12/17 .
</t>
    </r>
    <r>
      <rPr>
        <b/>
        <sz val="11"/>
        <color rgb="FF000000"/>
        <rFont val="Calibri"/>
        <family val="2"/>
      </rPr>
      <t>12/18 - KIT CLEAR</t>
    </r>
  </si>
  <si>
    <t>129482
NEW</t>
  </si>
  <si>
    <r>
      <rPr>
        <b/>
        <sz val="11"/>
        <color rgb="FF000000"/>
        <rFont val="Calibri"/>
        <family val="2"/>
      </rPr>
      <t xml:space="preserve">"U25, U32" AFTER WASH
</t>
    </r>
    <r>
      <rPr>
        <b/>
        <u/>
        <sz val="11"/>
        <color rgb="FF000000"/>
        <rFont val="Calibri"/>
        <family val="2"/>
      </rPr>
      <t xml:space="preserve">"U3" - Job B129486 (Daughter Board), built at AA, will be ship to ALTA to be place as U3.
</t>
    </r>
    <r>
      <rPr>
        <b/>
        <sz val="11"/>
        <color rgb="FF000000"/>
        <rFont val="Calibri"/>
        <family val="2"/>
      </rPr>
      <t>DEPANEL</t>
    </r>
  </si>
  <si>
    <t>12/19 - BOT 8:00</t>
  </si>
  <si>
    <t>12/19 - TOP 12:00</t>
  </si>
  <si>
    <t>12/19 - AOI 4:30</t>
  </si>
  <si>
    <t>12/20 - PCB DUE</t>
  </si>
  <si>
    <r>
      <rPr>
        <b/>
        <strike/>
        <sz val="11"/>
        <color rgb="FF000000"/>
        <rFont val="Calibri"/>
        <family val="2"/>
      </rPr>
      <t xml:space="preserve">SHORT J3 (THT) WITH NO ETA. 
</t>
    </r>
    <r>
      <rPr>
        <b/>
        <sz val="11"/>
        <color rgb="FF000000"/>
        <rFont val="Calibri"/>
        <family val="2"/>
      </rPr>
      <t>12/18 - SMT CLEAR
12/20 - KIT CLEAR</t>
    </r>
  </si>
  <si>
    <r>
      <t xml:space="preserve">12/18 - SMT CLEAR
</t>
    </r>
    <r>
      <rPr>
        <b/>
        <strike/>
        <sz val="11"/>
        <color rgb="FF000000"/>
        <rFont val="Calibri"/>
        <family val="2"/>
      </rPr>
      <t xml:space="preserve">12/17 - SMT CLEAR ONCE PCB'S ARRIVE
</t>
    </r>
    <r>
      <rPr>
        <b/>
        <sz val="11"/>
        <color rgb="FF000000"/>
        <rFont val="Calibri"/>
        <family val="2"/>
      </rPr>
      <t>12/20 - MISSING STENCIL</t>
    </r>
  </si>
  <si>
    <t>130211
NEW</t>
  </si>
  <si>
    <r>
      <rPr>
        <b/>
        <sz val="11"/>
        <color rgb="FF000000"/>
        <rFont val="Calibri"/>
        <family val="2"/>
      </rPr>
      <t xml:space="preserve">NO CLEAN PROCESS
</t>
    </r>
    <r>
      <rPr>
        <b/>
        <sz val="11"/>
        <color rgb="FFFF0000"/>
        <rFont val="Calibri"/>
        <family val="2"/>
      </rPr>
      <t xml:space="preserve">***WASH/CLEAN W/ NO CLEAN SOLUTION PER ECO 3
</t>
    </r>
    <r>
      <rPr>
        <b/>
        <sz val="11"/>
        <color rgb="FF000000"/>
        <rFont val="Calibri"/>
        <family val="2"/>
      </rPr>
      <t>DEPANEL</t>
    </r>
  </si>
  <si>
    <t>12/20 - BOT 8:00
12/20 - pause 9:00
12/20 - BOT 12:30</t>
  </si>
  <si>
    <t>12/20 - TOP 1:30</t>
  </si>
  <si>
    <t>12/20 - AOI 4:00</t>
  </si>
  <si>
    <t>12/19 - PCB DUE</t>
  </si>
  <si>
    <r>
      <rPr>
        <b/>
        <strike/>
        <sz val="11"/>
        <color rgb="FF000000"/>
        <rFont val="Calibri"/>
        <family val="2"/>
      </rPr>
      <t xml:space="preserve">12/11 - SHORT
1 SMT (U3) WITH NO ETA.
</t>
    </r>
    <r>
      <rPr>
        <b/>
        <sz val="11"/>
        <color rgb="FF000000"/>
        <rFont val="Calibri"/>
        <family val="2"/>
      </rPr>
      <t>12/19 - KIT CLEAR</t>
    </r>
  </si>
  <si>
    <t>12/20 - MISSING STENCIL</t>
  </si>
  <si>
    <t>129924
NEW</t>
  </si>
  <si>
    <r>
      <rPr>
        <b/>
        <sz val="14"/>
        <color rgb="FF000000"/>
        <rFont val="Calibri"/>
        <family val="2"/>
      </rPr>
      <t xml:space="preserve">12/24
</t>
    </r>
    <r>
      <rPr>
        <b/>
        <sz val="14"/>
        <color rgb="FFFF0000"/>
        <rFont val="Calibri"/>
        <family val="2"/>
      </rPr>
      <t>3D</t>
    </r>
  </si>
  <si>
    <r>
      <rPr>
        <b/>
        <sz val="14"/>
        <color rgb="FF000000"/>
        <rFont val="Calibri"/>
        <family val="2"/>
      </rPr>
      <t xml:space="preserve">*** </t>
    </r>
    <r>
      <rPr>
        <b/>
        <sz val="14"/>
        <color rgb="FFFF0000"/>
        <rFont val="Calibri"/>
        <family val="2"/>
      </rPr>
      <t>3 DAY TURN</t>
    </r>
    <r>
      <rPr>
        <b/>
        <sz val="14"/>
        <color rgb="FF000000"/>
        <rFont val="Calibri"/>
        <family val="2"/>
      </rPr>
      <t xml:space="preserve"> ***
</t>
    </r>
    <r>
      <rPr>
        <b/>
        <sz val="11"/>
        <color rgb="FF000000"/>
        <rFont val="Calibri"/>
        <family val="2"/>
      </rPr>
      <t xml:space="preserve">LEAD WASH PROCESS
USE Sn63/Pb37 SOLDER PASTE
</t>
    </r>
    <r>
      <rPr>
        <b/>
        <sz val="11"/>
        <color rgb="FFFF0000"/>
        <rFont val="Calibri"/>
        <family val="2"/>
      </rPr>
      <t xml:space="preserve">CLASS 3
</t>
    </r>
    <r>
      <rPr>
        <b/>
        <sz val="11"/>
        <color rgb="FF000000"/>
        <rFont val="Calibri"/>
        <family val="2"/>
      </rPr>
      <t xml:space="preserve">24 HR PREBAKE "Q15_1" 24HRS PER ECO
"P1" PRESS FIT
</t>
    </r>
    <r>
      <rPr>
        <b/>
        <sz val="14"/>
        <color rgb="FFFF0000"/>
        <rFont val="Calibri"/>
        <family val="2"/>
      </rPr>
      <t xml:space="preserve">***STAKE "C88 &amp; RELATED" W/ SCOTCH-WELD 2216 GRAY </t>
    </r>
    <r>
      <rPr>
        <b/>
        <sz val="14"/>
        <color rgb="FF000000"/>
        <rFont val="Calibri"/>
        <family val="2"/>
      </rPr>
      <t xml:space="preserve">EPOXY 
</t>
    </r>
    <r>
      <rPr>
        <b/>
        <sz val="11"/>
        <color rgb="FF000000"/>
        <rFont val="Calibri"/>
        <family val="2"/>
      </rPr>
      <t xml:space="preserve">"PS1, PS2" THERMAL PAD REQ PER ECO
</t>
    </r>
    <r>
      <rPr>
        <b/>
        <sz val="12"/>
        <color rgb="FFFF0000"/>
        <rFont val="Calibri"/>
        <family val="2"/>
      </rPr>
      <t>*** TRIM LEADS 0.060" MAX!</t>
    </r>
  </si>
  <si>
    <t>12/20 - TOP 7:00
12/20 - pause 8:00
12/20 - TOP 10:30</t>
  </si>
  <si>
    <t>12/20 - AOI 1:00</t>
  </si>
  <si>
    <t>SHORT 12/19 PCB DUE NO ETA</t>
  </si>
  <si>
    <r>
      <rPr>
        <b/>
        <strike/>
        <sz val="11"/>
        <color rgb="FF000000"/>
        <rFont val="Calibri"/>
        <family val="2"/>
      </rPr>
      <t>12/16 - WE RECEIVED PARTIAL OF</t>
    </r>
    <r>
      <rPr>
        <b/>
        <sz val="11"/>
        <color rgb="FF000000"/>
        <rFont val="Calibri"/>
        <family val="2"/>
      </rPr>
      <t xml:space="preserve"> Q1 (SMT), PS1, PS2 (THT) are TBD. </t>
    </r>
    <r>
      <rPr>
        <b/>
        <strike/>
        <sz val="11"/>
        <color rgb="FF000000"/>
        <rFont val="Calibri"/>
        <family val="2"/>
      </rPr>
      <t>BUT THE BALANCE OF JSP1 WITH NO  POSSIBLE ETA</t>
    </r>
    <r>
      <rPr>
        <b/>
        <sz val="11"/>
        <color rgb="FF000000"/>
        <rFont val="Calibri"/>
        <family val="2"/>
      </rPr>
      <t xml:space="preserve"> 12/19 KIT CLEAR</t>
    </r>
  </si>
  <si>
    <r>
      <rPr>
        <b/>
        <strike/>
        <sz val="11"/>
        <color rgb="FF000000"/>
        <rFont val="Calibri"/>
        <family val="2"/>
      </rPr>
      <t>12/17 - WILL CLEAR IF CUST APPROVES BT</t>
    </r>
    <r>
      <rPr>
        <b/>
        <sz val="11"/>
        <color rgb="FF000000"/>
        <rFont val="Calibri"/>
        <family val="2"/>
      </rPr>
      <t xml:space="preserve">D
</t>
    </r>
    <r>
      <rPr>
        <b/>
        <strike/>
        <sz val="11"/>
        <color rgb="FF000000"/>
        <rFont val="Calibri"/>
        <family val="2"/>
      </rPr>
      <t>12/18 - SMT CLEAR WHEN PCB'S ARRIVE ON 12/19</t>
    </r>
  </si>
  <si>
    <t>129901
NEW</t>
  </si>
  <si>
    <r>
      <rPr>
        <b/>
        <sz val="14"/>
        <color rgb="FFFF0000"/>
        <rFont val="Calibri"/>
        <family val="2"/>
      </rPr>
      <t xml:space="preserve">*** 3 DAY TURN ***
</t>
    </r>
    <r>
      <rPr>
        <b/>
        <sz val="11"/>
        <color rgb="FF000000"/>
        <rFont val="Calibri"/>
        <family val="2"/>
      </rPr>
      <t xml:space="preserve">USE Sn63/Pb37 SOLDER PASTE
CLASS 3
PRESS FIT &amp; MECHREQ
"PS1, PS2" THERMAL PAD REQ
</t>
    </r>
    <r>
      <rPr>
        <b/>
        <sz val="12"/>
        <color rgb="FFFF0000"/>
        <rFont val="Calibri"/>
        <family val="2"/>
      </rPr>
      <t>*** TRIM LEADS 0.060" MAX</t>
    </r>
    <r>
      <rPr>
        <b/>
        <sz val="11"/>
        <color rgb="FF000000"/>
        <rFont val="Calibri"/>
        <family val="2"/>
      </rPr>
      <t>!</t>
    </r>
  </si>
  <si>
    <t>12/20 - TOP 5:00</t>
  </si>
  <si>
    <t>12/20 - AOI 7:00</t>
  </si>
  <si>
    <r>
      <t>WITH NO ETA | SHORT U1 WITH ETA 12/17 | SHORT C37 &amp; J1 WITH ETA 12/16</t>
    </r>
    <r>
      <rPr>
        <b/>
        <sz val="11"/>
        <color rgb="FF000000"/>
        <rFont val="Calibri"/>
        <family val="2"/>
        <scheme val="minor"/>
      </rPr>
      <t xml:space="preserve"> 12/17 - KIT CLEAR.</t>
    </r>
  </si>
  <si>
    <t>130193
ROWC 117738</t>
  </si>
  <si>
    <t>12/24
5D</t>
  </si>
  <si>
    <t>12/19 - BOT 10:30</t>
  </si>
  <si>
    <t>12/19 - TOP 12:00
12/19 - PAUSE 1:30</t>
  </si>
  <si>
    <r>
      <rPr>
        <b/>
        <strike/>
        <sz val="11"/>
        <color rgb="FF000000"/>
        <rFont val="Calibri"/>
        <family val="2"/>
      </rPr>
      <t xml:space="preserve">12/16 - PCB DUE
</t>
    </r>
    <r>
      <rPr>
        <b/>
        <sz val="11"/>
        <color rgb="FF000000"/>
        <rFont val="Calibri"/>
        <family val="2"/>
      </rPr>
      <t>12/10 - KIT CLEAR</t>
    </r>
  </si>
  <si>
    <t>129169
NEW</t>
  </si>
  <si>
    <t>12/24
10D</t>
  </si>
  <si>
    <r>
      <rPr>
        <b/>
        <sz val="11"/>
        <color rgb="FFFF0000"/>
        <rFont val="Calibri"/>
        <family val="2"/>
      </rPr>
      <t xml:space="preserve">*** DO NOT DEPANEL ***
CLASS 3
</t>
    </r>
    <r>
      <rPr>
        <b/>
        <sz val="11"/>
        <color rgb="FF000000"/>
        <rFont val="Calibri"/>
        <family val="2"/>
      </rPr>
      <t xml:space="preserve">INSTALL JUMPER "J21_SH"
</t>
    </r>
    <r>
      <rPr>
        <b/>
        <sz val="11"/>
        <color rgb="FFFF0000"/>
        <rFont val="Calibri"/>
        <family val="2"/>
      </rPr>
      <t>DNI 33, 35, 36 &amp; 37 &amp; SHIP WITH BOARDS</t>
    </r>
  </si>
  <si>
    <t>12/18 - TOP 9:00</t>
  </si>
  <si>
    <t>12/18 - AOI 1:30</t>
  </si>
  <si>
    <t>12/13 - PCB HERE</t>
  </si>
  <si>
    <r>
      <rPr>
        <b/>
        <strike/>
        <sz val="11"/>
        <color rgb="FF000000"/>
        <rFont val="Calibri"/>
        <family val="2"/>
        <scheme val="minor"/>
      </rPr>
      <t xml:space="preserve">12/13 - SHORT D200 (SMT) EXPECT TO ARRIVE 12/16
</t>
    </r>
    <r>
      <rPr>
        <b/>
        <sz val="11"/>
        <color rgb="FF000000"/>
        <rFont val="Calibri"/>
        <family val="2"/>
        <scheme val="minor"/>
      </rPr>
      <t>12/18 - KIT CLEAR</t>
    </r>
  </si>
  <si>
    <t>SHOULD CLEAR 12/16</t>
  </si>
  <si>
    <t>129757
NEW</t>
  </si>
  <si>
    <r>
      <rPr>
        <b/>
        <sz val="14"/>
        <color rgb="FF000000"/>
        <rFont val="Calibri"/>
        <family val="2"/>
        <scheme val="minor"/>
      </rPr>
      <t xml:space="preserve">12/23
</t>
    </r>
    <r>
      <rPr>
        <b/>
        <sz val="14"/>
        <color rgb="FFFF0000"/>
        <rFont val="Calibri"/>
        <family val="2"/>
        <scheme val="minor"/>
      </rPr>
      <t>3D</t>
    </r>
  </si>
  <si>
    <t>"L102" ADD SOLDER PASTE PER ECO
DEPANEL</t>
  </si>
  <si>
    <t>12/19 - TOP 6:00</t>
  </si>
  <si>
    <t>12/19 - BOT 8:30</t>
  </si>
  <si>
    <t>12/19 - AOI 11:00</t>
  </si>
  <si>
    <r>
      <rPr>
        <b/>
        <strike/>
        <sz val="11"/>
        <color rgb="FF000000"/>
        <rFont val="Calibri"/>
        <family val="2"/>
      </rPr>
      <t>12/17 - 12/19 - PCB DUE| SHORT 1 SMT(CONN1) ETA 12/11</t>
    </r>
    <r>
      <rPr>
        <b/>
        <sz val="11"/>
        <color rgb="FF000000"/>
        <rFont val="Calibri"/>
        <family val="2"/>
      </rPr>
      <t xml:space="preserve"> 12/13- KIT CLEAR</t>
    </r>
  </si>
  <si>
    <t>12/18 - J1 (BOT) OVERHANGS - RUN TOP 1ST (ROBERT)
12/18 - AWT FIXTURE</t>
  </si>
  <si>
    <t>129841
RONC 126189</t>
  </si>
  <si>
    <t>12/20
5D</t>
  </si>
  <si>
    <t>NO CLEAN PROCESS
NO SOLDER ALLOWED ON DNI PADS OR TEST POINTS
XRAY &amp; SAVE IMAGES
DEPANEL</t>
  </si>
  <si>
    <t>12/18 - BOT 8:00
12/18 - PAUSE 9:00
12/18 - TOP 12:30</t>
  </si>
  <si>
    <t>12/18 - BOT 3:30
12/18 - PAUSE 3:30
12/19 - BOT 1:30</t>
  </si>
  <si>
    <r>
      <rPr>
        <b/>
        <strike/>
        <sz val="11"/>
        <color rgb="FF000000"/>
        <rFont val="Calibri"/>
        <family val="2"/>
      </rPr>
      <t>12/3-SHORT PCB NO ETA YET. 12/12</t>
    </r>
    <r>
      <rPr>
        <b/>
        <sz val="11"/>
        <color rgb="FF000000"/>
        <rFont val="Calibri"/>
        <family val="2"/>
      </rPr>
      <t xml:space="preserve"> 12/13</t>
    </r>
    <r>
      <rPr>
        <b/>
        <strike/>
        <sz val="11"/>
        <color rgb="FF000000"/>
        <rFont val="Calibri"/>
        <family val="2"/>
      </rPr>
      <t xml:space="preserve"> PCB DUE </t>
    </r>
    <r>
      <rPr>
        <b/>
        <sz val="11"/>
        <color rgb="FF000000"/>
        <rFont val="Calibri"/>
        <family val="2"/>
      </rPr>
      <t>KIT CLEAR</t>
    </r>
  </si>
  <si>
    <t>129701
NEW</t>
  </si>
  <si>
    <t>"D3, 4, 5, 6, 7, 8" AFTER WASH
DEPANEL</t>
  </si>
  <si>
    <t>12/17 - TOP 2:00</t>
  </si>
  <si>
    <t>12/18 - AOI 8:00</t>
  </si>
  <si>
    <r>
      <rPr>
        <b/>
        <strike/>
        <sz val="11"/>
        <color rgb="FF000000"/>
        <rFont val="Calibri"/>
        <family val="2"/>
      </rPr>
      <t xml:space="preserve">12/11 - PCB DUE  </t>
    </r>
    <r>
      <rPr>
        <b/>
        <sz val="11"/>
        <color rgb="FF000000"/>
        <rFont val="Calibri"/>
        <family val="2"/>
      </rPr>
      <t>12/13 - KIT CLEAR</t>
    </r>
  </si>
  <si>
    <t>129483
NEW</t>
  </si>
  <si>
    <t>"TX1 &amp; RELATED x10" AFTER WASH
DEPANEL</t>
  </si>
  <si>
    <t>12/17 - BOT 9:30</t>
  </si>
  <si>
    <t>12/17 - TOP 10:30</t>
  </si>
  <si>
    <t>12/17 - AOI 3:00</t>
  </si>
  <si>
    <r>
      <rPr>
        <b/>
        <strike/>
        <sz val="11"/>
        <color rgb="FF000000"/>
        <rFont val="Calibri"/>
        <family val="2"/>
        <scheme val="minor"/>
      </rPr>
      <t xml:space="preserve">11/27 12/12- PCB DUE / SHORT 5 SMT ITEMS WITH NO ETA. </t>
    </r>
    <r>
      <rPr>
        <b/>
        <sz val="11"/>
        <color rgb="FF000000"/>
        <rFont val="Calibri"/>
        <family val="2"/>
        <scheme val="minor"/>
      </rPr>
      <t>SHORT BALANCE (115PCS) OF U11 WITH NO ETA. CUSTOMER APPROVED TO RUN PARTIAL, COUNT MONDAY AS DAY 1</t>
    </r>
  </si>
  <si>
    <r>
      <rPr>
        <b/>
        <strike/>
        <sz val="11"/>
        <color rgb="FF4EA72E"/>
        <rFont val="Calibri"/>
        <family val="2"/>
        <scheme val="minor"/>
      </rPr>
      <t xml:space="preserve">WOULD NEED TO CLEAR BY 12/17
</t>
    </r>
    <r>
      <rPr>
        <b/>
        <sz val="11"/>
        <color rgb="FF000000"/>
        <rFont val="Calibri"/>
        <family val="2"/>
        <scheme val="minor"/>
      </rPr>
      <t>12/12 - OK TO RUN BOT SIDE (U11 TOP SIDE)
12/13 - RUN &amp; SHIP 100 OF 215
12/17 - 16 SMT COMPLETE</t>
    </r>
  </si>
  <si>
    <t>129046-1
PAR
ROWC 127298</t>
  </si>
  <si>
    <r>
      <rPr>
        <b/>
        <sz val="11"/>
        <color rgb="FFFF0000"/>
        <rFont val="Calibri"/>
        <family val="2"/>
        <scheme val="minor"/>
      </rPr>
      <t xml:space="preserve">***START ON DAY 1 OR SOONER
CLASS 3
</t>
    </r>
    <r>
      <rPr>
        <b/>
        <sz val="11"/>
        <color rgb="FF000000"/>
        <rFont val="Calibri"/>
        <family val="2"/>
        <scheme val="minor"/>
      </rPr>
      <t xml:space="preserve">"U11" HANDLE WITH CARE &amp; DO NOT LOSE PARTS
"U22, SW2" AFTER WASH
MAKE SURE BOARDS ARE CLEAN AND FREE OF DEBRIS
DEPANEL &amp; SAND - 0.015" MAX BURRS
</t>
    </r>
  </si>
  <si>
    <t>12/16 - BOT 12:30</t>
  </si>
  <si>
    <t>12/17 - TOP 8:00</t>
  </si>
  <si>
    <t>12/18 - AOI 2:30</t>
  </si>
  <si>
    <t>11/01/24</t>
  </si>
  <si>
    <r>
      <rPr>
        <b/>
        <strike/>
        <sz val="11"/>
        <color rgb="FF000000"/>
        <rFont val="Calibri"/>
        <family val="2"/>
        <scheme val="minor"/>
      </rPr>
      <t>12/4 - 4 ITEMS (2 SMT/2 THT) PENDING ON CONFIRM, KIT WILL BE CLEAR ONCE CONFIRM /</t>
    </r>
    <r>
      <rPr>
        <b/>
        <sz val="11"/>
        <color rgb="FF000000"/>
        <rFont val="Calibri"/>
        <family val="2"/>
        <scheme val="minor"/>
      </rPr>
      <t xml:space="preserve"> SMT CLEAR | </t>
    </r>
    <r>
      <rPr>
        <b/>
        <strike/>
        <sz val="11"/>
        <color rgb="FF000000"/>
        <rFont val="Calibri"/>
        <family val="2"/>
        <scheme val="minor"/>
      </rPr>
      <t xml:space="preserve">SHORT 2 ADDITION ADDED THT (MS1..,HS2) ETA 12/6
</t>
    </r>
    <r>
      <rPr>
        <b/>
        <sz val="11"/>
        <color rgb="FF000000"/>
        <rFont val="Calibri"/>
        <family val="2"/>
        <scheme val="minor"/>
      </rPr>
      <t>12/6 - KIT CLEAR</t>
    </r>
  </si>
  <si>
    <r>
      <rPr>
        <b/>
        <strike/>
        <sz val="11"/>
        <color rgb="FF000000"/>
        <rFont val="Calibri"/>
        <family val="2"/>
        <scheme val="minor"/>
      </rPr>
      <t xml:space="preserve">12/5 - SMT CLEAR
</t>
    </r>
    <r>
      <rPr>
        <b/>
        <u/>
        <sz val="11"/>
        <color rgb="FF000000"/>
        <rFont val="Calibri"/>
        <family val="2"/>
        <scheme val="minor"/>
      </rPr>
      <t>12/6 - KIT CLEAR</t>
    </r>
  </si>
  <si>
    <t>129495
NEW</t>
  </si>
  <si>
    <t>12/20
10D</t>
  </si>
  <si>
    <t>LEAD PROCESS
SOLDER ON GROUNG PAD NOT TO EXCEED 0.06"
"DS3, SW2, SW3" AFTER WASH
TRIM LEADS 0.140" MAX
INSTALL "HS2" HEAT SINK
SEAL ESD BAGS WITH YELLOW ESD WARNING STICKERS
LABELS PACKED BOXES WITH DATE CODE &amp; QTY</t>
  </si>
  <si>
    <t>12/13 - BOT 7:30</t>
  </si>
  <si>
    <t>12/13  - TOP 11:00</t>
  </si>
  <si>
    <t>12/13 - AOI 1:30</t>
  </si>
  <si>
    <t xml:space="preserve"> Rheem Manufacturing Company
</t>
  </si>
  <si>
    <t>11/22 - KIT CLEAR</t>
  </si>
  <si>
    <t>122789-
2ND-1
PAR
ROWC 1st Article</t>
  </si>
  <si>
    <r>
      <rPr>
        <b/>
        <sz val="14"/>
        <color rgb="FF000000"/>
        <rFont val="Calibri"/>
        <family val="2"/>
      </rPr>
      <t xml:space="preserve">12/20
</t>
    </r>
    <r>
      <rPr>
        <b/>
        <strike/>
        <sz val="14"/>
        <color rgb="FF000000"/>
        <rFont val="Calibri"/>
        <family val="2"/>
      </rPr>
      <t xml:space="preserve">12/16?
</t>
    </r>
    <r>
      <rPr>
        <b/>
        <sz val="14"/>
        <color rgb="FF000000"/>
        <rFont val="Calibri"/>
        <family val="2"/>
      </rPr>
      <t>10D</t>
    </r>
  </si>
  <si>
    <t>CLASS 3
LEAD WASH PROCESS
PER ECO NOTE 4 GOLD PLATING TO BE FREE OF SOLDER SPLASH
"J19 &amp; C171" - MAXIMUM COMPONENT HEIGHT 0.55(inch) AT J19 ON TOP SIDE AND 0.05(inch) AT C171
ON BOTTOM SIDE
*** UNDERFILL REQUIRED FOR "XU1A, XU1B, XU2A, XU2B" PER ECO &amp; DWG
*** UNDERFILL REQUIRED FOR "C31, C48, U7, T1 &amp; PINS A1, A2 OF J19" PER ECO &amp; DWG</t>
  </si>
  <si>
    <t>11/27 - TOP 2:30
12/2 - PAUSE 6:00
12/3 - TOP 3:00
12/4 - PAUSE 10:00
12/5 - TOP 8:00
12/6 - PAUSE 6:00</t>
  </si>
  <si>
    <t>11/26 - 6 ITEMS ARE BTD, 6 MORE ITEMS ARE DNI DUE TO NOT AVAILABLE, 8 ITEMS HAVE ALTERNATES THAT ARE OK TO USE
PLEASE SEE EMAIL/EXCEL FROM TAD OUTLINING DETAILS</t>
  </si>
  <si>
    <r>
      <rPr>
        <b/>
        <sz val="11"/>
        <color rgb="FF000000"/>
        <rFont val="Calibri"/>
        <family val="2"/>
        <scheme val="minor"/>
      </rPr>
      <t xml:space="preserve">11/27 - USE PRINTOUT FOR PART VERIFICATION
11/27 - AWT PART CONF P1
11/28 - STENCIL DUE 9 OR 10 AM
12/2 - USE #39 (P1) &amp; BTD
12/4 - </t>
    </r>
    <r>
      <rPr>
        <sz val="11"/>
        <color rgb="FF000000"/>
        <rFont val="Calibri"/>
        <family val="2"/>
        <scheme val="minor"/>
      </rPr>
      <t>QTY 33 COMPLETE</t>
    </r>
  </si>
  <si>
    <r>
      <rPr>
        <b/>
        <sz val="14"/>
        <color rgb="FF000000"/>
        <rFont val="Aptos Narrow"/>
        <family val="2"/>
      </rPr>
      <t xml:space="preserve">12/19
</t>
    </r>
    <r>
      <rPr>
        <b/>
        <strike/>
        <sz val="14"/>
        <color rgb="FF000000"/>
        <rFont val="Aptos Narrow"/>
        <family val="2"/>
      </rPr>
      <t xml:space="preserve">12/5
</t>
    </r>
    <r>
      <rPr>
        <b/>
        <sz val="14"/>
        <color rgb="FFFF0000"/>
        <rFont val="Calibri"/>
        <family val="2"/>
        <scheme val="minor"/>
      </rPr>
      <t xml:space="preserve">3D*
</t>
    </r>
    <r>
      <rPr>
        <b/>
        <u/>
        <sz val="14"/>
        <color rgb="FFFF0000"/>
        <rFont val="Calibri"/>
        <family val="2"/>
        <scheme val="minor"/>
      </rPr>
      <t>CANNOT BE LATE</t>
    </r>
  </si>
  <si>
    <r>
      <rPr>
        <b/>
        <sz val="14"/>
        <color rgb="FFFF0000"/>
        <rFont val="Calibri"/>
        <family val="2"/>
        <scheme val="minor"/>
      </rPr>
      <t xml:space="preserve">*** </t>
    </r>
    <r>
      <rPr>
        <b/>
        <u/>
        <sz val="14"/>
        <color rgb="FFFF0000"/>
        <rFont val="Calibri"/>
        <family val="2"/>
        <scheme val="minor"/>
      </rPr>
      <t>CANNOT BE LATE</t>
    </r>
    <r>
      <rPr>
        <b/>
        <sz val="14"/>
        <color rgb="FFFF0000"/>
        <rFont val="Calibri"/>
        <family val="2"/>
        <scheme val="minor"/>
      </rPr>
      <t xml:space="preserve"> ***
</t>
    </r>
    <r>
      <rPr>
        <b/>
        <sz val="11"/>
        <color rgb="FFFF0000"/>
        <rFont val="Calibri"/>
        <family val="2"/>
        <scheme val="minor"/>
      </rPr>
      <t xml:space="preserve">*** THIS JOB IS MESSY!!! PLEASE READ EMAIL FROM TAD OUTLINING DETAILS ***
</t>
    </r>
    <r>
      <rPr>
        <b/>
        <sz val="11"/>
        <color rgb="FF000000"/>
        <rFont val="Calibri"/>
        <family val="2"/>
        <scheme val="minor"/>
      </rPr>
      <t>mixed pop - DUT1 (UIR8360): we will be supplying 30pcs for install.
20 boards will be “Parts Not Stuffed
ECO NOTE 2 IS WAIVED
Height off board for thru-hole components is 0.060”.
TRIM LEADS</t>
    </r>
  </si>
  <si>
    <t>12/3 - BOT 2:00
12/16 - RWK 10:00</t>
  </si>
  <si>
    <t>12/4 - TOP
12/16 - RWK MOSTLY COMPLETE 2:30</t>
  </si>
  <si>
    <t>12/5 - AOI</t>
  </si>
  <si>
    <t xml:space="preserve"> Spreadtrum Communications USA
</t>
  </si>
  <si>
    <t>MEETING REQUIRED BEFORE SETUP</t>
  </si>
  <si>
    <t>11/27</t>
  </si>
  <si>
    <r>
      <rPr>
        <b/>
        <strike/>
        <sz val="11"/>
        <color rgb="FF000000"/>
        <rFont val="Calibri"/>
        <family val="2"/>
      </rPr>
      <t xml:space="preserve">12/9 - SHORT PCB WITH NO ETA 12/16 PCB DUE </t>
    </r>
    <r>
      <rPr>
        <b/>
        <sz val="11"/>
        <color rgb="FF000000"/>
        <rFont val="Calibri"/>
        <family val="2"/>
      </rPr>
      <t xml:space="preserve"> 12/12 - KIT CLEAR</t>
    </r>
  </si>
  <si>
    <t>129646
NEW</t>
  </si>
  <si>
    <t>12/19
5D</t>
  </si>
  <si>
    <t>LEAD WASH PROCESS
TRIM LEADS 2.00MM MAX
DEPANEL</t>
  </si>
  <si>
    <t>12/16 - BOT 8:30</t>
  </si>
  <si>
    <t>12/16 - TOP 10:00</t>
  </si>
  <si>
    <t>12/16 - AOI 12:00</t>
  </si>
  <si>
    <r>
      <rPr>
        <b/>
        <strike/>
        <sz val="11"/>
        <color rgb="FF000000"/>
        <rFont val="Calibri"/>
        <family val="2"/>
      </rPr>
      <t>12/13 - PCB DUE | SHORT 3 SMT ITEMS (U1,U20,U2) &amp;1 THT ITEM (PL13) ETA 12/13</t>
    </r>
    <r>
      <rPr>
        <b/>
        <sz val="11"/>
        <color rgb="FF000000"/>
        <rFont val="Calibri"/>
        <family val="2"/>
      </rPr>
      <t xml:space="preserve"> 12/12 - KIT CLEAR.</t>
    </r>
  </si>
  <si>
    <t>129193
RONC 125225</t>
  </si>
  <si>
    <t xml:space="preserve">CUI 
LEAD WASH
</t>
  </si>
  <si>
    <t>12/16 - TOP 2:30</t>
  </si>
  <si>
    <t>12/17 - AOI 10:00</t>
  </si>
  <si>
    <t>12/6</t>
  </si>
  <si>
    <r>
      <rPr>
        <b/>
        <strike/>
        <sz val="11"/>
        <color rgb="FF000000"/>
        <rFont val="Calibri"/>
        <family val="2"/>
        <scheme val="minor"/>
      </rPr>
      <t xml:space="preserve">11/21 - ITEM 23 SENT OUT FOR RE-TAPE. WILL RECV BACK ON 11/25
</t>
    </r>
    <r>
      <rPr>
        <b/>
        <sz val="11"/>
        <color rgb="FF000000"/>
        <rFont val="Calibri"/>
        <family val="2"/>
        <scheme val="minor"/>
      </rPr>
      <t xml:space="preserve">11/26 - </t>
    </r>
    <r>
      <rPr>
        <b/>
        <strike/>
        <sz val="11"/>
        <color rgb="FF000000"/>
        <rFont val="Calibri"/>
        <family val="2"/>
        <scheme val="minor"/>
      </rPr>
      <t xml:space="preserve">SHORT R9 (SMT) EXPECT THIS PART TO ARRIVE TODAY.
</t>
    </r>
    <r>
      <rPr>
        <b/>
        <sz val="11"/>
        <color rgb="FF000000"/>
        <rFont val="Calibri"/>
        <family val="2"/>
        <scheme val="minor"/>
      </rPr>
      <t>KIT CLEAR</t>
    </r>
  </si>
  <si>
    <r>
      <rPr>
        <b/>
        <sz val="11"/>
        <color rgb="FF000000"/>
        <rFont val="Calibri"/>
        <family val="2"/>
        <scheme val="minor"/>
      </rPr>
      <t xml:space="preserve">11/8 - RUN ON L1 (PER TAD)
</t>
    </r>
    <r>
      <rPr>
        <b/>
        <strike/>
        <sz val="11"/>
        <color rgb="FF000000"/>
        <rFont val="Calibri"/>
        <family val="2"/>
        <scheme val="minor"/>
      </rPr>
      <t>11/21 - ITEM 23 UPSIDE DOWN - NEED TO RET&amp;R</t>
    </r>
  </si>
  <si>
    <t>127250-
2ND
ROWC 1st Article</t>
  </si>
  <si>
    <t xml:space="preserve">
12/19
15D</t>
  </si>
  <si>
    <t>TRUE NO CLEAN BUILD
DEPANEL
"M3" IS NOW DNI
"R32" RCG040210K0JNED IS NOW LOAD
*** LAST RUN QTY 52 ALTA DID NOT LOAD/SOLDER THE COIL "CL+1" - PLEASE MAKE SURE IT IS LOADED FOR QTY 998
11/25 - CUST ADDED "R9" RT0402BRE07100KL, PLEASE MAKE SURE IT IS INSTALLED</t>
  </si>
  <si>
    <t>12/6 - BOT 1:30</t>
  </si>
  <si>
    <t>12/10 - TOP 8:00
12/11 - PAUSE 9:30</t>
  </si>
  <si>
    <t>12/12 - AOI 7:00</t>
  </si>
  <si>
    <t xml:space="preserve">Hip Science, LLC
</t>
  </si>
  <si>
    <t>PREVIOUS BUILD HAD MANY MISSING, MISALIGN AND TOMBSTONE PARTS IN THE C54 TO R14 REGION</t>
  </si>
  <si>
    <t>DOC REL 11/12</t>
  </si>
  <si>
    <t xml:space="preserve">122789-
RMA
</t>
  </si>
  <si>
    <t>CLASS 3
UNDERFILL "XU1A, XU1B, XU2A, XU2B" PER ECO &amp; DWG
---
UNDERFILL "C31, C48, U7, T1 &amp; PINS A1, A2 OF J19" PER ECO &amp; DWG</t>
  </si>
  <si>
    <r>
      <rPr>
        <b/>
        <strike/>
        <sz val="11"/>
        <color theme="3"/>
        <rFont val="Calibri"/>
        <family val="2"/>
      </rPr>
      <t xml:space="preserve">12/12 - PCB DUE | SHORT U1 (SMT) WITH NO ETA.
</t>
    </r>
    <r>
      <rPr>
        <b/>
        <sz val="11"/>
        <color theme="3"/>
        <rFont val="Calibri"/>
        <family val="2"/>
      </rPr>
      <t>12/9 - KIT CLEAR BUT CUSTOMER HAS ISSUE WITH U1, WE ONLY RUN THIS JOB ONCE TAD UPDATES THE CUSTOMER</t>
    </r>
  </si>
  <si>
    <t>129940-2
PAR
RONC 128277</t>
  </si>
  <si>
    <t>12/18
10D</t>
  </si>
  <si>
    <r>
      <rPr>
        <b/>
        <sz val="14"/>
        <color rgb="FFFF0000"/>
        <rFont val="Calibri"/>
        <family val="2"/>
      </rPr>
      <t xml:space="preserve">*** CUST HAVING ISSUES W/ "U1" PLEASE SEE TAD BEFORE STARTING
</t>
    </r>
    <r>
      <rPr>
        <b/>
        <sz val="11"/>
        <color rgb="FF000000"/>
        <rFont val="Calibri"/>
        <family val="2"/>
      </rPr>
      <t>LEAD-FREE, NO CLEAN
"U1" SEE ECO
DEPANEL</t>
    </r>
  </si>
  <si>
    <t>12/17 - BOT 1:00</t>
  </si>
  <si>
    <t>12/17 - TOP</t>
  </si>
  <si>
    <t>12/17 - AOI 2:30</t>
  </si>
  <si>
    <t>129414-1
PAR
ROWC 116458</t>
  </si>
  <si>
    <t xml:space="preserve">"U46" REQUIRES 24HR PRE-BAKE
"X1" CONFIRM ORIENTATION BEFORE PLACING
SPLIT SHIPMENT: WILL CALL
Ship 33 when due (12/18)
Ship 33 1-20-2025
Ship 34 2-20-2025
</t>
  </si>
  <si>
    <t>12/17 - AOI 11:30</t>
  </si>
  <si>
    <r>
      <rPr>
        <b/>
        <strike/>
        <sz val="11"/>
        <color rgb="FF000000"/>
        <rFont val="Calibri"/>
        <family val="2"/>
        <scheme val="minor"/>
      </rPr>
      <t xml:space="preserve">12/4 - SHORT 2 SMT (R131,U57) WITH NO ETA.
</t>
    </r>
    <r>
      <rPr>
        <b/>
        <sz val="11"/>
        <color rgb="FF000000"/>
        <rFont val="Calibri"/>
        <family val="2"/>
        <scheme val="minor"/>
      </rPr>
      <t>12/5 - KIT CLEAR</t>
    </r>
  </si>
  <si>
    <t>128669-2
ROWC 1st Article</t>
  </si>
  <si>
    <t>LEAD NO CLEAN PROCESS
"U41" CANNOT BE WASHED
"FX1, FX2" FUSES - DO NOT INSTALL, SHIP BACK WITH BOARDS</t>
  </si>
  <si>
    <t>12/12 - BOT 10:00</t>
  </si>
  <si>
    <t>12/12 - TOP</t>
  </si>
  <si>
    <t>12/12 - AOI 2:00</t>
  </si>
  <si>
    <t xml:space="preserve">Science &amp; Engineering Services
</t>
  </si>
  <si>
    <r>
      <rPr>
        <b/>
        <strike/>
        <sz val="11"/>
        <color rgb="FF000000"/>
        <rFont val="Calibri"/>
        <family val="2"/>
      </rPr>
      <t xml:space="preserve">11/25 - SHORT 
12/11 PCB DUE / SHORT PARTIAL OF 1 THT ITEM (J4..) WITH NO ETA. 
</t>
    </r>
    <r>
      <rPr>
        <b/>
        <sz val="11"/>
        <color rgb="FF000000"/>
        <rFont val="Calibri"/>
        <family val="2"/>
      </rPr>
      <t>12/10 - KIT CLEAR</t>
    </r>
  </si>
  <si>
    <t>129551
NEW</t>
  </si>
  <si>
    <t>NO SOLDER ALLOWED OVER TEST POINTS OR FIDUCIALS
DEPANEL</t>
  </si>
  <si>
    <t>12/12 - BOT 12:00</t>
  </si>
  <si>
    <t>12/13 - TOP</t>
  </si>
  <si>
    <t>12/13 - AOI</t>
  </si>
  <si>
    <t xml:space="preserve">Redbud Labs Inc
</t>
  </si>
  <si>
    <t xml:space="preserve">12/10 - KIT CLEAR.
*DID NOT RECIEVE ARRAY FILES, BUT BOARDS IN SINGLE. </t>
  </si>
  <si>
    <t>129508
NEW</t>
  </si>
  <si>
    <t>12/11 - TOP 2:00</t>
  </si>
  <si>
    <t>12/12 - AOI 10:30</t>
  </si>
  <si>
    <t xml:space="preserve"> Indy Audio Labs
</t>
  </si>
  <si>
    <r>
      <rPr>
        <b/>
        <strike/>
        <sz val="11"/>
        <color rgb="FF000000"/>
        <rFont val="Calibri"/>
        <family val="2"/>
        <scheme val="minor"/>
      </rPr>
      <t xml:space="preserve">12/4 - </t>
    </r>
    <r>
      <rPr>
        <b/>
        <sz val="11"/>
        <color rgb="FF000000"/>
        <rFont val="Calibri"/>
        <family val="2"/>
        <scheme val="minor"/>
      </rPr>
      <t xml:space="preserve">SHORT U18 (SMT) 2 PCS </t>
    </r>
    <r>
      <rPr>
        <b/>
        <strike/>
        <sz val="11"/>
        <color rgb="FF000000"/>
        <rFont val="Calibri"/>
        <family val="2"/>
        <scheme val="minor"/>
      </rPr>
      <t>MAYBE</t>
    </r>
    <r>
      <rPr>
        <b/>
        <sz val="11"/>
        <color rgb="FF000000"/>
        <rFont val="Calibri"/>
        <family val="2"/>
        <scheme val="minor"/>
      </rPr>
      <t xml:space="preserve"> BTD, THIS JOB CONSIDER KIT CLEAR. </t>
    </r>
    <r>
      <rPr>
        <b/>
        <strike/>
        <sz val="11"/>
        <color rgb="FF000000"/>
        <rFont val="Calibri"/>
        <family val="2"/>
        <scheme val="minor"/>
      </rPr>
      <t xml:space="preserve">ETA 12/10 (OK TO SKIP PER TAD)  | C79 (THT) WAITING FOR CONFIRM. </t>
    </r>
  </si>
  <si>
    <t>12/4 - CAN SKIP "U18"
12/10 - BTD U18</t>
  </si>
  <si>
    <t>129600
NEW</t>
  </si>
  <si>
    <r>
      <rPr>
        <b/>
        <sz val="11"/>
        <color rgb="FF000000"/>
        <rFont val="Calibri"/>
        <family val="2"/>
      </rPr>
      <t xml:space="preserve">"RL1  x28" AFTER WASH - SEE ECO &amp; DATA SHEET FOR REFLOW &amp; CLEANING GUIDELINES
</t>
    </r>
    <r>
      <rPr>
        <b/>
        <sz val="11"/>
        <color rgb="FFFF0000"/>
        <rFont val="Calibri"/>
        <family val="2"/>
      </rPr>
      <t>BTD U18: IDENTIFY BOARDS SHORT U18 FOR CUSTOMER</t>
    </r>
  </si>
  <si>
    <t>12/11 - TOP 9:30</t>
  </si>
  <si>
    <t>12/11 - AOI 2:00</t>
  </si>
  <si>
    <r>
      <rPr>
        <b/>
        <strike/>
        <sz val="11"/>
        <color rgb="FF000000"/>
        <rFont val="Calibri"/>
        <family val="2"/>
        <scheme val="minor"/>
      </rPr>
      <t xml:space="preserve">12/4 -12/6 </t>
    </r>
    <r>
      <rPr>
        <b/>
        <sz val="11"/>
        <color rgb="FF000000"/>
        <rFont val="Calibri"/>
        <family val="2"/>
        <scheme val="minor"/>
      </rPr>
      <t>- 12/9 -</t>
    </r>
    <r>
      <rPr>
        <b/>
        <strike/>
        <sz val="11"/>
        <color rgb="FF000000"/>
        <rFont val="Calibri"/>
        <family val="2"/>
        <scheme val="minor"/>
      </rPr>
      <t xml:space="preserve"> PCB DUE  </t>
    </r>
    <r>
      <rPr>
        <b/>
        <sz val="11"/>
        <color rgb="FF000000"/>
        <rFont val="Calibri"/>
        <family val="2"/>
        <scheme val="minor"/>
      </rPr>
      <t>KIT CLEAR</t>
    </r>
  </si>
  <si>
    <t>129719
NEW</t>
  </si>
  <si>
    <r>
      <rPr>
        <b/>
        <sz val="11"/>
        <color rgb="FF000000"/>
        <rFont val="Calibri"/>
        <family val="2"/>
        <scheme val="minor"/>
      </rPr>
      <t xml:space="preserve">LEAD PROCESS
</t>
    </r>
    <r>
      <rPr>
        <b/>
        <sz val="14"/>
        <color rgb="FFFF0000"/>
        <rFont val="Calibri"/>
        <family val="2"/>
        <scheme val="minor"/>
      </rPr>
      <t xml:space="preserve">*** "U801" IS MOISTURE SENSITIVE - USE KAPTON TAPE, DO NOT WASH - READ ECO!!!
</t>
    </r>
    <r>
      <rPr>
        <b/>
        <sz val="11"/>
        <color rgb="FF000000"/>
        <rFont val="Calibri"/>
        <family val="2"/>
        <scheme val="minor"/>
      </rPr>
      <t>DEPANEL</t>
    </r>
  </si>
  <si>
    <t>12/11 - BOT 9:30</t>
  </si>
  <si>
    <t>12/11 - TOP 11:00</t>
  </si>
  <si>
    <t xml:space="preserve"> Ocean Aero, Inc.
</t>
  </si>
  <si>
    <t>DOC REL 11/15</t>
  </si>
  <si>
    <r>
      <rPr>
        <b/>
        <strike/>
        <sz val="11"/>
        <color rgb="FF000000"/>
        <rFont val="Calibri"/>
        <family val="2"/>
        <scheme val="minor"/>
      </rPr>
      <t>12/3 - SHORT PCB WITH NO ETA YET. 
12/9 - PCB DUE BUT MIGHT BE DELAY DUE TO BOARDS SHIP FROM CHINA DUE TO CUSTOM.</t>
    </r>
    <r>
      <rPr>
        <b/>
        <sz val="11"/>
        <color rgb="FF000000"/>
        <rFont val="Calibri"/>
        <family val="2"/>
        <scheme val="minor"/>
      </rPr>
      <t xml:space="preserve"> 12/9 - KIT CLEAR | </t>
    </r>
    <r>
      <rPr>
        <b/>
        <strike/>
        <sz val="11"/>
        <color rgb="FF000000"/>
        <rFont val="Calibri"/>
        <family val="2"/>
        <scheme val="minor"/>
      </rPr>
      <t>CONFIRMING  ARRAY FILE CORRECT?</t>
    </r>
  </si>
  <si>
    <t>129334
NEW</t>
  </si>
  <si>
    <r>
      <rPr>
        <b/>
        <sz val="11"/>
        <color rgb="FF00B050"/>
        <rFont val="Calibri"/>
        <family val="2"/>
        <scheme val="minor"/>
      </rPr>
      <t>RoHS LEAD FREE,</t>
    </r>
    <r>
      <rPr>
        <b/>
        <sz val="11"/>
        <color rgb="FF0070C0"/>
        <rFont val="Calibri"/>
        <family val="2"/>
        <scheme val="minor"/>
      </rPr>
      <t xml:space="preserve"> </t>
    </r>
    <r>
      <rPr>
        <b/>
        <sz val="11"/>
        <color rgb="FF000000"/>
        <rFont val="Calibri"/>
        <family val="2"/>
        <scheme val="minor"/>
      </rPr>
      <t>WASH.
SEE ECO NOTE #4 FOR QA/AOI STAMP PLACEMENT LOCATION
TRIM LEADS TO 0.07" MAX
DEPANEL</t>
    </r>
  </si>
  <si>
    <t>12/12 - BOT 9:00</t>
  </si>
  <si>
    <t>12/12 - TOP 10:00</t>
  </si>
  <si>
    <t>12/12 - AOI 11:00</t>
  </si>
  <si>
    <t xml:space="preserve"> SEER Technology, Inc.
</t>
  </si>
  <si>
    <r>
      <rPr>
        <b/>
        <strike/>
        <sz val="11"/>
        <color rgb="FF000000"/>
        <rFont val="Calibri"/>
        <family val="2"/>
        <scheme val="minor"/>
      </rPr>
      <t xml:space="preserve">REQUESTED CONTINUOUS STRIPS &amp; ETA 12/2. KIT WILL BE CLEAR ONCE THE NEW CONTINUOUS STRIPS RECIEVED.  
</t>
    </r>
    <r>
      <rPr>
        <b/>
        <sz val="11"/>
        <color rgb="FF000000"/>
        <rFont val="Calibri"/>
        <family val="2"/>
        <scheme val="minor"/>
      </rPr>
      <t>12/2 - KIT CLEAR</t>
    </r>
  </si>
  <si>
    <t>129553
RONC 117696</t>
  </si>
  <si>
    <t>"J1131 &amp; U125" ENSURE THESE LOCATIONS ARE SMOOTH &amp; ALL VIA IN PAD HOLS ARE PLUGGED
*** "J1131" SPECIAL INSTRUCTIONS PER ECO - EXPENSIVE PART, DO NOT LOSE
"SW3, SW51. SW152" AFTER WASH</t>
  </si>
  <si>
    <t>12/10 - BOT 9:00</t>
  </si>
  <si>
    <t>12/10 - TOP 1:00
12/11 - PAUSE 2:00
12/12 - TOP 11:30</t>
  </si>
  <si>
    <t>12/12 - AOI 1:00</t>
  </si>
  <si>
    <t xml:space="preserve"> Protocol Insight, LLC
</t>
  </si>
  <si>
    <t>ONLY TRI RUN FOR FUTURE BUILDS</t>
  </si>
  <si>
    <r>
      <rPr>
        <b/>
        <strike/>
        <sz val="11"/>
        <color rgb="FF000000"/>
        <rFont val="Calibri"/>
        <family val="2"/>
      </rPr>
      <t xml:space="preserve">12/9 OR 12/10 - PCB DUE. ALSO, STILL WAITING FOR ARRAY FILES. 
</t>
    </r>
    <r>
      <rPr>
        <b/>
        <sz val="11"/>
        <color rgb="FF000000"/>
        <rFont val="Calibri"/>
        <family val="2"/>
      </rPr>
      <t>12/9 - KIT CLEAR &amp; ARRAY RECEIVED.</t>
    </r>
  </si>
  <si>
    <t>12/10 - AWT STENCIL
12/12 - SMT FA 2ND SIDE COMP</t>
  </si>
  <si>
    <t>129564
NEW</t>
  </si>
  <si>
    <t>"5_CONV" AFTER WASH
"F1_MAIN x16" SOLDER PER ECO #6
DEPANEL
INSTALL FUSES</t>
  </si>
  <si>
    <t>12/11 - BOT 11:30</t>
  </si>
  <si>
    <t>12/13 - AOI 9:00</t>
  </si>
  <si>
    <t xml:space="preserve"> Diligent Robotics
</t>
  </si>
  <si>
    <r>
      <rPr>
        <b/>
        <strike/>
        <sz val="11"/>
        <color rgb="FF000000"/>
        <rFont val="Calibri"/>
        <family val="2"/>
      </rPr>
      <t xml:space="preserve">12/10 - SHORT "c1X4" DUE 12/11 &amp; "WASH1" T/H NO ETA
</t>
    </r>
    <r>
      <rPr>
        <b/>
        <sz val="11"/>
        <color rgb="FF000000"/>
        <rFont val="Calibri"/>
        <family val="2"/>
      </rPr>
      <t>12/11 - KIT CLEAR</t>
    </r>
  </si>
  <si>
    <t>12/10 - OK TO RUN ONCE "C1x4" ARRIVES
12/12 - AWT STENCIL</t>
  </si>
  <si>
    <t>130019
RONC 123724</t>
  </si>
  <si>
    <t>ALL COMPONENTS MOUNT FLUSH W/ PCB - NO SPACE ALLOWED
MECH ASSY REQ
DEPANEL</t>
  </si>
  <si>
    <t>12/12 - TOP 9:00</t>
  </si>
  <si>
    <t>12/12 - AOI 12:00</t>
  </si>
  <si>
    <t xml:space="preserve">Thermon Heating Systems, Inc
</t>
  </si>
  <si>
    <r>
      <rPr>
        <b/>
        <strike/>
        <sz val="11"/>
        <color rgb="FF000000"/>
        <rFont val="Calibri"/>
        <family val="2"/>
        <scheme val="minor"/>
      </rPr>
      <t xml:space="preserve">11/20 - PCB DUE / SHORT 14 SMT ITEMS WITH NO ETA (SHORT STRIPS, REQUESTED FOR ATTRITION) 11/22 - WAITING FOR PCB ETA AND UPDATE PO FOR SHORT STRIPS )
11/27 - SHORT PCB WITH NO ETA </t>
    </r>
    <r>
      <rPr>
        <b/>
        <sz val="11"/>
        <color rgb="FF000000"/>
        <rFont val="Calibri"/>
        <family val="2"/>
        <scheme val="minor"/>
      </rPr>
      <t>GUESSING PCB WILL BE DUE SOMETIME IN BETWEEN 12/6 AND AFTER. KIT CLEAR FOR QTY.20, CUSTOMER APPROVED TO RUN 20PCS</t>
    </r>
  </si>
  <si>
    <t>12/6 - OK TO RUN 20 OF 110 (TAD)</t>
  </si>
  <si>
    <t>129215-1
PAR
ROWC 123853 2nd Article</t>
  </si>
  <si>
    <r>
      <rPr>
        <b/>
        <sz val="11"/>
        <color rgb="FF000000"/>
        <rFont val="Calibri"/>
        <family val="2"/>
      </rPr>
      <t xml:space="preserve">XRAY &amp; SAVE IMAGES
DEPANEL &amp; SAND
NO LABELS REQUIRED
</t>
    </r>
    <r>
      <rPr>
        <b/>
        <sz val="14"/>
        <color rgb="FFFF0000"/>
        <rFont val="Calibri"/>
        <family val="2"/>
      </rPr>
      <t xml:space="preserve">*** </t>
    </r>
    <r>
      <rPr>
        <b/>
        <u/>
        <sz val="14"/>
        <color rgb="FFFF0000"/>
        <rFont val="Calibri"/>
        <family val="2"/>
      </rPr>
      <t>CUST COMPLAINED ABOUT EXCESS MATL RETURNED MESSY, PARTS TAPED TO BAGS ETC. PLEASE DISCUSS W/ TAD BEFORE TEARING DOWN</t>
    </r>
  </si>
  <si>
    <t>12/10 - TOP 11:00</t>
  </si>
  <si>
    <t>12/11 - AOI 10:00</t>
  </si>
  <si>
    <r>
      <rPr>
        <b/>
        <strike/>
        <sz val="11"/>
        <color rgb="FF000000"/>
        <rFont val="Calibri"/>
        <family val="2"/>
        <scheme val="minor"/>
      </rPr>
      <t xml:space="preserve">11/22 - SHORT 1 SMT (L165, L166), 2 TH (J12, J29) WITH NO ETA. / 3 OTHER ITEMS (U39, J1, and J8 ) WAITING FOR CONFIRMED.
</t>
    </r>
    <r>
      <rPr>
        <b/>
        <strike/>
        <sz val="12"/>
        <color rgb="FF000000"/>
        <rFont val="Calibri"/>
        <family val="2"/>
        <scheme val="minor"/>
      </rPr>
      <t xml:space="preserve">12/6 - ONLY SHORT "J12 &amp; 29} - REQUESTED TO DNi </t>
    </r>
    <r>
      <rPr>
        <b/>
        <sz val="12"/>
        <color rgb="FF000000"/>
        <rFont val="Calibri"/>
        <family val="2"/>
        <scheme val="minor"/>
      </rPr>
      <t>12/11 - KIT CLEAR</t>
    </r>
  </si>
  <si>
    <t>129221
NEW</t>
  </si>
  <si>
    <r>
      <rPr>
        <b/>
        <sz val="14"/>
        <color rgb="FF000000"/>
        <rFont val="Calibri"/>
        <family val="2"/>
        <scheme val="minor"/>
      </rPr>
      <t xml:space="preserve">12/13
</t>
    </r>
    <r>
      <rPr>
        <b/>
        <strike/>
        <sz val="14"/>
        <color rgb="FF000000"/>
        <rFont val="Calibri"/>
        <family val="2"/>
        <scheme val="minor"/>
      </rPr>
      <t xml:space="preserve">12/18
</t>
    </r>
    <r>
      <rPr>
        <b/>
        <sz val="14"/>
        <color rgb="FF000000"/>
        <rFont val="Calibri"/>
        <family val="2"/>
        <scheme val="minor"/>
      </rPr>
      <t>5D</t>
    </r>
  </si>
  <si>
    <t>"L114 &amp; RELATED x4" AFTER WASH
DEPANEL
BAR CODE REQ PER ECO
LABEL ON SHIPPING BOXES REQ
EXTRA PACKAGING TO PREVENT DAMAGE</t>
  </si>
  <si>
    <t>11/26 - BOT 7:30</t>
  </si>
  <si>
    <t>11/26 - TOP 11:30
11/27 - PAUSE 9:30
11/27 - TOP 11:00</t>
  </si>
  <si>
    <t>11/27 - AOI 1:30</t>
  </si>
  <si>
    <t xml:space="preserve"> Bausch &amp; Lomb
</t>
  </si>
  <si>
    <t>11/22</t>
  </si>
  <si>
    <r>
      <rPr>
        <b/>
        <strike/>
        <sz val="11"/>
        <color rgb="FF000000"/>
        <rFont val="Calibri"/>
        <family val="2"/>
      </rPr>
      <t xml:space="preserve">12/4 - PCB DUE
</t>
    </r>
    <r>
      <rPr>
        <b/>
        <sz val="11"/>
        <color rgb="FF000000"/>
        <rFont val="Calibri"/>
        <family val="2"/>
      </rPr>
      <t xml:space="preserve">12/5 - KIT CLEAR | </t>
    </r>
    <r>
      <rPr>
        <b/>
        <strike/>
        <sz val="11"/>
        <color rgb="FF000000"/>
        <rFont val="Calibri"/>
        <family val="2"/>
      </rPr>
      <t>WAITING TO CUSTOMER CONFIRM IF THEY STILL WANT EXPEDITE</t>
    </r>
    <r>
      <rPr>
        <b/>
        <sz val="11"/>
        <color rgb="FF000000"/>
        <rFont val="Calibri"/>
        <family val="2"/>
      </rPr>
      <t>. SHIPMENT DATE 12/12</t>
    </r>
  </si>
  <si>
    <r>
      <rPr>
        <b/>
        <strike/>
        <sz val="11"/>
        <color rgb="FF000000"/>
        <rFont val="Calibri"/>
        <family val="2"/>
      </rPr>
      <t xml:space="preserve">12/3 - SHIP BY 12/10 (TAD)
</t>
    </r>
    <r>
      <rPr>
        <b/>
        <strike/>
        <u/>
        <sz val="11"/>
        <color rgb="FF000000"/>
        <rFont val="Calibri"/>
        <family val="2"/>
      </rPr>
      <t>12/4 - NO PCBS, POSS EXPEDITE PENDING</t>
    </r>
  </si>
  <si>
    <t>129982
NEW</t>
  </si>
  <si>
    <r>
      <rPr>
        <b/>
        <sz val="11"/>
        <color rgb="FF000000"/>
        <rFont val="Calibri"/>
        <family val="2"/>
      </rPr>
      <t xml:space="preserve">*** BAKE "U11" PRIOR TO ASSY
"SW1" AFTER WASH
</t>
    </r>
    <r>
      <rPr>
        <b/>
        <sz val="14"/>
        <color rgb="FFFF0000"/>
        <rFont val="Calibri"/>
        <family val="2"/>
      </rPr>
      <t xml:space="preserve">*** PLEASE VACCUM SEAL ITEM 39 AT TEAR DOWN
</t>
    </r>
    <r>
      <rPr>
        <b/>
        <sz val="11"/>
        <color rgb="FF000000"/>
        <rFont val="Calibri"/>
        <family val="2"/>
      </rPr>
      <t>DEPANEL</t>
    </r>
  </si>
  <si>
    <t>12/9 - BOT 11:30</t>
  </si>
  <si>
    <t>12/9 - TOP 1:00</t>
  </si>
  <si>
    <t>12/10 - AOI 11:00</t>
  </si>
  <si>
    <r>
      <rPr>
        <b/>
        <strike/>
        <sz val="11"/>
        <color rgb="FF000000"/>
        <rFont val="Calibri"/>
        <family val="2"/>
      </rPr>
      <t xml:space="preserve">12/3 - SHORT PCB | SHORT 2 SMT (MTG200..,LTC400) </t>
    </r>
    <r>
      <rPr>
        <b/>
        <sz val="11"/>
        <color rgb="FF000000"/>
        <rFont val="Calibri"/>
        <family val="2"/>
      </rPr>
      <t>AND 1 THT (U504..) BTD</t>
    </r>
    <r>
      <rPr>
        <b/>
        <strike/>
        <sz val="11"/>
        <color rgb="FF000000"/>
        <rFont val="Calibri"/>
        <family val="2"/>
      </rPr>
      <t xml:space="preserve"> WITH NO ETA YET | 12/5 - PCB DUE. </t>
    </r>
    <r>
      <rPr>
        <b/>
        <sz val="11"/>
        <color rgb="FF000000"/>
        <rFont val="Calibri"/>
        <family val="2"/>
      </rPr>
      <t>12/4 - RECEIVED 9 OUT OF 10 PCB.
12/9 - THIS JOB CLOSING AT 9 BOARDS. KIT CLEAR</t>
    </r>
  </si>
  <si>
    <t>12/9 - DNI U504,U505</t>
  </si>
  <si>
    <t>129989-1
PAR
NEW</t>
  </si>
  <si>
    <r>
      <rPr>
        <b/>
        <sz val="14"/>
        <color rgb="FF000000"/>
        <rFont val="Calibri"/>
        <family val="2"/>
      </rPr>
      <t xml:space="preserve">12/12
</t>
    </r>
    <r>
      <rPr>
        <b/>
        <sz val="14"/>
        <color rgb="FFFF0000"/>
        <rFont val="Calibri"/>
        <family val="2"/>
      </rPr>
      <t>3D</t>
    </r>
  </si>
  <si>
    <t>"L200" IS BIDIRECTIONAL BUT PLEASE KEEP UNIFORM ORIENTATION
"SW100 x4, SW700, SW703, SW200, 201, 300, 400, 401, 701, 702, 704, U504, U505, U508, 509" AFTER WASH
DEPANEL</t>
  </si>
  <si>
    <t>12/5 - TOP 11:30</t>
  </si>
  <si>
    <t>12/6 - AOI 10:30</t>
  </si>
  <si>
    <r>
      <rPr>
        <b/>
        <sz val="11"/>
        <color rgb="FFFF0000"/>
        <rFont val="Calibri"/>
        <family val="2"/>
      </rPr>
      <t xml:space="preserve">12/9 - HOLD - RUNNING SAMPLES TO MAKE SURE SENSORS DO NOT GET DEBRIS
</t>
    </r>
    <r>
      <rPr>
        <b/>
        <sz val="11"/>
        <color rgb="FF000000"/>
        <rFont val="Calibri"/>
        <family val="2"/>
      </rPr>
      <t>12/10 - RAN 4 PANELS (60 BOARDS) DUE TO SIX DIRTY PARTS IN THE INITIAL 3 PANELS</t>
    </r>
  </si>
  <si>
    <t>129940-1
PAR
RONC 128277</t>
  </si>
  <si>
    <r>
      <rPr>
        <b/>
        <sz val="14"/>
        <color rgb="FF000000"/>
        <rFont val="Calibri"/>
        <family val="2"/>
      </rPr>
      <t xml:space="preserve">12/11
</t>
    </r>
    <r>
      <rPr>
        <b/>
        <sz val="12"/>
        <color rgb="FFFF0000"/>
        <rFont val="Calibri"/>
        <family val="2"/>
      </rPr>
      <t>EXPEDITE</t>
    </r>
  </si>
  <si>
    <t>12/10 - BOT 11:00</t>
  </si>
  <si>
    <t>12/10 - TOP</t>
  </si>
  <si>
    <t>12/10 - AOI 4:00</t>
  </si>
  <si>
    <t>12/11 - S/N: 0046 - 0051 BOARDS WITH DUST PARTICLES</t>
  </si>
  <si>
    <r>
      <rPr>
        <b/>
        <strike/>
        <sz val="11"/>
        <color rgb="FF000000"/>
        <rFont val="Calibri"/>
        <family val="2"/>
      </rPr>
      <t xml:space="preserve">12/16 - PCB DUE / SHORT 1 THT ITEM (A1_JB...) WITH NO ETA. 
</t>
    </r>
    <r>
      <rPr>
        <b/>
        <sz val="11"/>
        <color rgb="FF000000"/>
        <rFont val="Calibri"/>
        <family val="2"/>
      </rPr>
      <t>12/6 - KIT CLEAR</t>
    </r>
  </si>
  <si>
    <t>129818
RONC 129120</t>
  </si>
  <si>
    <r>
      <rPr>
        <b/>
        <sz val="14"/>
        <color rgb="FF000000"/>
        <rFont val="Calibri"/>
        <family val="2"/>
      </rPr>
      <t xml:space="preserve">12/11
</t>
    </r>
    <r>
      <rPr>
        <b/>
        <sz val="14"/>
        <color rgb="FFFF0000"/>
        <rFont val="Calibri"/>
        <family val="2"/>
      </rPr>
      <t>3D</t>
    </r>
  </si>
  <si>
    <r>
      <rPr>
        <b/>
        <sz val="11"/>
        <color rgb="FFFF0000"/>
        <rFont val="Calibri"/>
        <family val="2"/>
      </rPr>
      <t xml:space="preserve">CLASS 3
</t>
    </r>
    <r>
      <rPr>
        <b/>
        <sz val="11"/>
        <color rgb="FF000000"/>
        <rFont val="Calibri"/>
        <family val="2"/>
      </rPr>
      <t>PRESS FIT REQ
HAND TIGHT TO 17.7 IN-LB (ROBERT)
DEPANEL</t>
    </r>
  </si>
  <si>
    <t>12/9 - BOT 10:00</t>
  </si>
  <si>
    <t>12/9 - TOP 10:30</t>
  </si>
  <si>
    <t>12/9 - AOI 11:00</t>
  </si>
  <si>
    <t>11/26 - KIT CLEAR</t>
  </si>
  <si>
    <t>12/6 - 24 BOT COMPLETE</t>
  </si>
  <si>
    <t>129694
NEW</t>
  </si>
  <si>
    <t>12/12
10D</t>
  </si>
  <si>
    <t>NO CLEAN PROCESS
INSTALL "SH1" TO "J1"
DEPANEL</t>
  </si>
  <si>
    <t>12/6 - BOT 1:00</t>
  </si>
  <si>
    <t>12/9 - TOP</t>
  </si>
  <si>
    <t>12/10 - AOI 9:00</t>
  </si>
  <si>
    <t xml:space="preserve"> HunterLab
</t>
  </si>
  <si>
    <t>12/6 - KIT CLEAR</t>
  </si>
  <si>
    <r>
      <rPr>
        <b/>
        <sz val="11"/>
        <color rgb="FF000000"/>
        <rFont val="Calibri"/>
        <family val="2"/>
        <scheme val="minor"/>
      </rPr>
      <t xml:space="preserve">12/4 - WRONG ARRAY FILES
</t>
    </r>
    <r>
      <rPr>
        <b/>
        <strike/>
        <u/>
        <sz val="11"/>
        <color rgb="FFFF0000"/>
        <rFont val="Calibri"/>
        <family val="2"/>
        <scheme val="minor"/>
      </rPr>
      <t>12/4 - CUST ASK TO SHIP 12/6 (EXPEDITE PENDING)</t>
    </r>
  </si>
  <si>
    <t>129585
NEW</t>
  </si>
  <si>
    <t xml:space="preserve">LEAD-FREE WASH
</t>
  </si>
  <si>
    <t>12/9 - TOP 7:30</t>
  </si>
  <si>
    <t>12/9 - AOI 10:00</t>
  </si>
  <si>
    <r>
      <rPr>
        <b/>
        <sz val="11"/>
        <color rgb="FF000000"/>
        <rFont val="Calibri"/>
        <family val="2"/>
        <scheme val="minor"/>
      </rPr>
      <t xml:space="preserve">FEDEX P
</t>
    </r>
    <r>
      <rPr>
        <b/>
        <strike/>
        <sz val="11"/>
        <color rgb="FF000000"/>
        <rFont val="Calibri"/>
        <family val="2"/>
        <scheme val="minor"/>
      </rPr>
      <t>FEDEX GRD</t>
    </r>
  </si>
  <si>
    <t xml:space="preserve"> SRI
</t>
  </si>
  <si>
    <t>7630</t>
  </si>
  <si>
    <r>
      <rPr>
        <b/>
        <strike/>
        <sz val="11"/>
        <color rgb="FF000000"/>
        <rFont val="Calibri"/>
        <family val="2"/>
      </rPr>
      <t xml:space="preserve">11/25 - SHORT PCB WITH NO ETA 
12/5 - PCB DUE
</t>
    </r>
    <r>
      <rPr>
        <b/>
        <sz val="11"/>
        <color rgb="FF000000"/>
        <rFont val="Calibri"/>
        <family val="2"/>
      </rPr>
      <t>12/3 - KIT CLEAR (BOARD IN SINGLE, NEED TO CONFIRM IF STENCIL READY)</t>
    </r>
  </si>
  <si>
    <t>129549
NEW</t>
  </si>
  <si>
    <t>NO SOLDER ALLOWED OVER TEST POINTS OR FIDUCIALS
DEPANEL
INSTALLL "F5, F7, F10" FUSES PRIOR TO SHIPPING</t>
  </si>
  <si>
    <t>12/6 - BOT 6:00</t>
  </si>
  <si>
    <t>12/6 - TOP 8:30</t>
  </si>
  <si>
    <t>12/6 - AOI 1:00</t>
  </si>
  <si>
    <t xml:space="preserve">Redbud Labs, Inc.
</t>
  </si>
  <si>
    <r>
      <rPr>
        <b/>
        <sz val="11"/>
        <color rgb="FF000000"/>
        <rFont val="Calibri"/>
        <family val="2"/>
        <scheme val="minor"/>
      </rPr>
      <t xml:space="preserve">11/8 - SMT CLEAR
</t>
    </r>
    <r>
      <rPr>
        <b/>
        <strike/>
        <sz val="11"/>
        <color rgb="FF000000"/>
        <rFont val="Calibri"/>
        <family val="2"/>
        <scheme val="minor"/>
      </rPr>
      <t>11/27 -SHORT #22 (JP1) THT PART WILL BE HERE NEXT WEEK.</t>
    </r>
    <r>
      <rPr>
        <b/>
        <sz val="11"/>
        <color rgb="FF000000"/>
        <rFont val="Calibri"/>
        <family val="2"/>
        <scheme val="minor"/>
      </rPr>
      <t xml:space="preserve"> 12/4 - KIT CLEAR</t>
    </r>
  </si>
  <si>
    <t>129214
ROWC 126280</t>
  </si>
  <si>
    <t>DEPANEL
MAKE SURE BOARDS ARE CLEAN &amp; FREE OF DEBRIS</t>
  </si>
  <si>
    <t>11/14 - TOP 11:00</t>
  </si>
  <si>
    <t>11/14 - AOI 1:30</t>
  </si>
  <si>
    <t>Ametek</t>
  </si>
  <si>
    <r>
      <rPr>
        <b/>
        <strike/>
        <sz val="11"/>
        <color rgb="FF000000"/>
        <rFont val="Calibri"/>
        <family val="2"/>
        <scheme val="minor"/>
      </rPr>
      <t xml:space="preserve">11/6 - 11/15 - PCB DUE AND J9... (THT) WITH NO ETA.
</t>
    </r>
    <r>
      <rPr>
        <b/>
        <sz val="11"/>
        <color rgb="FF000000"/>
        <rFont val="Calibri"/>
        <family val="2"/>
        <scheme val="minor"/>
      </rPr>
      <t>11/15 - SMT CLEAR
11/26 - KIT CLEAR</t>
    </r>
  </si>
  <si>
    <t>11/18 - BOT DONE</t>
  </si>
  <si>
    <t>126996
NEW</t>
  </si>
  <si>
    <t xml:space="preserve">12/10
10D
</t>
  </si>
  <si>
    <r>
      <rPr>
        <b/>
        <sz val="11"/>
        <color rgb="FFFF0000"/>
        <rFont val="Calibri"/>
        <family val="2"/>
        <scheme val="minor"/>
      </rPr>
      <t>*12/2 - PAID EXPEDITE TO</t>
    </r>
    <r>
      <rPr>
        <b/>
        <u/>
        <sz val="11"/>
        <color rgb="FFFF0000"/>
        <rFont val="Calibri"/>
        <family val="2"/>
        <scheme val="minor"/>
      </rPr>
      <t xml:space="preserve"> SHIP ON </t>
    </r>
    <r>
      <rPr>
        <b/>
        <sz val="11"/>
        <color rgb="FFFF0000"/>
        <rFont val="Calibri"/>
        <family val="2"/>
        <scheme val="minor"/>
      </rPr>
      <t xml:space="preserve">12/10
</t>
    </r>
    <r>
      <rPr>
        <b/>
        <sz val="11"/>
        <color rgb="FF000000"/>
        <rFont val="Calibri"/>
        <family val="2"/>
        <scheme val="minor"/>
      </rPr>
      <t>LEAD FREE WASH PROCESS
DEPANEL
SHIP BARE BOARDS W/ ASSYS</t>
    </r>
  </si>
  <si>
    <t>11/18 - BOT 1:00</t>
  </si>
  <si>
    <t>11/18 - TOP 2:30</t>
  </si>
  <si>
    <t>11/19 - AOI</t>
  </si>
  <si>
    <t xml:space="preserve">Ideas-Tek
</t>
  </si>
  <si>
    <r>
      <rPr>
        <b/>
        <strike/>
        <sz val="11"/>
        <color rgb="FF000000"/>
        <rFont val="Calibri"/>
        <family val="2"/>
      </rPr>
      <t xml:space="preserve">11/25 - SHORT PCB WITH NO ETA
</t>
    </r>
    <r>
      <rPr>
        <b/>
        <sz val="11"/>
        <color rgb="FF000000"/>
        <rFont val="Calibri"/>
        <family val="2"/>
      </rPr>
      <t>12/3</t>
    </r>
    <r>
      <rPr>
        <b/>
        <strike/>
        <sz val="11"/>
        <color rgb="FF000000"/>
        <rFont val="Calibri"/>
        <family val="2"/>
      </rPr>
      <t>-PCB DU</t>
    </r>
    <r>
      <rPr>
        <b/>
        <sz val="11"/>
        <color rgb="FF000000"/>
        <rFont val="Calibri"/>
        <family val="2"/>
      </rPr>
      <t>E/KIT CLEAR</t>
    </r>
  </si>
  <si>
    <t>129561
NEW</t>
  </si>
  <si>
    <t>NO SOLDER ALLOWED OVER TEST POINTS OR FIDUCIALS
DEPANEL
***"D9_1, D9_2, D9_3" ARE MOISTURE SENSITIVE</t>
  </si>
  <si>
    <t>12/5 - BOT 1:00</t>
  </si>
  <si>
    <t>12/6 - TOP 9:00</t>
  </si>
  <si>
    <t>12/6 - AOI 1:30</t>
  </si>
  <si>
    <r>
      <rPr>
        <b/>
        <strike/>
        <sz val="11"/>
        <color rgb="FF000000"/>
        <rFont val="Calibri"/>
        <family val="2"/>
      </rPr>
      <t xml:space="preserve">12/6 - PCB DUE
</t>
    </r>
    <r>
      <rPr>
        <b/>
        <sz val="11"/>
        <color rgb="FF000000"/>
        <rFont val="Calibri"/>
        <family val="2"/>
      </rPr>
      <t>12/3 - KIT CLEAR</t>
    </r>
  </si>
  <si>
    <t>129643
NEW</t>
  </si>
  <si>
    <t>NO CLEAN PROCESS
"SW1 &amp; REL X33" AFTER WASH
DEPANEL</t>
  </si>
  <si>
    <t>12/5 - BOT 8:00</t>
  </si>
  <si>
    <t>12/5 - TOP 10:30</t>
  </si>
  <si>
    <t>12/5 - AOI 1:30</t>
  </si>
  <si>
    <t xml:space="preserve"> Amazon Robotics
</t>
  </si>
  <si>
    <t>eco#6 barcode label won't fit</t>
  </si>
  <si>
    <t>12/9 - CLISED SHORT</t>
  </si>
  <si>
    <r>
      <rPr>
        <b/>
        <sz val="11"/>
        <color rgb="FF0070C0"/>
        <rFont val="Calibri"/>
        <family val="2"/>
      </rPr>
      <t>12/3 -</t>
    </r>
    <r>
      <rPr>
        <b/>
        <strike/>
        <sz val="11"/>
        <color rgb="FF0070C0"/>
        <rFont val="Calibri"/>
        <family val="2"/>
      </rPr>
      <t xml:space="preserve"> SHORT PCB |</t>
    </r>
    <r>
      <rPr>
        <b/>
        <sz val="11"/>
        <color rgb="FF0070C0"/>
        <rFont val="Calibri"/>
        <family val="2"/>
      </rPr>
      <t xml:space="preserve"> SHOT 2 SMT (MTG200..,LTC400) AND 1 THT (U504..) WITH NO ETA YET. 
</t>
    </r>
    <r>
      <rPr>
        <b/>
        <strike/>
        <sz val="11"/>
        <color rgb="FF0070C0"/>
        <rFont val="Calibri"/>
        <family val="2"/>
      </rPr>
      <t xml:space="preserve">12/5 - PCB DUE. </t>
    </r>
    <r>
      <rPr>
        <b/>
        <sz val="11"/>
        <color rgb="FF0070C0"/>
        <rFont val="Calibri"/>
        <family val="2"/>
      </rPr>
      <t>12/4 - RECEIVED 9 OUT OF 10 PCB</t>
    </r>
  </si>
  <si>
    <t>12/9 - CUST CLOSED SHORT</t>
  </si>
  <si>
    <t>129989-2
BAL
NEW</t>
  </si>
  <si>
    <r>
      <rPr>
        <b/>
        <sz val="14"/>
        <color rgb="FF0070C0"/>
        <rFont val="Calibri"/>
        <family val="2"/>
      </rPr>
      <t xml:space="preserve">???
</t>
    </r>
    <r>
      <rPr>
        <b/>
        <sz val="14"/>
        <color rgb="FFFF0000"/>
        <rFont val="Calibri"/>
        <family val="2"/>
      </rPr>
      <t>3D</t>
    </r>
  </si>
  <si>
    <r>
      <rPr>
        <b/>
        <strike/>
        <sz val="11"/>
        <color rgb="FF000000"/>
        <rFont val="Calibri"/>
        <family val="2"/>
        <scheme val="minor"/>
      </rPr>
      <t xml:space="preserve">11/21 - 11/25 - PCB DUE 
SHORT 1 SMT ITEM (Y700) WITH NO ETA 
</t>
    </r>
    <r>
      <rPr>
        <b/>
        <sz val="11"/>
        <color rgb="FF000000"/>
        <rFont val="Calibri"/>
        <family val="2"/>
        <scheme val="minor"/>
      </rPr>
      <t>1</t>
    </r>
    <r>
      <rPr>
        <b/>
        <strike/>
        <sz val="11"/>
        <color rgb="FF000000"/>
        <rFont val="Calibri"/>
        <family val="2"/>
        <scheme val="minor"/>
      </rPr>
      <t xml:space="preserve">1/25 - Received 9 OUT OF 10 PCBs, WAITING FOR CONFIRM BUILD QTY.
</t>
    </r>
    <r>
      <rPr>
        <b/>
        <sz val="11"/>
        <color rgb="FF000000"/>
        <rFont val="Calibri"/>
        <family val="2"/>
        <scheme val="minor"/>
      </rPr>
      <t>12/6 - LAST 1 PCB DUE.</t>
    </r>
  </si>
  <si>
    <r>
      <rPr>
        <b/>
        <strike/>
        <sz val="11"/>
        <color rgb="FF000000"/>
        <rFont val="Calibri"/>
        <family val="2"/>
        <scheme val="minor"/>
      </rPr>
      <t xml:space="preserve">OK TO RUN SMT - SKIP "Y00"
</t>
    </r>
    <r>
      <rPr>
        <b/>
        <sz val="11"/>
        <color rgb="FF000000"/>
        <rFont val="Calibri"/>
        <family val="2"/>
        <scheme val="minor"/>
      </rPr>
      <t>11/25 - OK TO RUN 9/10 &amp; LEAVE SET UP 
12/2 - SKIP #99 (INCORRECT PART)</t>
    </r>
  </si>
  <si>
    <t>129118-2
NEW</t>
  </si>
  <si>
    <r>
      <rPr>
        <b/>
        <sz val="14"/>
        <color rgb="FF000000"/>
        <rFont val="Calibri"/>
        <family val="2"/>
        <scheme val="minor"/>
      </rPr>
      <t xml:space="preserve">12/6
</t>
    </r>
    <r>
      <rPr>
        <b/>
        <sz val="14"/>
        <color rgb="FFFF0000"/>
        <rFont val="Calibri"/>
        <family val="2"/>
        <scheme val="minor"/>
      </rPr>
      <t>3D</t>
    </r>
  </si>
  <si>
    <t>CLASS 3
"U502" AFTER WASH
PRESS FIT &amp; MECH REQ
DEPANEL</t>
  </si>
  <si>
    <t>12/6 - BOT 10:00</t>
  </si>
  <si>
    <t>12/6 - TOP 12:00</t>
  </si>
  <si>
    <t xml:space="preserve"> Diversified Supply
</t>
  </si>
  <si>
    <t>DOC REL 11/1</t>
  </si>
  <si>
    <r>
      <rPr>
        <b/>
        <strike/>
        <sz val="11"/>
        <color rgb="FF000000"/>
        <rFont val="Calibri"/>
        <family val="2"/>
        <scheme val="minor"/>
      </rPr>
      <t xml:space="preserve">11/21 - 11/25 - PCB DUE 
SHORT 1 SMT ITEM (Y700) WITH NO ETA 
11/25 - Received 9 OUT OF 10 PCBs, WAITING FOR CONFIRM THE BUILD QTY. </t>
    </r>
    <r>
      <rPr>
        <b/>
        <sz val="11"/>
        <color rgb="FF000000"/>
        <rFont val="Calibri"/>
        <family val="2"/>
        <scheme val="minor"/>
      </rPr>
      <t>12/5 -RECEIVED 10 PCBs, WAITING FOR THE CORRECT R514 WITH ETA 12/6. KIT CLEAR.</t>
    </r>
  </si>
  <si>
    <t>129118-1
NEW</t>
  </si>
  <si>
    <r>
      <rPr>
        <b/>
        <sz val="14"/>
        <color rgb="FF0070C0"/>
        <rFont val="Calibri"/>
        <family val="2"/>
        <scheme val="minor"/>
      </rPr>
      <t xml:space="preserve">???
</t>
    </r>
    <r>
      <rPr>
        <b/>
        <strike/>
        <sz val="14"/>
        <color rgb="FF0070C0"/>
        <rFont val="Calibri"/>
        <family val="2"/>
        <scheme val="minor"/>
      </rPr>
      <t xml:space="preserve">12/3
</t>
    </r>
    <r>
      <rPr>
        <b/>
        <sz val="14"/>
        <color rgb="FFFF0000"/>
        <rFont val="Calibri"/>
        <family val="2"/>
        <scheme val="minor"/>
      </rPr>
      <t>3D</t>
    </r>
  </si>
  <si>
    <t xml:space="preserve">CLASS 3
"U502" AFTER WASH
PRESS FIT &amp; MECH REQ
DEPANEL
</t>
  </si>
  <si>
    <t>11/27 - BOT 1:30</t>
  </si>
  <si>
    <t>12/2 - TOP 11:00</t>
  </si>
  <si>
    <t>12/2 - AOI 2:00</t>
  </si>
  <si>
    <r>
      <rPr>
        <b/>
        <strike/>
        <sz val="11"/>
        <color rgb="FF000000"/>
        <rFont val="Calibri"/>
        <family val="2"/>
        <scheme val="minor"/>
      </rPr>
      <t>11/4 - 11/15  11/19 -PCB DUE</t>
    </r>
    <r>
      <rPr>
        <b/>
        <sz val="11"/>
        <color rgb="FF000000"/>
        <rFont val="Calibri"/>
        <family val="2"/>
        <scheme val="minor"/>
      </rPr>
      <t xml:space="preserve">  
11/21 - KIT CLEAR</t>
    </r>
  </si>
  <si>
    <t>128899
NEW</t>
  </si>
  <si>
    <t>12/9
10D</t>
  </si>
  <si>
    <t xml:space="preserve">*** (CUI) ***
</t>
  </si>
  <si>
    <t>12/5 - TOP 8:30</t>
  </si>
  <si>
    <t>12/5 - AOI 11:30</t>
  </si>
  <si>
    <t>10/25/24</t>
  </si>
  <si>
    <r>
      <rPr>
        <b/>
        <strike/>
        <sz val="11"/>
        <color rgb="FF000000"/>
        <rFont val="Calibri"/>
        <family val="2"/>
        <scheme val="minor"/>
      </rPr>
      <t xml:space="preserve">SHORT PCB WITH NO ETA, 1 SMT ITEM (R2) SHORT PLUS ATTRITION.
12/9, 11/21,  - PCB DUE
</t>
    </r>
    <r>
      <rPr>
        <b/>
        <sz val="11"/>
        <color rgb="FF000000"/>
        <rFont val="Calibri"/>
        <family val="2"/>
        <scheme val="minor"/>
      </rPr>
      <t>12/3 - KIT CLEAR</t>
    </r>
  </si>
  <si>
    <t>129119
NEW</t>
  </si>
  <si>
    <r>
      <rPr>
        <b/>
        <sz val="14"/>
        <color rgb="FF000000"/>
        <rFont val="Aptos Narrow"/>
        <family val="2"/>
      </rPr>
      <t xml:space="preserve">12/6
</t>
    </r>
    <r>
      <rPr>
        <b/>
        <sz val="14"/>
        <color rgb="FFFF0000"/>
        <rFont val="Calibri"/>
        <family val="2"/>
        <scheme val="minor"/>
      </rPr>
      <t>3D</t>
    </r>
  </si>
  <si>
    <r>
      <rPr>
        <b/>
        <sz val="11"/>
        <color rgb="FFFF0000"/>
        <rFont val="Calibri"/>
        <family val="2"/>
        <scheme val="minor"/>
      </rPr>
      <t xml:space="preserve">CLASS 3
</t>
    </r>
    <r>
      <rPr>
        <b/>
        <sz val="11"/>
        <color rgb="FF000000"/>
        <rFont val="Calibri"/>
        <family val="2"/>
        <scheme val="minor"/>
      </rPr>
      <t>"U800, U804, U900, U902" HAND SOLDER PER ECO
PRESS FIT &amp; MECH REQ
DEPANEL</t>
    </r>
  </si>
  <si>
    <t>12/4 - BOT 10:00</t>
  </si>
  <si>
    <t>12/4 - TOP 11:30</t>
  </si>
  <si>
    <t>12/4 - AOI 1:30</t>
  </si>
  <si>
    <t>11/4/24</t>
  </si>
  <si>
    <r>
      <t xml:space="preserve">12/2 - NEW REV B FILES.  NEW BOM/GERBER/XY
</t>
    </r>
    <r>
      <rPr>
        <b/>
        <strike/>
        <sz val="11"/>
        <color rgb="FF000000"/>
        <rFont val="Calibri"/>
        <family val="2"/>
      </rPr>
      <t xml:space="preserve">11/19 - SHORT PCB WITH NO ETA
</t>
    </r>
    <r>
      <rPr>
        <b/>
        <sz val="11"/>
        <color rgb="FF000000"/>
        <rFont val="Calibri"/>
        <family val="2"/>
      </rPr>
      <t>12/4-</t>
    </r>
    <r>
      <rPr>
        <b/>
        <strike/>
        <sz val="11"/>
        <color rgb="FF000000"/>
        <rFont val="Calibri"/>
        <family val="2"/>
      </rPr>
      <t>PCB DUE /</t>
    </r>
    <r>
      <rPr>
        <b/>
        <sz val="11"/>
        <color rgb="FF000000"/>
        <rFont val="Calibri"/>
        <family val="2"/>
      </rPr>
      <t>KIT CLEAR</t>
    </r>
  </si>
  <si>
    <t>129820
NEW</t>
  </si>
  <si>
    <r>
      <rPr>
        <b/>
        <sz val="14"/>
        <color rgb="FF000000"/>
        <rFont val="Calibri"/>
        <family val="2"/>
      </rPr>
      <t xml:space="preserve">12/6
</t>
    </r>
    <r>
      <rPr>
        <b/>
        <sz val="14"/>
        <color rgb="FFFF0000"/>
        <rFont val="Calibri"/>
        <family val="2"/>
      </rPr>
      <t>2D</t>
    </r>
  </si>
  <si>
    <r>
      <rPr>
        <b/>
        <sz val="11"/>
        <color rgb="FFFF0000"/>
        <rFont val="Calibri"/>
        <family val="2"/>
      </rPr>
      <t xml:space="preserve">*** 2 DAY TURN ***
</t>
    </r>
    <r>
      <rPr>
        <b/>
        <sz val="11"/>
        <color rgb="FF000000"/>
        <rFont val="Calibri"/>
        <family val="2"/>
      </rPr>
      <t>"U31" AFTER WASH
DEPANEL &amp; SAND</t>
    </r>
  </si>
  <si>
    <t>12/4 - BOT 1:30</t>
  </si>
  <si>
    <t>12/4 - TOP 3:30</t>
  </si>
  <si>
    <t>12/5 - AOI 8:00</t>
  </si>
  <si>
    <t xml:space="preserve"> Ergotron, Inc.
</t>
  </si>
  <si>
    <r>
      <rPr>
        <b/>
        <strike/>
        <sz val="11"/>
        <color rgb="FF000000"/>
        <rFont val="Calibri"/>
        <family val="2"/>
        <scheme val="minor"/>
      </rPr>
      <t xml:space="preserve">11/12 - PCB NO ETA / 
12/4 - PCB DUE /
PENDING ON 2 1 SMT ITEMS (U20..,R108..) TO BE CONFIRMED. </t>
    </r>
    <r>
      <rPr>
        <b/>
        <sz val="11"/>
        <color rgb="FF000000"/>
        <rFont val="Calibri"/>
        <family val="2"/>
        <scheme val="minor"/>
      </rPr>
      <t xml:space="preserve"> 
12/2 - KIT CLEAR</t>
    </r>
  </si>
  <si>
    <t>129326
NEW</t>
  </si>
  <si>
    <r>
      <rPr>
        <b/>
        <sz val="14"/>
        <color rgb="FF000000"/>
        <rFont val="Calibri"/>
        <family val="2"/>
        <scheme val="minor"/>
      </rPr>
      <t xml:space="preserve">12/5
</t>
    </r>
    <r>
      <rPr>
        <b/>
        <sz val="14"/>
        <color rgb="FFFF0000"/>
        <rFont val="Calibri"/>
        <family val="2"/>
        <scheme val="minor"/>
      </rPr>
      <t>3D</t>
    </r>
  </si>
  <si>
    <r>
      <rPr>
        <b/>
        <sz val="11"/>
        <color rgb="FF000000"/>
        <rFont val="Calibri"/>
        <family val="2"/>
        <scheme val="minor"/>
      </rPr>
      <t xml:space="preserve">CLASS 3
LEAD FREE WASH PROCESS
XRAY &amp; SAVE IMAGES FOR ALL BTC (BOTTOM TERMINATED COMPONENTS) </t>
    </r>
    <r>
      <rPr>
        <b/>
        <sz val="12"/>
        <color rgb="FF000000"/>
        <rFont val="Calibri"/>
        <family val="2"/>
        <scheme val="minor"/>
      </rPr>
      <t>&amp;</t>
    </r>
    <r>
      <rPr>
        <b/>
        <sz val="12"/>
        <color rgb="FFFF0000"/>
        <rFont val="Calibri"/>
        <family val="2"/>
        <scheme val="minor"/>
      </rPr>
      <t xml:space="preserve"> XRAY T/H COMPONENTS FOR FILL VERIFICATIO</t>
    </r>
    <r>
      <rPr>
        <b/>
        <sz val="12"/>
        <color rgb="FF000000"/>
        <rFont val="Calibri"/>
        <family val="2"/>
        <scheme val="minor"/>
      </rPr>
      <t>N
*</t>
    </r>
    <r>
      <rPr>
        <b/>
        <u/>
        <sz val="12"/>
        <color rgb="FF000000"/>
        <rFont val="Calibri"/>
        <family val="2"/>
        <scheme val="minor"/>
      </rPr>
      <t xml:space="preserve">MAKE SURE ITEM 12 DESCRIPTION  MATCHES PART MUNBER
</t>
    </r>
    <r>
      <rPr>
        <b/>
        <u/>
        <sz val="12"/>
        <color rgb="FFFF0000"/>
        <rFont val="Calibri"/>
        <family val="2"/>
        <scheme val="minor"/>
      </rPr>
      <t xml:space="preserve">*** DEPANEL &amp; SAND  (SEE TAD) </t>
    </r>
    <r>
      <rPr>
        <b/>
        <sz val="12"/>
        <color rgb="FFFF0000"/>
        <rFont val="Calibri"/>
        <family val="2"/>
        <scheme val="minor"/>
      </rPr>
      <t xml:space="preserve">BOARD EDGES SHAL HAVE A PROFILE OF 0.010" FROM ORIGINAL
</t>
    </r>
    <r>
      <rPr>
        <b/>
        <sz val="11"/>
        <color rgb="FF000000"/>
        <rFont val="Calibri"/>
        <family val="2"/>
        <scheme val="minor"/>
      </rPr>
      <t xml:space="preserve">29x29 QR CODE REQ PER ECO
</t>
    </r>
    <r>
      <rPr>
        <b/>
        <sz val="11"/>
        <color rgb="FFFF0000"/>
        <rFont val="Calibri"/>
        <family val="2"/>
        <scheme val="minor"/>
      </rPr>
      <t>SERIAL NUMBERS REQ ON CofC
*** ADD QR CODES TO THE ESD BAGS PER CUST DWG
***
***</t>
    </r>
    <r>
      <rPr>
        <b/>
        <u/>
        <sz val="14"/>
        <color rgb="FFFF0000"/>
        <rFont val="Calibri"/>
        <family val="2"/>
        <scheme val="minor"/>
      </rPr>
      <t xml:space="preserve"> SEAL ESD BAG WITH YELLOW  ESD WARNING STICKER</t>
    </r>
  </si>
  <si>
    <t>12/3 - BOT 6:00</t>
  </si>
  <si>
    <t>12/3 - TOP 10:00</t>
  </si>
  <si>
    <t>12/3 - AOI 3:30</t>
  </si>
  <si>
    <t>129321-1
PAR
NEW</t>
  </si>
  <si>
    <r>
      <rPr>
        <b/>
        <sz val="14"/>
        <color rgb="FF000000"/>
        <rFont val="Aptos Narrow"/>
        <family val="2"/>
      </rPr>
      <t xml:space="preserve">12/5
</t>
    </r>
    <r>
      <rPr>
        <b/>
        <sz val="14"/>
        <color rgb="FFFF0000"/>
        <rFont val="Calibri"/>
        <family val="2"/>
        <scheme val="minor"/>
      </rPr>
      <t xml:space="preserve">3D*
</t>
    </r>
    <r>
      <rPr>
        <b/>
        <u/>
        <sz val="14"/>
        <color rgb="FFFF0000"/>
        <rFont val="Calibri"/>
        <family val="2"/>
        <scheme val="minor"/>
      </rPr>
      <t>CANNOT BE LATE</t>
    </r>
  </si>
  <si>
    <t>12/3 - BOT 2:00</t>
  </si>
  <si>
    <t>12/4 - TOP</t>
  </si>
  <si>
    <r>
      <rPr>
        <b/>
        <strike/>
        <sz val="11"/>
        <color rgb="FF000000"/>
        <rFont val="Calibri"/>
        <family val="2"/>
        <scheme val="minor"/>
      </rPr>
      <t xml:space="preserve">11/25 - PCB DUE
</t>
    </r>
    <r>
      <rPr>
        <b/>
        <sz val="11"/>
        <color rgb="FF000000"/>
        <rFont val="Calibri"/>
        <family val="2"/>
        <scheme val="minor"/>
      </rPr>
      <t>11/27 - KIT CLEAR</t>
    </r>
  </si>
  <si>
    <t>129630
ROWC 121967</t>
  </si>
  <si>
    <r>
      <rPr>
        <b/>
        <sz val="14"/>
        <color rgb="FF000000"/>
        <rFont val="Aptos Narrow"/>
        <family val="2"/>
      </rPr>
      <t xml:space="preserve">12/4
</t>
    </r>
    <r>
      <rPr>
        <b/>
        <sz val="14"/>
        <color rgb="FFFF0000"/>
        <rFont val="Calibri"/>
        <family val="2"/>
        <scheme val="minor"/>
      </rPr>
      <t>3D</t>
    </r>
  </si>
  <si>
    <t>LEAD, NO CLEAN PROCESS
PUT PASTE ON SHIELD FRAME PADS
"BT1" AFTER REFLOW
DEPANEL</t>
  </si>
  <si>
    <t>12/3 - TOP</t>
  </si>
  <si>
    <t>12/3 - AOI 10:00</t>
  </si>
  <si>
    <t xml:space="preserve"> Hoverfly Technologies, Inc.
</t>
  </si>
  <si>
    <r>
      <rPr>
        <b/>
        <strike/>
        <sz val="11"/>
        <color rgb="FF000000"/>
        <rFont val="Calibri"/>
        <family val="2"/>
        <scheme val="minor"/>
      </rPr>
      <t xml:space="preserve">SHORT PCB WITH NO ETA / 1 THT ITEM (PA..) PENDING TO BE CONFIRMED .
</t>
    </r>
    <r>
      <rPr>
        <b/>
        <sz val="11"/>
        <color rgb="FF000000"/>
        <rFont val="Calibri"/>
        <family val="2"/>
        <scheme val="minor"/>
      </rPr>
      <t>11/27 -</t>
    </r>
    <r>
      <rPr>
        <b/>
        <strike/>
        <sz val="11"/>
        <color rgb="FF000000"/>
        <rFont val="Calibri"/>
        <family val="2"/>
        <scheme val="minor"/>
      </rPr>
      <t xml:space="preserve"> PCB DUE (CUSTOMER CONFIRMED WILL DROPPED OF PCB TODAY)</t>
    </r>
    <r>
      <rPr>
        <b/>
        <sz val="11"/>
        <color rgb="FF000000"/>
        <rFont val="Calibri"/>
        <family val="2"/>
        <scheme val="minor"/>
      </rPr>
      <t xml:space="preserve"> | KIT CLEAR</t>
    </r>
  </si>
  <si>
    <t>129116
NEW</t>
  </si>
  <si>
    <r>
      <rPr>
        <b/>
        <sz val="14"/>
        <color rgb="FF000000"/>
        <rFont val="Calibri"/>
        <family val="2"/>
        <scheme val="minor"/>
      </rPr>
      <t xml:space="preserve">12/4
</t>
    </r>
    <r>
      <rPr>
        <b/>
        <sz val="14"/>
        <color rgb="FFFF0000"/>
        <rFont val="Calibri"/>
        <family val="2"/>
        <scheme val="minor"/>
      </rPr>
      <t>3D</t>
    </r>
  </si>
  <si>
    <t>CLASS 3
PRESS FIT &amp; MECH REQ
DEPANEL</t>
  </si>
  <si>
    <t>12/3 - BOT 8:30</t>
  </si>
  <si>
    <t>12/3 - TOP 10:30</t>
  </si>
  <si>
    <t>12/3 - AOI 2:30</t>
  </si>
  <si>
    <t>11/26 - KIT CLEAR. (J17 IS DNI)</t>
  </si>
  <si>
    <t>128403
NEW</t>
  </si>
  <si>
    <r>
      <rPr>
        <b/>
        <sz val="14"/>
        <color rgb="FF000000"/>
        <rFont val="Calibri"/>
        <family val="2"/>
      </rPr>
      <t xml:space="preserve">12/3
</t>
    </r>
    <r>
      <rPr>
        <b/>
        <sz val="14"/>
        <color rgb="FFFF0000"/>
        <rFont val="Calibri"/>
        <family val="2"/>
      </rPr>
      <t>3D</t>
    </r>
  </si>
  <si>
    <t>LEAD NO CLEAN PROCESS
"D7 &amp; REL x8, D11 &amp; REL x7" MOISTURE SENSITIVE PER ECO
DEPANEL</t>
  </si>
  <si>
    <t>11/27 - TOP</t>
  </si>
  <si>
    <t>11/27 - AOI 11:00</t>
  </si>
  <si>
    <t xml:space="preserve">ADL Embedded Solutions, Inc
</t>
  </si>
  <si>
    <r>
      <rPr>
        <b/>
        <strike/>
        <sz val="11"/>
        <color rgb="FF000000"/>
        <rFont val="Calibri"/>
        <family val="2"/>
        <scheme val="minor"/>
      </rPr>
      <t xml:space="preserve">11/15 - SHORT PCB WITH NO ETA. 4 ITEMS (THT J10, J11, J12, and J13) WAITING FOR CONFIRMED.
11/22 - 11/25 -  PCB DUE
</t>
    </r>
    <r>
      <rPr>
        <b/>
        <sz val="11"/>
        <color rgb="FF000000"/>
        <rFont val="Calibri"/>
        <family val="2"/>
        <scheme val="minor"/>
      </rPr>
      <t>11/26 - KIT CLEAR</t>
    </r>
  </si>
  <si>
    <r>
      <rPr>
        <b/>
        <strike/>
        <sz val="11"/>
        <color rgb="FFFF0000"/>
        <rFont val="Calibri"/>
        <family val="2"/>
        <scheme val="minor"/>
      </rPr>
      <t>11/22 - POSS EXPEDITE
SHIP 11/26 OR</t>
    </r>
    <r>
      <rPr>
        <b/>
        <sz val="11"/>
        <color rgb="FFFF0000"/>
        <rFont val="Calibri"/>
        <family val="2"/>
        <scheme val="minor"/>
      </rPr>
      <t xml:space="preserve"> 11/27</t>
    </r>
  </si>
  <si>
    <t>129312
NEW</t>
  </si>
  <si>
    <r>
      <rPr>
        <b/>
        <sz val="14"/>
        <color rgb="FF000000"/>
        <rFont val="Calibri"/>
        <family val="2"/>
        <scheme val="minor"/>
      </rPr>
      <t xml:space="preserve">12/3
</t>
    </r>
    <r>
      <rPr>
        <b/>
        <sz val="14"/>
        <color rgb="FFFF0000"/>
        <rFont val="Calibri"/>
        <family val="2"/>
        <scheme val="minor"/>
      </rPr>
      <t>3D</t>
    </r>
  </si>
  <si>
    <t>11/26 - BOT 1:30</t>
  </si>
  <si>
    <t>11/27 - AOI 10:00</t>
  </si>
  <si>
    <t xml:space="preserve"> Plexus Engineering Solutions
</t>
  </si>
  <si>
    <t>11/15</t>
  </si>
  <si>
    <r>
      <rPr>
        <b/>
        <strike/>
        <sz val="11"/>
        <color rgb="FF000000"/>
        <rFont val="Calibri"/>
        <family val="2"/>
      </rPr>
      <t xml:space="preserve">10/9 - SHORT PCB WITH NO ETA  </t>
    </r>
    <r>
      <rPr>
        <b/>
        <sz val="11"/>
        <color rgb="FF000000"/>
        <rFont val="Calibri"/>
        <family val="2"/>
      </rPr>
      <t>11/19 - KIT CLEAR</t>
    </r>
  </si>
  <si>
    <t>128454 NEW</t>
  </si>
  <si>
    <t xml:space="preserve">
12/5
10D</t>
  </si>
  <si>
    <t>T/H ONLY
INSTALL FUSES PER ECO
DEPANEL</t>
  </si>
  <si>
    <r>
      <rPr>
        <b/>
        <strike/>
        <sz val="11"/>
        <color rgb="FF000000"/>
        <rFont val="Calibri"/>
        <family val="2"/>
      </rPr>
      <t xml:space="preserve">11/26 - SHORT PCB AND R2 (SMT) WITH NO ETA
</t>
    </r>
    <r>
      <rPr>
        <b/>
        <sz val="11"/>
        <color rgb="FF000000"/>
        <rFont val="Calibri"/>
        <family val="2"/>
      </rPr>
      <t>11/27 - KIT CLEAR</t>
    </r>
  </si>
  <si>
    <t>130032
NEW</t>
  </si>
  <si>
    <r>
      <rPr>
        <b/>
        <sz val="14"/>
        <color rgb="FF000000"/>
        <rFont val="Calibri"/>
        <family val="2"/>
      </rPr>
      <t xml:space="preserve">12/3
</t>
    </r>
    <r>
      <rPr>
        <b/>
        <sz val="14"/>
        <color rgb="FFFF0000"/>
        <rFont val="Calibri"/>
        <family val="2"/>
      </rPr>
      <t>1D</t>
    </r>
  </si>
  <si>
    <t>?</t>
  </si>
  <si>
    <t>RoHS LEAD FREE, WASH.
"L1 &amp; L3" ORIENT PER ECO</t>
  </si>
  <si>
    <t>12/2 - TOP 6:00
12/2 - PAUSE 7:00
12/2 - TOP 1:00</t>
  </si>
  <si>
    <t>12/2 - AOI 2:30</t>
  </si>
  <si>
    <t>127138-2
PAR NEW</t>
  </si>
  <si>
    <t>12/2
10D</t>
  </si>
  <si>
    <r>
      <rPr>
        <b/>
        <strike/>
        <sz val="11"/>
        <color rgb="FF000000"/>
        <rFont val="Calibri"/>
        <family val="2"/>
      </rPr>
      <t xml:space="preserve">30 10/22/2024
</t>
    </r>
    <r>
      <rPr>
        <b/>
        <sz val="11"/>
        <color rgb="FF000000"/>
        <rFont val="Calibri"/>
        <family val="2"/>
      </rPr>
      <t>30 12/2/2024
40 1/4/2024
NO CLEAN PROCESS - DO NOT WASH
DEPANEL</t>
    </r>
  </si>
  <si>
    <t>10/17 - BOT 6:00</t>
  </si>
  <si>
    <t>10/18 - AOI 6:00</t>
  </si>
  <si>
    <r>
      <rPr>
        <b/>
        <strike/>
        <sz val="11"/>
        <color rgb="FF000000"/>
        <rFont val="Aptos Narrow"/>
        <family val="2"/>
      </rPr>
      <t xml:space="preserve">11/27 - PCB DUE
</t>
    </r>
    <r>
      <rPr>
        <b/>
        <sz val="11"/>
        <color rgb="FF000000"/>
        <rFont val="Aptos Narrow"/>
        <family val="2"/>
      </rPr>
      <t>11/14 - KIT CLEAR</t>
    </r>
  </si>
  <si>
    <t>11/15 - ADDED NOTE FOR IMPROPER VSCORE
11/18 - qty 50 SMT complete</t>
  </si>
  <si>
    <t>129019
NEW</t>
  </si>
  <si>
    <r>
      <rPr>
        <b/>
        <sz val="14"/>
        <color rgb="FF000000"/>
        <rFont val="Calibri"/>
        <family val="2"/>
        <scheme val="minor"/>
      </rPr>
      <t xml:space="preserve">11/27
</t>
    </r>
    <r>
      <rPr>
        <b/>
        <strike/>
        <sz val="14"/>
        <color rgb="FF000000"/>
        <rFont val="Calibri"/>
        <family val="2"/>
        <scheme val="minor"/>
      </rPr>
      <t xml:space="preserve">12/5
</t>
    </r>
    <r>
      <rPr>
        <b/>
        <sz val="14"/>
        <color rgb="FF000000"/>
        <rFont val="Calibri"/>
        <family val="2"/>
        <scheme val="minor"/>
      </rPr>
      <t>15D</t>
    </r>
  </si>
  <si>
    <t>LEAD FREE PROCESS
ALPHA WS820 SOLDER PASTE REQ
*** VSCORE NOT CUT ALL THE WAY - OK TO DEPANEL BUT WILL NEED TO SAND ALL EDGES TO REMOVE EXCESS MATERIAL
BOARDS TO BE FREE &amp; CLEAN OF DEBRIS</t>
  </si>
  <si>
    <t>11/18 - BOT 11:00</t>
  </si>
  <si>
    <t>11/18 - TOP 12:30</t>
  </si>
  <si>
    <t>11/18 - AOI 2:30</t>
  </si>
  <si>
    <t xml:space="preserve">Ultracomm, Inc.
</t>
  </si>
  <si>
    <t>10/31/24</t>
  </si>
  <si>
    <r>
      <rPr>
        <b/>
        <strike/>
        <sz val="11"/>
        <color rgb="FF000000"/>
        <rFont val="Calibri"/>
        <family val="2"/>
        <scheme val="minor"/>
      </rPr>
      <t xml:space="preserve">11/22 - PCB DUE / SHORT 2 SMT ITEMS (D1 and J1) WITH NO ETA </t>
    </r>
    <r>
      <rPr>
        <b/>
        <sz val="11"/>
        <color rgb="FF000000"/>
        <rFont val="Calibri"/>
        <family val="2"/>
        <scheme val="minor"/>
      </rPr>
      <t xml:space="preserve"> / KIT CLEAR</t>
    </r>
  </si>
  <si>
    <t>129633
RONC 124497</t>
  </si>
  <si>
    <r>
      <rPr>
        <b/>
        <sz val="14"/>
        <color rgb="FF000000"/>
        <rFont val="Calibri"/>
        <family val="2"/>
        <scheme val="minor"/>
      </rPr>
      <t xml:space="preserve">11/27
</t>
    </r>
    <r>
      <rPr>
        <b/>
        <sz val="14"/>
        <color rgb="FFFF0000"/>
        <rFont val="Calibri"/>
        <family val="2"/>
        <scheme val="minor"/>
      </rPr>
      <t>3D</t>
    </r>
  </si>
  <si>
    <t>LEAD PROCESS
CHECK STENCIL BEFORE RUNNING "U5" MASK OFF PAD PER ECO
DEPANEL</t>
  </si>
  <si>
    <t>11/25 - BOT 9:30</t>
  </si>
  <si>
    <t>11/25 - TOP 10:30</t>
  </si>
  <si>
    <t>11/25 - AOI 2:00</t>
  </si>
  <si>
    <t>PREVIOUS BUILD: 5/9 - insufficient solder on the sides of caps where it touches the shield</t>
  </si>
  <si>
    <t>11/18</t>
  </si>
  <si>
    <r>
      <rPr>
        <b/>
        <strike/>
        <sz val="11"/>
        <color rgb="FF000000"/>
        <rFont val="Calibri"/>
        <family val="2"/>
      </rPr>
      <t>11/21 - SHORT PCB WITH NO ETA</t>
    </r>
    <r>
      <rPr>
        <b/>
        <sz val="11"/>
        <color rgb="FF000000"/>
        <rFont val="Calibri"/>
        <family val="2"/>
      </rPr>
      <t xml:space="preserve"> </t>
    </r>
    <r>
      <rPr>
        <b/>
        <strike/>
        <sz val="11"/>
        <color rgb="FF000000"/>
        <rFont val="Calibri"/>
        <family val="2"/>
      </rPr>
      <t>11/25 - PCB DUE</t>
    </r>
    <r>
      <rPr>
        <b/>
        <sz val="11"/>
        <color rgb="FF000000"/>
        <rFont val="Calibri"/>
        <family val="2"/>
      </rPr>
      <t xml:space="preserve">  11/26 - KIT CLEAR</t>
    </r>
  </si>
  <si>
    <t>129905
NEW</t>
  </si>
  <si>
    <r>
      <rPr>
        <b/>
        <sz val="14"/>
        <color rgb="FF000000"/>
        <rFont val="Calibri"/>
        <family val="2"/>
      </rPr>
      <t xml:space="preserve">11/27
</t>
    </r>
    <r>
      <rPr>
        <b/>
        <strike/>
        <sz val="14"/>
        <color rgb="FF000000"/>
        <rFont val="Calibri"/>
        <family val="2"/>
      </rPr>
      <t xml:space="preserve">12/2
</t>
    </r>
    <r>
      <rPr>
        <b/>
        <sz val="14"/>
        <color rgb="FFFF0000"/>
        <rFont val="Calibri"/>
        <family val="2"/>
      </rPr>
      <t>2D</t>
    </r>
  </si>
  <si>
    <t>LEAD-FREE WASH
LS1, SW1 PLACE AFTER WASH</t>
  </si>
  <si>
    <t>11/25 - TOP 9:00
11/25 - pause 9:30
11/26 - TOP 10:00</t>
  </si>
  <si>
    <t>11/26 - AOI 11:30</t>
  </si>
  <si>
    <r>
      <rPr>
        <b/>
        <strike/>
        <sz val="11"/>
        <color rgb="FF000000"/>
        <rFont val="Calibri"/>
        <family val="2"/>
        <scheme val="minor"/>
      </rPr>
      <t xml:space="preserve">11/4 - SHORT 2  1 SMT ITEMS (Y3 &amp; DS9) &amp; 3 THT ITEMS. *DNI "A2, STD2 and SFP1, SFP2."
11/8 - PCB DUE 11/21
</t>
    </r>
    <r>
      <rPr>
        <b/>
        <sz val="11"/>
        <color rgb="FF000000"/>
        <rFont val="Calibri"/>
        <family val="2"/>
        <scheme val="minor"/>
      </rPr>
      <t>11/22 - KIT CLEAR</t>
    </r>
  </si>
  <si>
    <t>OK TO RUN SMT - SKIP "Y3"
11/4 - "A2, STD2, SFP" IS NOW DNI
11/22 - FA COMP</t>
  </si>
  <si>
    <t>129117 NEW</t>
  </si>
  <si>
    <r>
      <rPr>
        <b/>
        <sz val="14"/>
        <color rgb="FF000000"/>
        <rFont val="Aptos Narrow"/>
        <family val="2"/>
      </rPr>
      <t xml:space="preserve">11/27
</t>
    </r>
    <r>
      <rPr>
        <b/>
        <sz val="14"/>
        <color rgb="FFFF0000"/>
        <rFont val="Calibri"/>
        <family val="2"/>
        <scheme val="minor"/>
      </rPr>
      <t>3D</t>
    </r>
  </si>
  <si>
    <t>CLASS 3
PRESS FIT &amp; MECH REQ
DEPANEL
11/4 - "A2, STD2, SFP" IS NOW DNI</t>
  </si>
  <si>
    <t>11/22 - BOT 1:00</t>
  </si>
  <si>
    <t>11/25 - TOP</t>
  </si>
  <si>
    <t>11/25 - AOI 10:30</t>
  </si>
  <si>
    <t>11/26 - HAND TIGHTEN (NOT TORQUE)</t>
  </si>
  <si>
    <r>
      <rPr>
        <b/>
        <sz val="11"/>
        <color rgb="FF000000"/>
        <rFont val="Calibri"/>
        <family val="2"/>
        <scheme val="minor"/>
      </rPr>
      <t>11/22 -</t>
    </r>
    <r>
      <rPr>
        <b/>
        <strike/>
        <sz val="11"/>
        <color rgb="FF000000"/>
        <rFont val="Calibri"/>
        <family val="2"/>
        <scheme val="minor"/>
      </rPr>
      <t xml:space="preserve"> PCB DUE /  1 SMT &amp; 8 THT ITEMS WAITING FOR CONFIRM. </t>
    </r>
    <r>
      <rPr>
        <b/>
        <sz val="11"/>
        <color rgb="FF000000"/>
        <rFont val="Calibri"/>
        <family val="2"/>
        <scheme val="minor"/>
      </rPr>
      <t xml:space="preserve"> KIT CLEAR</t>
    </r>
  </si>
  <si>
    <t>EXPEDITE</t>
  </si>
  <si>
    <t>129168
NEW</t>
  </si>
  <si>
    <r>
      <rPr>
        <b/>
        <sz val="11"/>
        <color rgb="FFFF0000"/>
        <rFont val="Calibri"/>
        <family val="2"/>
        <scheme val="minor"/>
      </rPr>
      <t xml:space="preserve">CLASS 3
</t>
    </r>
    <r>
      <rPr>
        <b/>
        <sz val="11"/>
        <color rgb="FF000000"/>
        <rFont val="Calibri"/>
        <family val="2"/>
        <scheme val="minor"/>
      </rPr>
      <t>LEAD WASH PROCESS
* INDIUM 6.4R SOLDER PASTE REQUIRED
** SEND REFLOW PROFILE TO CUSTOMER
X-RAY &amp; SAVE IMAGES
TRIM LEADS 0.05" MAX</t>
    </r>
  </si>
  <si>
    <t>11/22 - BOT 11:30</t>
  </si>
  <si>
    <t>11/25 - TOP 9:00</t>
  </si>
  <si>
    <t>11/25 - AOI 3:30</t>
  </si>
  <si>
    <t xml:space="preserve"> True Anomaly
</t>
  </si>
  <si>
    <r>
      <rPr>
        <b/>
        <strike/>
        <sz val="11"/>
        <color rgb="FF000000"/>
        <rFont val="Calibri"/>
        <family val="2"/>
        <scheme val="minor"/>
      </rPr>
      <t xml:space="preserve">11/14 - SHORT 5  SMT ITEMS &amp; 2 THT ITEMS, EXPECTING MOST SHORT ITEMS WILL RECEIVED TODAY. HVC1 WAITING FOR CONFIRMED.  </t>
    </r>
    <r>
      <rPr>
        <b/>
        <sz val="11"/>
        <color rgb="FF000000"/>
        <rFont val="Calibri"/>
        <family val="2"/>
        <scheme val="minor"/>
      </rPr>
      <t xml:space="preserve">ONLY SHORT BALANCE 65 OF "R114" </t>
    </r>
    <r>
      <rPr>
        <b/>
        <strike/>
        <sz val="11"/>
        <color rgb="FF000000"/>
        <rFont val="Calibri"/>
        <family val="2"/>
        <scheme val="minor"/>
      </rPr>
      <t xml:space="preserve">ETA 11/18 </t>
    </r>
    <r>
      <rPr>
        <b/>
        <sz val="11"/>
        <color rgb="FF000000"/>
        <rFont val="Calibri"/>
        <family val="2"/>
        <scheme val="minor"/>
      </rPr>
      <t xml:space="preserve"> BUILD TO DEPLETION / KIT CLEAR</t>
    </r>
  </si>
  <si>
    <r>
      <rPr>
        <b/>
        <strike/>
        <sz val="11"/>
        <color rgb="FF000000"/>
        <rFont val="Calibri"/>
        <family val="2"/>
        <scheme val="minor"/>
      </rPr>
      <t xml:space="preserve">11/14 - ONLY SHORT R114, OK TO SKIP
</t>
    </r>
    <r>
      <rPr>
        <b/>
        <sz val="11"/>
        <color rgb="FF000000"/>
        <rFont val="Calibri"/>
        <family val="2"/>
        <scheme val="minor"/>
      </rPr>
      <t>11/20 - R114 BTD</t>
    </r>
  </si>
  <si>
    <t>129535
NEW</t>
  </si>
  <si>
    <t>11/27
5D</t>
  </si>
  <si>
    <t xml:space="preserve">"B1, B2, L3, U7" AFTER WASH
DEPANEL
</t>
  </si>
  <si>
    <t>11/21 - BOT 12:00</t>
  </si>
  <si>
    <t>11/21 - TOP 2:30</t>
  </si>
  <si>
    <t>11/22 - AOI 11:30</t>
  </si>
  <si>
    <t xml:space="preserve"> H3D, Inc.
</t>
  </si>
  <si>
    <r>
      <rPr>
        <b/>
        <strike/>
        <sz val="11"/>
        <color rgb="FF000000"/>
        <rFont val="Calibri"/>
        <family val="2"/>
        <scheme val="minor"/>
      </rPr>
      <t xml:space="preserve">11/01 - SHORT PCB &amp; 1 THT ITEM (A1_JB...) WITH NO ETA
11/21 - </t>
    </r>
    <r>
      <rPr>
        <b/>
        <sz val="11"/>
        <color rgb="FF000000"/>
        <rFont val="Calibri"/>
        <family val="2"/>
        <scheme val="minor"/>
      </rPr>
      <t xml:space="preserve">11/22 - </t>
    </r>
    <r>
      <rPr>
        <b/>
        <strike/>
        <sz val="11"/>
        <color rgb="FF000000"/>
        <rFont val="Calibri"/>
        <family val="2"/>
        <scheme val="minor"/>
      </rPr>
      <t xml:space="preserve">PCB DUE  </t>
    </r>
    <r>
      <rPr>
        <b/>
        <sz val="11"/>
        <color rgb="FF000000"/>
        <rFont val="Calibri"/>
        <family val="2"/>
        <scheme val="minor"/>
      </rPr>
      <t xml:space="preserve"> KIT CLEAR
</t>
    </r>
  </si>
  <si>
    <t>129120
NEW</t>
  </si>
  <si>
    <r>
      <rPr>
        <b/>
        <sz val="11"/>
        <color rgb="FFFF0000"/>
        <rFont val="Calibri"/>
        <family val="2"/>
        <scheme val="minor"/>
      </rPr>
      <t xml:space="preserve">CLASS 3
</t>
    </r>
    <r>
      <rPr>
        <b/>
        <sz val="11"/>
        <color rgb="FF000000"/>
        <rFont val="Calibri"/>
        <family val="2"/>
        <scheme val="minor"/>
      </rPr>
      <t>MULTIPLE PRESS FIT REQ</t>
    </r>
  </si>
  <si>
    <t>11/22 - BOT 10:00</t>
  </si>
  <si>
    <t>11/22 - TOP</t>
  </si>
  <si>
    <t>11/22 - AOI 12:00</t>
  </si>
  <si>
    <t>CARE REQUIRED WHEN TIGHTENING SCREWS A7_LPA...
11/26 - HAND TIGHTEN (NOT TORQUE)</t>
  </si>
  <si>
    <r>
      <rPr>
        <b/>
        <sz val="11"/>
        <color rgb="FF000000"/>
        <rFont val="Calibri"/>
        <family val="2"/>
        <scheme val="minor"/>
      </rPr>
      <t xml:space="preserve">11/15 - NEW FILES RECEIVED
</t>
    </r>
    <r>
      <rPr>
        <b/>
        <strike/>
        <sz val="11"/>
        <color rgb="FF000000"/>
        <rFont val="Calibri"/>
        <family val="2"/>
        <scheme val="minor"/>
      </rPr>
      <t xml:space="preserve">11/13 - ON HOLD - WRONG FILES RECEIVED PCB MIGHT BE DUE PCB RECEIVED / SHORT 2 SMT ITEMS (J4, R24..) WITH NO ETA.
</t>
    </r>
    <r>
      <rPr>
        <b/>
        <sz val="11"/>
        <color rgb="FF000000"/>
        <rFont val="Calibri"/>
        <family val="2"/>
        <scheme val="minor"/>
      </rPr>
      <t>11/15 - KIT CLEAR</t>
    </r>
  </si>
  <si>
    <t>11/14 - HOLD FOR POSS WRONG FILES - GERBER &amp; XY DO NOT MATCH</t>
  </si>
  <si>
    <t>129503
NEW</t>
  </si>
  <si>
    <r>
      <rPr>
        <b/>
        <sz val="14"/>
        <color rgb="FF000000"/>
        <rFont val="Calibri"/>
        <family val="2"/>
        <scheme val="minor"/>
      </rPr>
      <t xml:space="preserve">11/26
</t>
    </r>
    <r>
      <rPr>
        <b/>
        <strike/>
        <sz val="14"/>
        <color rgb="FF000000"/>
        <rFont val="Calibri"/>
        <family val="2"/>
        <scheme val="minor"/>
      </rPr>
      <t xml:space="preserve">12/3
</t>
    </r>
    <r>
      <rPr>
        <b/>
        <sz val="14"/>
        <color rgb="FF000000"/>
        <rFont val="Calibri"/>
        <family val="2"/>
        <scheme val="minor"/>
      </rPr>
      <t>10D</t>
    </r>
  </si>
  <si>
    <r>
      <rPr>
        <b/>
        <sz val="11"/>
        <color rgb="FFFF0000"/>
        <rFont val="Calibri"/>
        <family val="2"/>
        <scheme val="minor"/>
      </rPr>
      <t xml:space="preserve">CLASS 3
</t>
    </r>
    <r>
      <rPr>
        <b/>
        <sz val="11"/>
        <color rgb="FF000000"/>
        <rFont val="Calibri"/>
        <family val="2"/>
        <scheme val="minor"/>
      </rPr>
      <t>LEAD FREE WASH PROCESS
DEPANEL</t>
    </r>
  </si>
  <si>
    <t>11/18 - BOT</t>
  </si>
  <si>
    <t>11/18 - TOP 8:30</t>
  </si>
  <si>
    <t>11/19 - AOI 10:30</t>
  </si>
  <si>
    <t xml:space="preserve"> AIRS - American Infrared Solutions
</t>
  </si>
  <si>
    <r>
      <rPr>
        <b/>
        <strike/>
        <sz val="11"/>
        <color rgb="FF000000"/>
        <rFont val="Calibri"/>
        <family val="2"/>
        <scheme val="minor"/>
      </rPr>
      <t>11/22 - PCB DUE / SHORT 8 SMT ITEMS &amp; 3 THT ITEMS SHOULD BE HERE THIS WEEK</t>
    </r>
    <r>
      <rPr>
        <b/>
        <sz val="11"/>
        <color rgb="FF000000"/>
        <rFont val="Calibri"/>
        <family val="2"/>
        <scheme val="minor"/>
      </rPr>
      <t xml:space="preserve">. </t>
    </r>
    <r>
      <rPr>
        <b/>
        <strike/>
        <sz val="11"/>
        <color rgb="FF000000"/>
        <rFont val="Calibri"/>
        <family val="2"/>
        <scheme val="minor"/>
      </rPr>
      <t xml:space="preserve"> SHORT 
11/25 U13 RECEIVED , WAITING FOR CONFIRM OK TO USE</t>
    </r>
    <r>
      <rPr>
        <b/>
        <sz val="11"/>
        <color rgb="FF000000"/>
        <rFont val="Calibri"/>
        <family val="2"/>
        <scheme val="minor"/>
      </rPr>
      <t>?   KIT CLEAR</t>
    </r>
  </si>
  <si>
    <t>11/21 - PCB RECVD - "U13" OK TO SKIP</t>
  </si>
  <si>
    <r>
      <rPr>
        <b/>
        <sz val="14"/>
        <color rgb="FF000000"/>
        <rFont val="Calibri"/>
        <family val="2"/>
      </rPr>
      <t xml:space="preserve">129640
</t>
    </r>
    <r>
      <rPr>
        <b/>
        <sz val="14"/>
        <color rgb="FF0070C0"/>
        <rFont val="Calibri"/>
        <family val="2"/>
      </rPr>
      <t>ROWC 124494</t>
    </r>
  </si>
  <si>
    <r>
      <rPr>
        <b/>
        <sz val="14"/>
        <color rgb="FF000000"/>
        <rFont val="Calibri"/>
        <family val="2"/>
        <scheme val="minor"/>
      </rPr>
      <t xml:space="preserve">11/26
</t>
    </r>
    <r>
      <rPr>
        <b/>
        <strike/>
        <sz val="14"/>
        <color rgb="FF000000"/>
        <rFont val="Calibri"/>
        <family val="2"/>
        <scheme val="minor"/>
      </rPr>
      <t xml:space="preserve">12/2
</t>
    </r>
    <r>
      <rPr>
        <b/>
        <sz val="14"/>
        <color rgb="FFFF0000"/>
        <rFont val="Calibri"/>
        <family val="2"/>
        <scheme val="minor"/>
      </rPr>
      <t>3D</t>
    </r>
  </si>
  <si>
    <t>"Q1-Q4" SOLDER LEADS PER ECO
DEPANEL
*** SAND EDGES 0.07-0.20MM TO REMOVE BURRS</t>
  </si>
  <si>
    <t>11/22 - AOI</t>
  </si>
  <si>
    <t xml:space="preserve"> Hoverfly Technologies Inc
</t>
  </si>
  <si>
    <t>11/21 - KIT CLEAR (BUT HOLDING OFF TO REPORT TO CUSTOMER), PENDING ON TAD TO SCHEDULE WHEN TO START RUN</t>
  </si>
  <si>
    <t>*11/26 SHIP DATE BUT CAN GET AN EXTRA DAY IF NEEDED
11/22 - AWT STENCIL</t>
  </si>
  <si>
    <t>128404
NEW</t>
  </si>
  <si>
    <r>
      <rPr>
        <b/>
        <sz val="14"/>
        <color rgb="FF000000"/>
        <rFont val="Calibri"/>
        <family val="2"/>
      </rPr>
      <t xml:space="preserve">11/26*
</t>
    </r>
    <r>
      <rPr>
        <b/>
        <sz val="14"/>
        <color rgb="FFFF0000"/>
        <rFont val="Calibri"/>
        <family val="2"/>
      </rPr>
      <t>3D</t>
    </r>
  </si>
  <si>
    <t>11/22 - BOT 9:00
11/22 - PAUSE 10:00
11/22 - BOT 11:30</t>
  </si>
  <si>
    <t>11/22 - TOP 12:30</t>
  </si>
  <si>
    <t>11/22 - AOI 1:30</t>
  </si>
  <si>
    <r>
      <rPr>
        <b/>
        <strike/>
        <sz val="11"/>
        <color rgb="FF000000"/>
        <rFont val="Calibri"/>
        <family val="2"/>
        <scheme val="minor"/>
      </rPr>
      <t xml:space="preserve">11/15 - PCB DUE 
</t>
    </r>
    <r>
      <rPr>
        <b/>
        <sz val="11"/>
        <color rgb="FF000000"/>
        <rFont val="Calibri"/>
        <family val="2"/>
        <scheme val="minor"/>
      </rPr>
      <t>11/4 - KIT CLEAR</t>
    </r>
  </si>
  <si>
    <t>11/8 - BOT SETUP
11/12 - RUN 1ST TO GET BIG FEEDERS BACK
11/13 - QTY 19 PANELS COMP</t>
  </si>
  <si>
    <t>128574 NEW</t>
  </si>
  <si>
    <t>12/2
20D</t>
  </si>
  <si>
    <t>"LS1, LS2' U13" AFTER WASH
DEPANEL &amp; SAND PER ECO - BURRS NOT TO EXCEED 0.015"</t>
  </si>
  <si>
    <t>11/13 - BOT 6:00</t>
  </si>
  <si>
    <t>11/13 - TOP 9:30</t>
  </si>
  <si>
    <t>11/13 - AOI 2:30</t>
  </si>
  <si>
    <t>10/30/24</t>
  </si>
  <si>
    <r>
      <rPr>
        <b/>
        <strike/>
        <sz val="11"/>
        <color rgb="FF000000"/>
        <rFont val="Calibri"/>
        <family val="2"/>
        <scheme val="minor"/>
      </rPr>
      <t xml:space="preserve">11/18 - SHORT PCB WITH NO ETA
</t>
    </r>
    <r>
      <rPr>
        <b/>
        <sz val="11"/>
        <color rgb="FF000000"/>
        <rFont val="Calibri"/>
        <family val="2"/>
        <scheme val="minor"/>
      </rPr>
      <t>11/21 - KIT CLEAR</t>
    </r>
  </si>
  <si>
    <t>129631
RONC 121968</t>
  </si>
  <si>
    <r>
      <rPr>
        <b/>
        <sz val="14"/>
        <color rgb="FF000000"/>
        <rFont val="Calibri"/>
        <family val="2"/>
        <scheme val="minor"/>
      </rPr>
      <t xml:space="preserve">11/26
</t>
    </r>
    <r>
      <rPr>
        <b/>
        <sz val="14"/>
        <color rgb="FFFF0000"/>
        <rFont val="Calibri"/>
        <family val="2"/>
        <scheme val="minor"/>
      </rPr>
      <t>3D</t>
    </r>
  </si>
  <si>
    <t>LEAD PROCESS
SOLDER SHIELD FRAME PADS
DEPANEL</t>
  </si>
  <si>
    <t>11/21 - BOT 1:30</t>
  </si>
  <si>
    <r>
      <rPr>
        <b/>
        <sz val="11"/>
        <color rgb="FF000000"/>
        <rFont val="Calibri"/>
        <family val="2"/>
        <scheme val="minor"/>
      </rPr>
      <t xml:space="preserve">11/18 - </t>
    </r>
    <r>
      <rPr>
        <b/>
        <strike/>
        <sz val="11"/>
        <color rgb="FF000000"/>
        <rFont val="Calibri"/>
        <family val="2"/>
        <scheme val="minor"/>
      </rPr>
      <t xml:space="preserve">ALMOST CLEAR / JUST WAITING FOR U10 and J1 TO BE CONFIRM. (was approved for use on ROWC B126947)
</t>
    </r>
    <r>
      <rPr>
        <b/>
        <sz val="11"/>
        <color rgb="FF000000"/>
        <rFont val="Calibri"/>
        <family val="2"/>
        <scheme val="minor"/>
      </rPr>
      <t>KIT CLEAR</t>
    </r>
  </si>
  <si>
    <t>11/20 - QTY 9 BOT COMP</t>
  </si>
  <si>
    <t>129197
ROWC 126947</t>
  </si>
  <si>
    <t>11/25
5D</t>
  </si>
  <si>
    <r>
      <rPr>
        <b/>
        <sz val="11"/>
        <color rgb="FFFF0000"/>
        <rFont val="Calibri"/>
        <family val="2"/>
        <scheme val="minor"/>
      </rPr>
      <t xml:space="preserve">*** DPAS RATING D0-A7 ***
</t>
    </r>
    <r>
      <rPr>
        <b/>
        <sz val="11"/>
        <color rgb="FF000000"/>
        <rFont val="Calibri"/>
        <family val="2"/>
        <scheme val="minor"/>
      </rPr>
      <t xml:space="preserve">LEADFREE NO CLEAN PROCESS
</t>
    </r>
    <r>
      <rPr>
        <b/>
        <sz val="11"/>
        <color rgb="FFFF0000"/>
        <rFont val="Calibri"/>
        <family val="2"/>
        <scheme val="minor"/>
      </rPr>
      <t xml:space="preserve">*** "U35.1-16, U38.1-16, U39.1-16" SEE ECO FOR QUALITY ALERT
</t>
    </r>
    <r>
      <rPr>
        <b/>
        <sz val="11"/>
        <color rgb="FF000000"/>
        <rFont val="Calibri"/>
        <family val="2"/>
        <scheme val="minor"/>
      </rPr>
      <t xml:space="preserve">NO ADDITIONAL VERNDOR MARKS PERMITTED, QA/AOI STAMP ON FRAME AND RETAIN ONE FRAME FOR OUR RECORD
</t>
    </r>
    <r>
      <rPr>
        <b/>
        <sz val="11"/>
        <color rgb="FFFF0000"/>
        <rFont val="Calibri"/>
        <family val="2"/>
        <scheme val="minor"/>
      </rPr>
      <t xml:space="preserve">*** COMPLETE REMOVAL OF FLUX IS REQUIRED
</t>
    </r>
    <r>
      <rPr>
        <b/>
        <sz val="11"/>
        <color rgb="FF000000"/>
        <rFont val="Calibri"/>
        <family val="2"/>
        <scheme val="minor"/>
      </rPr>
      <t>DEPANEL &amp; SAND
PACK &amp; BOX WITH CARE
SHIP BOARDS AS IS (MISSING SCREWS AND ALL)</t>
    </r>
  </si>
  <si>
    <t>11/20 - BOT 9:00</t>
  </si>
  <si>
    <t>11/20 - TOP 5:30</t>
  </si>
  <si>
    <t>11/21 - AOI 9:30</t>
  </si>
  <si>
    <t xml:space="preserve"> John Hopkins University Applied Physics Lab
</t>
  </si>
  <si>
    <t>U35.1-16, U38.1-16, U39.1-16 -- INSUFFICIENT SOLDER (GOLD SHOWS THROUGH) (SEE EMAIL)</t>
  </si>
  <si>
    <r>
      <rPr>
        <b/>
        <strike/>
        <sz val="11"/>
        <color rgb="FF000000"/>
        <rFont val="Calibri"/>
        <family val="2"/>
        <scheme val="minor"/>
      </rPr>
      <t>11/-25  11/19 PCB DUE / SHORT 2 SMT ITEMS</t>
    </r>
    <r>
      <rPr>
        <b/>
        <sz val="11"/>
        <color rgb="FF000000"/>
        <rFont val="Calibri"/>
        <family val="2"/>
        <scheme val="minor"/>
      </rPr>
      <t xml:space="preserve"> &amp; </t>
    </r>
    <r>
      <rPr>
        <b/>
        <strike/>
        <sz val="11"/>
        <color rgb="FF000000"/>
        <rFont val="Calibri"/>
        <family val="2"/>
        <scheme val="minor"/>
      </rPr>
      <t>SHORT 4 THT ITEMS WITH NO ETA. /</t>
    </r>
    <r>
      <rPr>
        <b/>
        <sz val="11"/>
        <color rgb="FF000000"/>
        <rFont val="Calibri"/>
        <family val="2"/>
        <scheme val="minor"/>
      </rPr>
      <t xml:space="preserve"> SMT CLEAR
11/21 - KIT CLEAR
</t>
    </r>
  </si>
  <si>
    <r>
      <rPr>
        <b/>
        <sz val="14"/>
        <color rgb="FFFF0000"/>
        <rFont val="Calibri"/>
        <family val="2"/>
        <scheme val="minor"/>
      </rPr>
      <t xml:space="preserve">EXPEDITE
11/19 - SMT CLEAR
</t>
    </r>
    <r>
      <rPr>
        <b/>
        <sz val="11"/>
        <color rgb="FF000000"/>
        <rFont val="Calibri"/>
        <family val="2"/>
        <scheme val="minor"/>
      </rPr>
      <t>11/20 - FA BOT COMP</t>
    </r>
  </si>
  <si>
    <t>129165
NEW</t>
  </si>
  <si>
    <t>11/22
3D</t>
  </si>
  <si>
    <r>
      <rPr>
        <b/>
        <sz val="14"/>
        <color rgb="FFFF0000"/>
        <rFont val="Calibri"/>
        <family val="2"/>
        <scheme val="minor"/>
      </rPr>
      <t xml:space="preserve">*** EXPEDITE, CANNOT BE LATE
</t>
    </r>
    <r>
      <rPr>
        <b/>
        <sz val="11"/>
        <color rgb="FF000000"/>
        <rFont val="Calibri"/>
        <family val="2"/>
        <scheme val="minor"/>
      </rPr>
      <t>CLASS 3
LEAD WASH PROCESS
* INDIUM 6.4R SOLDER PASTE REQUIRED
** SEND REFLOW PROFILE TO CUSTOMER
X-RAY &amp; SAVE IMAGES
TRIM LEADS 0.05" MAX</t>
    </r>
  </si>
  <si>
    <t>11/20 - BOT 11:00</t>
  </si>
  <si>
    <t>11/21 - TOP 9:00</t>
  </si>
  <si>
    <t>11/21 - AOI 2:30</t>
  </si>
  <si>
    <t>11/1/24</t>
  </si>
  <si>
    <t>KIT CONSIDER CLEAR (COUNT 11/20 AS DAY ONE)</t>
  </si>
  <si>
    <t>11/19 - SMT TOP SIDE 1ST
11/19 - qty 20 bottom comp</t>
  </si>
  <si>
    <t>128821-2
ROWC 1st Article</t>
  </si>
  <si>
    <r>
      <t xml:space="preserve">11/22
</t>
    </r>
    <r>
      <rPr>
        <b/>
        <sz val="12"/>
        <color rgb="FFFF0000"/>
        <rFont val="Calibri"/>
        <family val="2"/>
        <scheme val="minor"/>
      </rPr>
      <t>3D</t>
    </r>
  </si>
  <si>
    <t>"LED1, 9, 10, 11, 12, 14" CHECK ECO FOR PLACEMENT
"SW1, SW2, U5, L1" AFTER WASH
"J41, J42, J43" MECH REQ PER ECO
DEPANEL</t>
  </si>
  <si>
    <t>11/19 - TOP 10:00</t>
  </si>
  <si>
    <t>11/20 - BOT 8:00</t>
  </si>
  <si>
    <t>11/20 - AOI 11:30</t>
  </si>
  <si>
    <t>11/12 - KIT CLEAR</t>
  </si>
  <si>
    <t>11/15 - 57 BOARDS COMPLETE</t>
  </si>
  <si>
    <t>129427
RONC 125000</t>
  </si>
  <si>
    <t>11/26
10D</t>
  </si>
  <si>
    <r>
      <rPr>
        <b/>
        <u/>
        <sz val="14"/>
        <color rgb="FFFF0000"/>
        <rFont val="Calibri"/>
        <family val="2"/>
        <scheme val="minor"/>
      </rPr>
      <t xml:space="preserve">*** SEE ALTA QUALITY ALERT FOR "S1A, S1B" SOLDERING WITH EXCESSIVE HEAT IS DAMAGING THE SWITCH
</t>
    </r>
    <r>
      <rPr>
        <b/>
        <sz val="11"/>
        <color rgb="FF000000"/>
        <rFont val="Calibri"/>
        <family val="2"/>
        <scheme val="minor"/>
      </rPr>
      <t>SPLIT SHIPMENT - QTY25 TO CHURCHILL NAVIGATION ^ QTY 50 TO AA
SPLIT SHIPMENT BASED ON SERIAL# - S/N# 0396 - 0420 SHIP TO CUST (CHURCHILL) - BAL QTY 50 S/N# 0421-00470) SHIP TO AA</t>
    </r>
  </si>
  <si>
    <t>11/14 - BOT 1:30</t>
  </si>
  <si>
    <t>11/15 - TOP 10:00
11/15 - pause 2:00
11/18 - TOP 10:00</t>
  </si>
  <si>
    <t>11/18 - AOI 11:00</t>
  </si>
  <si>
    <t xml:space="preserve"> Churchill Navigation dba Shotover Systems, Inc.
</t>
  </si>
  <si>
    <t>quality alert (make sure ECO/folder is updated)</t>
  </si>
  <si>
    <r>
      <rPr>
        <b/>
        <strike/>
        <sz val="11"/>
        <color rgb="FF000000"/>
        <rFont val="Calibri"/>
        <family val="2"/>
      </rPr>
      <t>9/11 - PCB DUE THAN CLEAR FOR 51 | RUN ALL BOARDS IN SMT</t>
    </r>
    <r>
      <rPr>
        <b/>
        <sz val="11"/>
        <color rgb="FF000000"/>
        <rFont val="Calibri"/>
        <family val="2"/>
      </rPr>
      <t xml:space="preserve">
9/12 - SMT CLEAR TO RUN ALL | KIT CLEARED FOR 51 OF 80 BOARDS</t>
    </r>
  </si>
  <si>
    <t>128090-2 
BAL RONC 126369</t>
  </si>
  <si>
    <t>ok to ship early (PHUONG)
J7, J8, J2, J1, J3 ORIENTATION (ECO)
CofC REQUIRES S/N
FOR SMT, ASSEMBLE ALL BOARDS THAN
PARTIAL SHIPMENT 51 OF 80 UNTIL BAL OF #19 (J3) ARRIVES</t>
  </si>
  <si>
    <t>9/13 - BOT 7:00
9/13 - PAUSE 1:00</t>
  </si>
  <si>
    <t>9/16 - TOP 8:30</t>
  </si>
  <si>
    <t>9/16 - AOI 10:30</t>
  </si>
  <si>
    <t xml:space="preserve">Churchill Navigation dba Shotover Systems, Inc.
</t>
  </si>
  <si>
    <r>
      <rPr>
        <b/>
        <strike/>
        <sz val="11"/>
        <color rgb="FF000000"/>
        <rFont val="Calibri"/>
        <family val="2"/>
        <scheme val="minor"/>
      </rPr>
      <t xml:space="preserve">11/11 - PCB DUE / SHORT U105 and X5 WITH NO ETA, PENDING ON J14 TO BE CONFIRMED.
</t>
    </r>
    <r>
      <rPr>
        <b/>
        <sz val="11"/>
        <color rgb="FF000000"/>
        <rFont val="Calibri"/>
        <family val="2"/>
        <scheme val="minor"/>
      </rPr>
      <t>11/8 - KIT CLEAR</t>
    </r>
  </si>
  <si>
    <t>11/8 - RUN ON L3 (SMALL PARTS AND REFLOW 3 REQ)
11/12 - FA COMP 2:30
11/14 - qty 2 bot side/hour
11/15 - QTY 9 BOARDS COMPLETE</t>
  </si>
  <si>
    <t>128739
NEW</t>
  </si>
  <si>
    <t>11/22
10D</t>
  </si>
  <si>
    <t>"J2 &amp; J10" MISSING PIN, PLACE PER ECO</t>
  </si>
  <si>
    <t>11/11 - BOT 12:30
11/11 - PAUSE 1:30
11/12 - BOT 6:00
11/12 - PAUSE 11:00
11/12 - BOT 1:00
11/12 - PAUSE 2:30
11/14 - BOT 6:00</t>
  </si>
  <si>
    <t>11/14 - TOP 1:30
11/15 - PAUSE 6:00
11/15 - TOP 8:00</t>
  </si>
  <si>
    <t>11/18 - AOI 9:00</t>
  </si>
  <si>
    <t>10/24/24</t>
  </si>
  <si>
    <r>
      <rPr>
        <b/>
        <strike/>
        <sz val="11"/>
        <color rgb="FF000000"/>
        <rFont val="Calibri"/>
        <family val="2"/>
        <scheme val="minor"/>
      </rPr>
      <t xml:space="preserve">11/5 - PCB DUE
</t>
    </r>
    <r>
      <rPr>
        <b/>
        <sz val="11"/>
        <color rgb="FF000000"/>
        <rFont val="Calibri"/>
        <family val="2"/>
        <scheme val="minor"/>
      </rPr>
      <t xml:space="preserve">10/31 - KIT CLEAR
</t>
    </r>
    <r>
      <rPr>
        <b/>
        <strike/>
        <sz val="11"/>
        <color rgb="FF000000"/>
        <rFont val="Calibri"/>
        <family val="2"/>
        <scheme val="minor"/>
      </rPr>
      <t xml:space="preserve">*Shipping date is estimated, pending on Customer confirm visit date. - CANCELED
</t>
    </r>
    <r>
      <rPr>
        <b/>
        <sz val="11"/>
        <color rgb="FF000000"/>
        <rFont val="Calibri"/>
        <family val="2"/>
        <scheme val="minor"/>
      </rPr>
      <t>11/18 - SHIP 11/22 (PER JOE)</t>
    </r>
  </si>
  <si>
    <r>
      <rPr>
        <b/>
        <strike/>
        <sz val="11"/>
        <color rgb="FF000000"/>
        <rFont val="Calibri"/>
        <family val="2"/>
        <scheme val="minor"/>
      </rPr>
      <t xml:space="preserve">10/31 - NEED ARRAY FILE
11/1 - HOLD OPEN VIA'S, WTG FOR CUST
11/4 - OFF HOLD - VIA RWK APVD
</t>
    </r>
    <r>
      <rPr>
        <b/>
        <sz val="11"/>
        <color rgb="FF000000"/>
        <rFont val="Calibri"/>
        <family val="2"/>
        <scheme val="minor"/>
      </rPr>
      <t>11/5 - BOT QTY 190 COMP (TOP RUN 1ST)</t>
    </r>
  </si>
  <si>
    <t>127349-3
BAL
NEW</t>
  </si>
  <si>
    <t>11/22
5D</t>
  </si>
  <si>
    <t>(SHIP QTY 50 ON 11/8 11/11, QTY 100 ON 11/15, QTY 250 TBD)
CLASS 3
***PAID RWK FOR VIA FILL***
DEPANEL</t>
  </si>
  <si>
    <t>11/5 - BOT 6:00</t>
  </si>
  <si>
    <t>11/5 - TOP 10:00</t>
  </si>
  <si>
    <t>11/6 - AOI 8:30</t>
  </si>
  <si>
    <t>Industrialex Manufacturing
(ANDURIL)</t>
  </si>
  <si>
    <t>DOC REL 10/1</t>
  </si>
  <si>
    <r>
      <rPr>
        <b/>
        <strike/>
        <sz val="11"/>
        <color rgb="FF000000"/>
        <rFont val="Calibri"/>
        <family val="2"/>
      </rPr>
      <t xml:space="preserve">11/12 - PCB DUE
</t>
    </r>
    <r>
      <rPr>
        <b/>
        <sz val="11"/>
        <color rgb="FF000000"/>
        <rFont val="Calibri"/>
        <family val="2"/>
      </rPr>
      <t>11/11 -KIT CLEAR</t>
    </r>
  </si>
  <si>
    <t>128758 NEW</t>
  </si>
  <si>
    <t>11/25
10D</t>
  </si>
  <si>
    <t>11/14 - BOT 6:00</t>
  </si>
  <si>
    <t>11/14 - TOP 9:00</t>
  </si>
  <si>
    <t>11/14 - AOI 11:30</t>
  </si>
  <si>
    <t>11/8 - RELEASE TO GET A HEAD START (PER TAD)
11/14 - PCB DUE DATE
11/15 - KIT CLEAR</t>
  </si>
  <si>
    <t>11/18 - SMT 6 COMP 9:00</t>
  </si>
  <si>
    <t>129591
NEW</t>
  </si>
  <si>
    <r>
      <rPr>
        <b/>
        <sz val="14"/>
        <color rgb="FF000000"/>
        <rFont val="Calibri"/>
        <family val="2"/>
      </rPr>
      <t xml:space="preserve">11/19
</t>
    </r>
    <r>
      <rPr>
        <b/>
        <sz val="14"/>
        <color rgb="FFFF0000"/>
        <rFont val="Calibri"/>
        <family val="2"/>
      </rPr>
      <t>2D</t>
    </r>
  </si>
  <si>
    <t>"L2" AFTER WASH
DEPANEL &amp; SAND</t>
  </si>
  <si>
    <t>11/15 - TOP 2:00</t>
  </si>
  <si>
    <t>11/18 - AOI 10:00</t>
  </si>
  <si>
    <t>11/8/24</t>
  </si>
  <si>
    <r>
      <rPr>
        <b/>
        <strike/>
        <sz val="11"/>
        <color rgb="FF000000"/>
        <rFont val="Calibri"/>
        <family val="2"/>
      </rPr>
      <t xml:space="preserve">10/9 - PCB DUE  |  SHORT FL3002 &amp; FL3003 WITH NO ETA.
10/11, 10/17 OR LATER - SHORT PCB - NO ETA
</t>
    </r>
    <r>
      <rPr>
        <b/>
        <sz val="11"/>
        <color rgb="FF000000"/>
        <rFont val="Calibri"/>
        <family val="2"/>
      </rPr>
      <t>10/23 - KIT CLEAR</t>
    </r>
  </si>
  <si>
    <t>11/4 - RUN BOT THEN PAUSE
11/5 - TOP 2 TROLLY INCOMPLETE
11/5 - 50 BOT COMP
11/7 - 9 COMP @ 12:00 PM
11/7 - INSUFFICIENT SOLDER @ FENCE &amp; P3 OVERHANGS RAIL - ROBERT DREMMEL
11/8 - QTY 18 SMT COMP
11/11 - QTY 50 COMPLETE</t>
  </si>
  <si>
    <t>126718 RONC 125336</t>
  </si>
  <si>
    <t>11/20
20D</t>
  </si>
  <si>
    <r>
      <rPr>
        <b/>
        <sz val="11"/>
        <color rgb="FF000000"/>
        <rFont val="Calibri"/>
        <family val="2"/>
      </rPr>
      <t xml:space="preserve">UPON DOC RELEASE CHECK EMAIL FOR ADDITIONAL FILES PROVIDED BY CUST
</t>
    </r>
    <r>
      <rPr>
        <b/>
        <sz val="11"/>
        <color rgb="FFFF0000"/>
        <rFont val="Calibri"/>
        <family val="2"/>
      </rPr>
      <t xml:space="preserve">*** DO NOT DEPANEL UNTIL ASSY'S COME BACK FROM TEST COACH ***
</t>
    </r>
    <r>
      <rPr>
        <b/>
        <sz val="11"/>
        <color rgb="FF000000"/>
        <rFont val="Calibri"/>
        <family val="2"/>
      </rPr>
      <t>"SW11000" AFTER WASH
"P22000" PRESS FIT
INSTALL SHIELD FENCE PRIOR TO SHIPPING TO TEST COACH
Per Tad, please hand mark “H” REV</t>
    </r>
  </si>
  <si>
    <r>
      <rPr>
        <b/>
        <strike/>
        <sz val="11"/>
        <color rgb="FF000000"/>
        <rFont val="Calibri"/>
        <family val="2"/>
      </rPr>
      <t xml:space="preserve">11/4 - BOT 11:00
</t>
    </r>
    <r>
      <rPr>
        <b/>
        <sz val="11"/>
        <color rgb="FF000000"/>
        <rFont val="Calibri"/>
        <family val="2"/>
      </rPr>
      <t>11/4 - PAUSE 2:30</t>
    </r>
  </si>
  <si>
    <t>11/6 - TOP 10:30
11/6 - PAUSE 11:00
11/7 - TOP 9:30
11/7 - PAUSE 1:30
11/8 - TOP 1:00</t>
  </si>
  <si>
    <t>11/11 - AOI 8:30</t>
  </si>
  <si>
    <t xml:space="preserve">TEST COACH 
</t>
  </si>
  <si>
    <t>10/24 - REV REQUEST FROM PHUONG (EMAIL)
USING LABEL OK FOR REV</t>
  </si>
  <si>
    <r>
      <rPr>
        <b/>
        <strike/>
        <sz val="11"/>
        <color rgb="FF000000"/>
        <rFont val="Calibri"/>
        <family val="2"/>
      </rPr>
      <t xml:space="preserve">9/27 - PCB DUE DATE
10/15 - PARTIAL CLEAR QTY 120
</t>
    </r>
    <r>
      <rPr>
        <b/>
        <sz val="11"/>
        <color rgb="FF000000"/>
        <rFont val="Calibri"/>
        <family val="2"/>
      </rPr>
      <t>10/28 -KIT CLEAR (TOTAL  BALANCE QTY. 314)</t>
    </r>
  </si>
  <si>
    <t>127621-3
BAL NEW</t>
  </si>
  <si>
    <r>
      <rPr>
        <b/>
        <strike/>
        <sz val="14"/>
        <color rgb="FF000000"/>
        <rFont val="Calibri"/>
        <family val="2"/>
      </rPr>
      <t xml:space="preserve">120
</t>
    </r>
    <r>
      <rPr>
        <b/>
        <sz val="14"/>
        <color rgb="FF000000"/>
        <rFont val="Calibri"/>
        <family val="2"/>
      </rPr>
      <t>314</t>
    </r>
  </si>
  <si>
    <t>11/18
15D</t>
  </si>
  <si>
    <r>
      <rPr>
        <b/>
        <sz val="11"/>
        <color rgb="FF000000"/>
        <rFont val="Calibri"/>
        <family val="2"/>
      </rPr>
      <t xml:space="preserve">CLASS 3
</t>
    </r>
    <r>
      <rPr>
        <b/>
        <sz val="11"/>
        <color rgb="FFFF0000"/>
        <rFont val="Calibri"/>
        <family val="2"/>
      </rPr>
      <t>*** DEPANEL - CHECK W/ TAD BEFORE DEPANELING - MOUSE BITES WILL CAUSE DAMAGE ***
MAKE SURE BOARDS ARE CLEAN</t>
    </r>
  </si>
  <si>
    <t>11/4 - BOT 8:30</t>
  </si>
  <si>
    <t>11/4 - TOP 10:00</t>
  </si>
  <si>
    <t>11/4 - AOI 2:30</t>
  </si>
  <si>
    <t xml:space="preserve">Integra Life Sciences
</t>
  </si>
  <si>
    <t>10/21 - KIT CLEAR
RUN SMT TOP SIDE FIRST</t>
  </si>
  <si>
    <t>RUN TOP SIDE 1ST
11/5 - QTY 8 TOP COMP
11/12 - QTY 75 COMPLETE</t>
  </si>
  <si>
    <t>1 - TRI</t>
  </si>
  <si>
    <t xml:space="preserve">128573 NEW
</t>
  </si>
  <si>
    <t>11/18
20D</t>
  </si>
  <si>
    <r>
      <rPr>
        <b/>
        <sz val="11"/>
        <color rgb="FF000000"/>
        <rFont val="Calibri"/>
        <family val="2"/>
      </rPr>
      <t xml:space="preserve">DEPANEL &amp; SAND PER ECO - BURRS NOT TO EXCEED 0.015"
</t>
    </r>
    <r>
      <rPr>
        <b/>
        <sz val="11"/>
        <color rgb="FFFF0000"/>
        <rFont val="Calibri"/>
        <family val="2"/>
      </rPr>
      <t>"R47 &amp; RELATED x10" TRIM LEADS TO 0.045" MAX</t>
    </r>
  </si>
  <si>
    <t>11/1 - TOP 1:00
11/4 - PAUSE
11/6 - TOP 12:30
11/6 - PAUSE 1:15
11/11 - TOP 2:00</t>
  </si>
  <si>
    <t>11/12 - BOT 10:00</t>
  </si>
  <si>
    <t>11/12 - AOI 2:30</t>
  </si>
  <si>
    <t>DOC REL 10/14</t>
  </si>
  <si>
    <r>
      <rPr>
        <b/>
        <strike/>
        <sz val="11"/>
        <color rgb="FF000000"/>
        <rFont val="Calibri"/>
        <family val="2"/>
        <scheme val="minor"/>
      </rPr>
      <t>11/5 - PCB DUE 
SHORT "FL201 and Q401" ETA 11/5,</t>
    </r>
    <r>
      <rPr>
        <b/>
        <sz val="11"/>
        <color rgb="FF000000"/>
        <rFont val="Calibri"/>
        <family val="2"/>
        <scheme val="minor"/>
      </rPr>
      <t xml:space="preserve"> </t>
    </r>
    <r>
      <rPr>
        <b/>
        <strike/>
        <sz val="11"/>
        <color rgb="FF000000"/>
        <rFont val="Calibri"/>
        <family val="2"/>
        <scheme val="minor"/>
      </rPr>
      <t xml:space="preserve">SHORT  "S404, S302, and S805" WITH NO ETA 
</t>
    </r>
    <r>
      <rPr>
        <b/>
        <sz val="11"/>
        <color rgb="FF000000"/>
        <rFont val="Calibri"/>
        <family val="2"/>
        <scheme val="minor"/>
      </rPr>
      <t>11/5 - KIT CLEAR "S404, S302, S805 are DNI"</t>
    </r>
  </si>
  <si>
    <t>11/6 - STENCIL ISSUE &lt;NEW STENCIL&gt;
11/6 - 18 BOT COMPLETE
11/7 - 5 TOP COMP @12PM</t>
  </si>
  <si>
    <t>128513
NEW</t>
  </si>
  <si>
    <t>(CUI)
DEPANEL
SHIP SHIELD "LIDS" WITH BOARDS
ship DNI parts with boards (see email attached to yellow folder)</t>
  </si>
  <si>
    <t>11/6 - BOT 11:00
11/6 - PAUSE 12:30
11/6 - BOT 1:15</t>
  </si>
  <si>
    <t>11/7 - TOP 7:30
11/7 - PAUSE 1:30
11/11 - TOP 8:30</t>
  </si>
  <si>
    <t>11/11 - AOI 12:30</t>
  </si>
  <si>
    <t>TOP SIDE DOUBLE/TRIPLE RUNTIME</t>
  </si>
  <si>
    <t>11/4/2024</t>
  </si>
  <si>
    <r>
      <rPr>
        <b/>
        <strike/>
        <sz val="11"/>
        <color rgb="FF000000"/>
        <rFont val="Calibri"/>
        <family val="2"/>
        <scheme val="minor"/>
      </rPr>
      <t xml:space="preserve">11/5 - PCB DUE
</t>
    </r>
    <r>
      <rPr>
        <b/>
        <sz val="11"/>
        <color rgb="FF000000"/>
        <rFont val="Calibri"/>
        <family val="2"/>
        <scheme val="minor"/>
      </rPr>
      <t xml:space="preserve">10/31 - KIT CLEAR
</t>
    </r>
    <r>
      <rPr>
        <b/>
        <strike/>
        <sz val="11"/>
        <color rgb="FF000000"/>
        <rFont val="Calibri"/>
        <family val="2"/>
        <scheme val="minor"/>
      </rPr>
      <t>*Shipping date is estimated, pending on Customer confirm visit date. - CANCELED</t>
    </r>
  </si>
  <si>
    <t>127349-2
PAR
NEW</t>
  </si>
  <si>
    <t>11/15
5D</t>
  </si>
  <si>
    <r>
      <rPr>
        <b/>
        <strike/>
        <sz val="11"/>
        <color rgb="FF000000"/>
        <rFont val="Calibri"/>
        <family val="2"/>
        <scheme val="minor"/>
      </rPr>
      <t xml:space="preserve">11/5 - KIT ALMOST CLEAR, WAITING FOR J7 (THT) TO BE CONFIRMED.
</t>
    </r>
    <r>
      <rPr>
        <b/>
        <sz val="11"/>
        <color rgb="FF000000"/>
        <rFont val="Calibri"/>
        <family val="2"/>
        <scheme val="minor"/>
      </rPr>
      <t>11/6 - KIT CLEAR</t>
    </r>
  </si>
  <si>
    <t>11/8 - QTY 23 COMPLETE</t>
  </si>
  <si>
    <t>128297-2
ROWC 1st Article</t>
  </si>
  <si>
    <t xml:space="preserve">
11/20
10D</t>
  </si>
  <si>
    <t>"C1,C2,C23,D5" STAKING REQ PER ECO (DOW CORNING 3140 IS APPROVED TO USE)
T/H TEST POINTS TO BE POPULATED IN ORIENTATIONS SHOWN +/- 30 DEG (SEE DWG SHEET 3 OF 7)
DEPANEL &amp; SAND
DOW CORNING 3140 - CUSTOMER SUPPLIED</t>
  </si>
  <si>
    <t>11/8 - BOT 10:30</t>
  </si>
  <si>
    <t>11/8 - TOP</t>
  </si>
  <si>
    <t>11/8 - AOI 1:30</t>
  </si>
  <si>
    <r>
      <rPr>
        <b/>
        <strike/>
        <sz val="11"/>
        <color rgb="FF000000"/>
        <rFont val="Calibri"/>
        <family val="2"/>
        <scheme val="minor"/>
      </rPr>
      <t xml:space="preserve">10/30 - PCB DUE AND ALL PARTS ETA 10/30. SHORT C5  </t>
    </r>
    <r>
      <rPr>
        <b/>
        <sz val="11"/>
        <color rgb="FFFF0000"/>
        <rFont val="Calibri"/>
        <family val="2"/>
        <scheme val="minor"/>
      </rPr>
      <t xml:space="preserve">/ THT ONLY
</t>
    </r>
    <r>
      <rPr>
        <b/>
        <sz val="11"/>
        <color rgb="FF000000"/>
        <rFont val="Calibri"/>
        <family val="2"/>
        <scheme val="minor"/>
      </rPr>
      <t xml:space="preserve">10/31-KIT CLEAR
 </t>
    </r>
  </si>
  <si>
    <t>129275
RONC 128731</t>
  </si>
  <si>
    <t>11/14
10D</t>
  </si>
  <si>
    <t>T/H ONLY
DATE CODE REQ
WIRE JUMPERS REQ PER ECO</t>
  </si>
  <si>
    <r>
      <t xml:space="preserve">10/29 - ALMOST CLEAR, </t>
    </r>
    <r>
      <rPr>
        <b/>
        <strike/>
        <sz val="11"/>
        <color rgb="FF000000"/>
        <rFont val="Calibri"/>
        <family val="2"/>
        <scheme val="minor"/>
      </rPr>
      <t xml:space="preserve">WAITING FOR ETA OF PCB </t>
    </r>
    <r>
      <rPr>
        <b/>
        <sz val="11"/>
        <color rgb="FF000000"/>
        <rFont val="Calibri"/>
        <family val="2"/>
        <scheme val="minor"/>
      </rPr>
      <t xml:space="preserve">AND PENDING TO BE CONFIRMED FOR  ITEM #40 (PD1..) 
11/08 - PCB DUE </t>
    </r>
  </si>
  <si>
    <t>11/8 - QTY 10 COMPLETE</t>
  </si>
  <si>
    <t>129320
RONC 127160</t>
  </si>
  <si>
    <t>"SW3, SW4" AFTER WASH
T/H MOUNT FLUSH W/ PCB
DEPANEL
PACK &amp; BOX W/ EXTRA CARE</t>
  </si>
  <si>
    <t>11/7 - TOP 1:30</t>
  </si>
  <si>
    <t>11/8 - AOI 8:30</t>
  </si>
  <si>
    <t xml:space="preserve"> Biolog Inc.
</t>
  </si>
  <si>
    <t>10/29/24</t>
  </si>
  <si>
    <r>
      <rPr>
        <b/>
        <strike/>
        <sz val="11"/>
        <color rgb="FF0E2841"/>
        <rFont val="Calibri"/>
        <family val="2"/>
      </rPr>
      <t xml:space="preserve">10/16 - SHORT PCB and J20A WITH NO ETA YET.
11/11 PCB DUE
11/4 - RECV QTY 2 PCBS, STILL SHORT 2
</t>
    </r>
    <r>
      <rPr>
        <b/>
        <sz val="11"/>
        <color rgb="FF0E2841"/>
        <rFont val="Calibri"/>
        <family val="2"/>
      </rPr>
      <t xml:space="preserve">11/11 - KIT CLEAR
</t>
    </r>
  </si>
  <si>
    <t>11/5 - RUN QTY 2 &amp; LEAVE SET UP
11/5 - 2 OF 4 SMT COMPLETE</t>
  </si>
  <si>
    <t>1-TRI</t>
  </si>
  <si>
    <t>128976-2 BAL
NEW</t>
  </si>
  <si>
    <r>
      <rPr>
        <b/>
        <sz val="14"/>
        <color rgb="FF0E2841"/>
        <rFont val="Calibri"/>
        <family val="2"/>
      </rPr>
      <t xml:space="preserve">11/14
</t>
    </r>
    <r>
      <rPr>
        <b/>
        <sz val="14"/>
        <color rgb="FFFF0000"/>
        <rFont val="Calibri"/>
        <family val="2"/>
      </rPr>
      <t>3D</t>
    </r>
  </si>
  <si>
    <r>
      <rPr>
        <b/>
        <sz val="11"/>
        <color rgb="FFFF0000"/>
        <rFont val="Calibri"/>
        <family val="2"/>
      </rPr>
      <t xml:space="preserve">***3 DAY TURN***
</t>
    </r>
    <r>
      <rPr>
        <b/>
        <sz val="11"/>
        <color rgb="FF000000"/>
        <rFont val="Calibri"/>
        <family val="2"/>
      </rPr>
      <t>(SHIP EARLY)
DEPANEL &amp; SAND - SEE ECO FOR SPECIFIC CALLOUT TOLERANCE
CoC provided with the PCBAs shall have the serials listed (SUP-F13 PCBAs BARCODE STANDARD.PDF)</t>
    </r>
  </si>
  <si>
    <t>11/12 - BOT 11:00</t>
  </si>
  <si>
    <t>11/12 - TOP</t>
  </si>
  <si>
    <t>11/12 - AOI 1:30</t>
  </si>
  <si>
    <t>PAT</t>
  </si>
  <si>
    <r>
      <rPr>
        <b/>
        <strike/>
        <sz val="11"/>
        <color rgb="FF000000"/>
        <rFont val="Calibri"/>
        <family val="2"/>
      </rPr>
      <t xml:space="preserve">10/16 - SHORT PCB and J20A WITH NO ETA YET.
11/11 PCB DUE
</t>
    </r>
    <r>
      <rPr>
        <b/>
        <sz val="11"/>
        <color rgb="FF000000"/>
        <rFont val="Calibri"/>
        <family val="2"/>
      </rPr>
      <t>11/4 - RECV QTY 2 PCBS, STILL SHORT 2
11/11 - KIT CLEAR</t>
    </r>
  </si>
  <si>
    <t>11/5 - RUN QTY 2 &amp; LEAVE SET UP</t>
  </si>
  <si>
    <t>128976-1 PAR
NEW</t>
  </si>
  <si>
    <r>
      <rPr>
        <b/>
        <sz val="11"/>
        <color rgb="FFFF0000"/>
        <rFont val="Calibri"/>
        <family val="2"/>
      </rPr>
      <t xml:space="preserve">***3 DAY TURN***
(SHIP EARLY)
</t>
    </r>
    <r>
      <rPr>
        <b/>
        <sz val="11"/>
        <color rgb="FF000000"/>
        <rFont val="Calibri"/>
        <family val="2"/>
      </rPr>
      <t>DEPANEL &amp; SAND - SEE ECO FOR SPECIFIC CALLOUT TOLERANCE
CoC provided with the PCBAs shall have the serials listed (SUP-F13 PCBAs BARCODE STANDARD.PDF)</t>
    </r>
  </si>
  <si>
    <t>11/5 - AOI 2:00</t>
  </si>
  <si>
    <t>11/8 - KIT CLEAR (DAY 1 TODAY - PER TAD)</t>
  </si>
  <si>
    <t>11/8 - CARE PARTS | LIGHT ON ATTRITION
11/11 - #8(Y2) INCORRECT PART (EMAIL)
11/12 - NEW Y2 SHIPPED, BUT OKAY TO DNP IF PART DOESN'T ARRIVE BY SHIP DATE</t>
  </si>
  <si>
    <t>129394
NEW</t>
  </si>
  <si>
    <t>CLASS 3
LEAD PROCESS
"L2-L5" AFTER WASH
"J1-J5" LOCTITE 242 REQ PER ECO
DEPANEL</t>
  </si>
  <si>
    <t>11/11 - BOT 9:30</t>
  </si>
  <si>
    <t>11/11 - TOP 11:30</t>
  </si>
  <si>
    <t>11/11 - AOI 2:30</t>
  </si>
  <si>
    <t xml:space="preserve"> Stellar Exploration
</t>
  </si>
  <si>
    <t>11/6 - BOARDS/PARTS ARE READY FOR RW</t>
  </si>
  <si>
    <t>129299
RWK</t>
  </si>
  <si>
    <r>
      <rPr>
        <b/>
        <sz val="14"/>
        <color rgb="FF000000"/>
        <rFont val="Calibri"/>
        <family val="2"/>
        <scheme val="minor"/>
      </rPr>
      <t xml:space="preserve">11/14
</t>
    </r>
    <r>
      <rPr>
        <b/>
        <strike/>
        <sz val="14"/>
        <color rgb="FF000000"/>
        <rFont val="Calibri"/>
        <family val="2"/>
        <scheme val="minor"/>
      </rPr>
      <t xml:space="preserve">11/13
</t>
    </r>
    <r>
      <rPr>
        <b/>
        <sz val="14"/>
        <color rgb="FF000000"/>
        <rFont val="Calibri"/>
        <family val="2"/>
        <scheme val="minor"/>
      </rPr>
      <t>5D</t>
    </r>
  </si>
  <si>
    <t>PAID REWORK
1.	Remove R126
2.	Add 32AWG short wire to board between resistor pads R122 Pin 1 and R126 pin 2
3.	Replace R147, R148 with 2.2K 0201 resistor
4.	Replace U12, INA230AIDGSR with INA237AIDGSR/INA237AIDGST
SHIP MATL WITH BOARDS (TRINH)</t>
  </si>
  <si>
    <t>11/06/24</t>
  </si>
  <si>
    <t>11/8 - KIT CLEAR</t>
  </si>
  <si>
    <t>129626
RWK</t>
  </si>
  <si>
    <r>
      <rPr>
        <b/>
        <sz val="14"/>
        <color rgb="FF000000"/>
        <rFont val="Calibri"/>
        <family val="2"/>
        <scheme val="minor"/>
      </rPr>
      <t xml:space="preserve">11/13
</t>
    </r>
    <r>
      <rPr>
        <b/>
        <sz val="14"/>
        <color rgb="FFFF0000"/>
        <rFont val="Calibri"/>
        <family val="2"/>
        <scheme val="minor"/>
      </rPr>
      <t>3D</t>
    </r>
  </si>
  <si>
    <r>
      <rPr>
        <b/>
        <sz val="11"/>
        <color rgb="FFFF0000"/>
        <rFont val="Calibri"/>
        <family val="2"/>
      </rPr>
      <t>*** 3 DAY TURN ***</t>
    </r>
    <r>
      <rPr>
        <b/>
        <sz val="11"/>
        <color rgb="FF000000"/>
        <rFont val="Calibri"/>
        <family val="2"/>
      </rPr>
      <t>PAID REWORK
PAID REWORK
SEE CUST PDF &amp; RWK TRAVELER FOR INSTRUCTIONS
INSTALL "C15 &amp; R20"
INSTALL "NUT1 &amp; NUT2"
REMOVE "CN1 &amp; CN2" &amp; REINSTALL ON OPPOSITE SIDE</t>
    </r>
  </si>
  <si>
    <t>TECHNICAL MARINE SERVICES</t>
  </si>
  <si>
    <r>
      <rPr>
        <b/>
        <strike/>
        <sz val="11"/>
        <color rgb="FF000000"/>
        <rFont val="Calibri"/>
        <family val="2"/>
        <scheme val="minor"/>
      </rPr>
      <t xml:space="preserve">11/05 - PCB DUE
</t>
    </r>
    <r>
      <rPr>
        <b/>
        <sz val="11"/>
        <color rgb="FF000000"/>
        <rFont val="Calibri"/>
        <family val="2"/>
        <scheme val="minor"/>
      </rPr>
      <t>11/7 - KIT CLEAR</t>
    </r>
  </si>
  <si>
    <t>11/7 - J3 OVERHANG - ROBERT DREMMEL
11/8 - QTY 18 SMT TOP COMPLETE</t>
  </si>
  <si>
    <t>129150
NEW</t>
  </si>
  <si>
    <r>
      <rPr>
        <b/>
        <sz val="14"/>
        <color rgb="FF156082"/>
        <rFont val="Calibri"/>
        <family val="2"/>
        <scheme val="minor"/>
      </rPr>
      <t xml:space="preserve">11/12
</t>
    </r>
    <r>
      <rPr>
        <b/>
        <sz val="14"/>
        <color rgb="FFFF0000"/>
        <rFont val="Calibri"/>
        <family val="2"/>
        <scheme val="minor"/>
      </rPr>
      <t>3D</t>
    </r>
  </si>
  <si>
    <t>FEDEX - EARLY AM 8:30</t>
  </si>
  <si>
    <t>11/7 - BOT 1:30</t>
  </si>
  <si>
    <t>11/8 - TOP 10:30</t>
  </si>
  <si>
    <t>FEDEX E</t>
  </si>
  <si>
    <t xml:space="preserve"> Blur Product Development
</t>
  </si>
  <si>
    <r>
      <rPr>
        <b/>
        <strike/>
        <sz val="11"/>
        <color rgb="FF000000"/>
        <rFont val="Calibri"/>
        <family val="2"/>
        <scheme val="minor"/>
      </rPr>
      <t xml:space="preserve">10/28 - SHORT IC3. *WAITING FOR IC3 TO BE PROGRAMMED AND SEND BACK TO ALTA, WE SHOULD HAVE ETA SOON
</t>
    </r>
    <r>
      <rPr>
        <b/>
        <sz val="11"/>
        <color rgb="FF000000"/>
        <rFont val="Calibri"/>
        <family val="2"/>
        <scheme val="minor"/>
      </rPr>
      <t>10/29 - KIT CLEAR</t>
    </r>
  </si>
  <si>
    <t>128917
RONC 107492</t>
  </si>
  <si>
    <t>11/12
10D</t>
  </si>
  <si>
    <t>(SHIP EARLY)
"LS1, IC1, SW_1" AFTER WASH
LED'S W/ WIRES REQ SOLDERING PER ECO
DEPANEL</t>
  </si>
  <si>
    <t>11/1 - BOT 11:00</t>
  </si>
  <si>
    <t>11/1 - TOP 2:00</t>
  </si>
  <si>
    <t>11/4 - AOI  8:00</t>
  </si>
  <si>
    <t xml:space="preserve">ILC Dover
</t>
  </si>
  <si>
    <t>10/28/24</t>
  </si>
  <si>
    <r>
      <t xml:space="preserve">10/18 - SHORT PCB WTIH NO ETA.
SHORT U29 (SMT) and A1 (T/H) ETA 10/22
11/20 - PCB DUE
</t>
    </r>
    <r>
      <rPr>
        <b/>
        <sz val="11"/>
        <color rgb="FF000000"/>
        <rFont val="Calibri"/>
        <family val="2"/>
      </rPr>
      <t>11/4 -KIT CLEAR</t>
    </r>
  </si>
  <si>
    <t>11/6 - ON HOLD DUE TO CHANGES 
11/6 - OK TO RUN - CUST ADDED PAID RWK TO CHANGE "R189"</t>
  </si>
  <si>
    <t>128821-1ST
NEW</t>
  </si>
  <si>
    <r>
      <rPr>
        <b/>
        <sz val="14"/>
        <color rgb="FF000000"/>
        <rFont val="Calibri"/>
        <family val="2"/>
      </rPr>
      <t xml:space="preserve">10
</t>
    </r>
    <r>
      <rPr>
        <b/>
        <strike/>
        <sz val="14"/>
        <color rgb="FF000000"/>
        <rFont val="Calibri"/>
        <family val="2"/>
      </rPr>
      <t>5</t>
    </r>
  </si>
  <si>
    <r>
      <rPr>
        <b/>
        <sz val="11"/>
        <color rgb="FF000000"/>
        <rFont val="Calibri"/>
        <family val="2"/>
      </rPr>
      <t xml:space="preserve">"LED1, 9, 10, 11, 12, 14" CHECK ECO FOR PLACEMENT
"SW1, SW2, U5, L1" AFTER WASH
"J41, J42, J43" MECH REQ PER ECO
DEPANEL
</t>
    </r>
    <r>
      <rPr>
        <b/>
        <sz val="16"/>
        <color rgb="FFFF0000"/>
        <rFont val="Calibri"/>
        <family val="2"/>
      </rPr>
      <t>11/6 - CUST PAID RWK TO CHANGE "R189"</t>
    </r>
  </si>
  <si>
    <t>11/6 - BOT 9:30
11/6 - PAUSE 10:30
11/6 - BOT 11:00</t>
  </si>
  <si>
    <t>11/6 - TOP 2:00</t>
  </si>
  <si>
    <t>11/7 - AOI 9:30</t>
  </si>
  <si>
    <r>
      <rPr>
        <b/>
        <strike/>
        <sz val="11"/>
        <color rgb="FF000000"/>
        <rFont val="Calibri"/>
        <family val="2"/>
        <scheme val="minor"/>
      </rPr>
      <t xml:space="preserve">10/31 - NEED ARRAY FILE
11/1 - HOLD OPEN VIA'S, WTG FOR CUST
11/4 - OFF HOLD - VIA RWK APVD
</t>
    </r>
    <r>
      <rPr>
        <b/>
        <sz val="11"/>
        <color rgb="FF000000"/>
        <rFont val="Calibri"/>
        <family val="2"/>
        <scheme val="minor"/>
      </rPr>
      <t>11/5 - BOT QTY 190 COMP (TOP RUN 1ST)
11/6 - QTY SMT COMPLETE: 400</t>
    </r>
  </si>
  <si>
    <t>127349-1
PAR
NEW</t>
  </si>
  <si>
    <t>11/8
5D</t>
  </si>
  <si>
    <r>
      <rPr>
        <b/>
        <sz val="11"/>
        <color rgb="FF000000"/>
        <rFont val="Aptos Narrow"/>
        <family val="2"/>
      </rPr>
      <t xml:space="preserve">(SHIP QTY 50 ON 11/8 </t>
    </r>
    <r>
      <rPr>
        <b/>
        <strike/>
        <sz val="11"/>
        <color rgb="FF000000"/>
        <rFont val="Aptos Narrow"/>
        <family val="2"/>
      </rPr>
      <t>11/11</t>
    </r>
    <r>
      <rPr>
        <b/>
        <sz val="11"/>
        <color rgb="FF000000"/>
        <rFont val="Aptos Narrow"/>
        <family val="2"/>
      </rPr>
      <t>, QTY 100 ON 11/15, QTY 250 TBD)
CLASS 3
***PAID RWK FOR VIA FILL***
DEPANEL</t>
    </r>
  </si>
  <si>
    <r>
      <rPr>
        <b/>
        <strike/>
        <sz val="11"/>
        <color rgb="FF000000"/>
        <rFont val="Calibri"/>
        <family val="2"/>
        <scheme val="minor"/>
      </rPr>
      <t xml:space="preserve">11/06 - PCB DUE / PARTIAL SHORT OF RS485 WITH NO ETA.
</t>
    </r>
    <r>
      <rPr>
        <b/>
        <sz val="11"/>
        <color rgb="FF000000"/>
        <rFont val="Calibri"/>
        <family val="2"/>
        <scheme val="minor"/>
      </rPr>
      <t>11/05 - KIT CLEAR</t>
    </r>
  </si>
  <si>
    <t>11/6 - SMT COMPLETE QTY 10</t>
  </si>
  <si>
    <t>129354
NEW</t>
  </si>
  <si>
    <r>
      <rPr>
        <b/>
        <sz val="14"/>
        <color rgb="FF000000"/>
        <rFont val="Calibri"/>
        <family val="2"/>
        <scheme val="minor"/>
      </rPr>
      <t xml:space="preserve">11/08
</t>
    </r>
    <r>
      <rPr>
        <b/>
        <sz val="14"/>
        <color rgb="FFFF0000"/>
        <rFont val="Calibri"/>
        <family val="2"/>
        <scheme val="minor"/>
      </rPr>
      <t>3D</t>
    </r>
  </si>
  <si>
    <t>SPLIT SHIPMENT QTY 5 QUINCY, MA &amp; QTY 5 AUSTRALIA
DEPANEL
BAG &amp; BOX W/ CARE -INTERNATIONAL SHIPEMNT</t>
  </si>
  <si>
    <t>11/5 - BOT 1:30</t>
  </si>
  <si>
    <t>11/6 - TOP 7:30</t>
  </si>
  <si>
    <t>11/6 - AOI 11:00</t>
  </si>
  <si>
    <t>1B
2T</t>
  </si>
  <si>
    <r>
      <rPr>
        <b/>
        <strike/>
        <sz val="11"/>
        <color rgb="FF000000"/>
        <rFont val="Calibri"/>
        <family val="2"/>
      </rPr>
      <t xml:space="preserve">10/22 - SHORT LED105 WITH ETA 10/31
</t>
    </r>
    <r>
      <rPr>
        <b/>
        <sz val="11"/>
        <color rgb="FF000000"/>
        <rFont val="Calibri"/>
        <family val="2"/>
      </rPr>
      <t>10/24 - KIT CLEAR</t>
    </r>
  </si>
  <si>
    <t>10/28 - HOLD 11:00</t>
  </si>
  <si>
    <t>128688
 NEW</t>
  </si>
  <si>
    <t>11/07
10D</t>
  </si>
  <si>
    <t>*** RUN ON LINE 3 ONLY (ALL LED'S)</t>
  </si>
  <si>
    <t>10/28 - BOT 10:00</t>
  </si>
  <si>
    <t>11/1 - TOP 9:30 - BOT 10:01</t>
  </si>
  <si>
    <t>11/1 - AOI 1:00</t>
  </si>
  <si>
    <t>DOC REL 10/11</t>
  </si>
  <si>
    <r>
      <rPr>
        <b/>
        <strike/>
        <sz val="11"/>
        <color theme="1"/>
        <rFont val="Calibri"/>
        <family val="2"/>
      </rPr>
      <t xml:space="preserve">10/30 - PCB DUE </t>
    </r>
    <r>
      <rPr>
        <b/>
        <sz val="11"/>
        <color theme="1"/>
        <rFont val="Calibri"/>
        <family val="2"/>
      </rPr>
      <t xml:space="preserve">
10/23 -KIT CLEAR</t>
    </r>
  </si>
  <si>
    <t>*HAVE TO DEPANEL BEFORE LOADING CONN</t>
  </si>
  <si>
    <t>129045 NEW</t>
  </si>
  <si>
    <t>11/06
10D</t>
  </si>
  <si>
    <t>(SHIP EARLY)
CLASS 3
DEPANEL</t>
  </si>
  <si>
    <t>10/31 - BOT 11:00</t>
  </si>
  <si>
    <t>11/1 - TOP 12:00</t>
  </si>
  <si>
    <t>11/1 - AOI 2:30</t>
  </si>
  <si>
    <t>10/30 - KIT CLEAR</t>
  </si>
  <si>
    <t>129087
RONC 127559</t>
  </si>
  <si>
    <t>11/06
5D</t>
  </si>
  <si>
    <t>(SHIP EARLY)
MAKE SURE BOARDS ARE CLEAN AND FREE OF DEBRIS</t>
  </si>
  <si>
    <t>11/1 - BOT 6:00</t>
  </si>
  <si>
    <t>11/1 - TOP 9:30</t>
  </si>
  <si>
    <t>11/1 - AOI 9:30</t>
  </si>
  <si>
    <r>
      <rPr>
        <b/>
        <strike/>
        <sz val="11"/>
        <color rgb="FF000000"/>
        <rFont val="Calibri"/>
        <family val="2"/>
      </rPr>
      <t xml:space="preserve">10/30 - PCB DUE DATE
</t>
    </r>
    <r>
      <rPr>
        <b/>
        <sz val="11"/>
        <color rgb="FF000000"/>
        <rFont val="Calibri"/>
        <family val="2"/>
      </rPr>
      <t>10/24 -</t>
    </r>
    <r>
      <rPr>
        <b/>
        <strike/>
        <sz val="11"/>
        <color rgb="FF000000"/>
        <rFont val="Calibri"/>
        <family val="2"/>
      </rPr>
      <t xml:space="preserve"> KIT CLEAR
ON HOLD, RECEIVED CUST UPDATED FILE. PENDING ON NATION TO CONFIRMED
</t>
    </r>
    <r>
      <rPr>
        <b/>
        <sz val="11"/>
        <color rgb="FF000000"/>
        <rFont val="Calibri"/>
        <family val="2"/>
      </rPr>
      <t xml:space="preserve">10/25 -KIT CLEAR
</t>
    </r>
  </si>
  <si>
    <t>128910-2 NEW</t>
  </si>
  <si>
    <r>
      <rPr>
        <b/>
        <sz val="14"/>
        <color rgb="FF000000"/>
        <rFont val="Calibri"/>
        <family val="2"/>
      </rPr>
      <t xml:space="preserve">11/6
</t>
    </r>
    <r>
      <rPr>
        <b/>
        <strike/>
        <sz val="14"/>
        <color rgb="FF000000"/>
        <rFont val="Calibri"/>
        <family val="2"/>
      </rPr>
      <t xml:space="preserve">11/01
</t>
    </r>
    <r>
      <rPr>
        <b/>
        <sz val="14"/>
        <color rgb="FF000000"/>
        <rFont val="Calibri"/>
        <family val="2"/>
      </rPr>
      <t>5D</t>
    </r>
  </si>
  <si>
    <r>
      <rPr>
        <b/>
        <sz val="11"/>
        <color rgb="FF000000"/>
        <rFont val="Calibri"/>
        <family val="2"/>
      </rPr>
      <t xml:space="preserve">TRIM LEADS 0.130" MAX
</t>
    </r>
    <r>
      <rPr>
        <b/>
        <sz val="11"/>
        <color rgb="FFFF0000"/>
        <rFont val="Calibri"/>
        <family val="2"/>
      </rPr>
      <t xml:space="preserve">*** PACKAGE AND BOX TO PREVENT ANY DAMAGE - USE HEAVY BUBBLE AND MULTIPLE BOXES
</t>
    </r>
    <r>
      <rPr>
        <b/>
        <sz val="11"/>
        <color rgb="FF000000"/>
        <rFont val="Calibri"/>
        <family val="2"/>
      </rPr>
      <t>DEPANEL
"U24 &amp; RELATED x6" IS NOW LOAD W/ NEW PART NUMBER TS3011IY</t>
    </r>
    <r>
      <rPr>
        <b/>
        <sz val="11"/>
        <color rgb="FFFFFF00"/>
        <rFont val="Calibri"/>
        <family val="2"/>
      </rPr>
      <t>LT</t>
    </r>
    <r>
      <rPr>
        <b/>
        <sz val="11"/>
        <color rgb="FF000000"/>
        <rFont val="Calibri"/>
        <family val="2"/>
      </rPr>
      <t xml:space="preserve"> (NOT TS3011IYCT)</t>
    </r>
  </si>
  <si>
    <t>10/28 - BOT 6:00</t>
  </si>
  <si>
    <t>10/28 - TOP 11:30</t>
  </si>
  <si>
    <t>10/28 - AOI 2:00</t>
  </si>
  <si>
    <t>3B 1T</t>
  </si>
  <si>
    <t>11/1 - SHIP 2 OF 8 DUE TO MASKING OVER PADS THAT REQUIRE PEELING</t>
  </si>
  <si>
    <r>
      <t xml:space="preserve">10/22 - KIT CLEAR </t>
    </r>
    <r>
      <rPr>
        <b/>
        <strike/>
        <sz val="11"/>
        <color theme="1"/>
        <rFont val="Calibri"/>
        <family val="2"/>
      </rPr>
      <t>BUT PENDING ON PCB REV.C TO BE CONFIRMED.</t>
    </r>
    <r>
      <rPr>
        <b/>
        <sz val="11"/>
        <color theme="1"/>
        <rFont val="Calibri"/>
        <family val="2"/>
      </rPr>
      <t xml:space="preserve">
PCB REV.C OK TO USED.</t>
    </r>
  </si>
  <si>
    <t>11/05
10D</t>
  </si>
  <si>
    <t>CLASS 3
"XA1, XA2" HANDLE W/ CARE - HAND TIGHTEN ONLY "DO NOT USE ANY TOOLS"
REMOVE ANY HARDWARE PRIOR TO SOLDERING AND WASHING - RE-INSTALL PRIOR TO SHIPPING
***
*** DO NOT MIX HARDWARE PER ECO #6
TAG BOARDS W/ ANY BTD/DNI PARTS &amp; NOTE ON PAPERWORK PER ECO</t>
  </si>
  <si>
    <t>10/31 TOP 10:00</t>
  </si>
  <si>
    <t>10/31 AOI 11:00</t>
  </si>
  <si>
    <r>
      <rPr>
        <b/>
        <sz val="11"/>
        <color rgb="FF000000"/>
        <rFont val="Calibri"/>
        <family val="2"/>
        <scheme val="minor"/>
      </rPr>
      <t xml:space="preserve">10/29 - </t>
    </r>
    <r>
      <rPr>
        <b/>
        <strike/>
        <sz val="11"/>
        <color rgb="FF000000"/>
        <rFont val="Calibri"/>
        <family val="2"/>
        <scheme val="minor"/>
      </rPr>
      <t>KIT ALMOST CLEAR, WAITING FOR ARRAY FILE AND PCB TO BE CONFIRMED OK TO USE OR NOT?</t>
    </r>
    <r>
      <rPr>
        <b/>
        <sz val="11"/>
        <color rgb="FF000000"/>
        <rFont val="Calibri"/>
        <family val="2"/>
        <scheme val="minor"/>
      </rPr>
      <t xml:space="preserve">  KIT CLEAR</t>
    </r>
  </si>
  <si>
    <t>129147
NEW</t>
  </si>
  <si>
    <t>11/05
5D</t>
  </si>
  <si>
    <t>10/31 - BOT 8:30</t>
  </si>
  <si>
    <t>10/31 - TOP 9:30</t>
  </si>
  <si>
    <t>10/31 - TOP 9:31</t>
  </si>
  <si>
    <r>
      <rPr>
        <b/>
        <strike/>
        <sz val="11"/>
        <color rgb="FF000000"/>
        <rFont val="Calibri"/>
        <family val="2"/>
      </rPr>
      <t>9/30 - PCB DUE
9/30 - KIT CLEAR
9/30 - RECEIVED PCB'S WITH VIAS CONNECTED TO PADS (16 LOCATIONS)
10/8 - CUSTOMER WILL RE-MAKE PCB'S
10/21 - NEW PCB DUE -RECEVIED BOARDS BUT NEED INSPECT &amp; NEED</t>
    </r>
    <r>
      <rPr>
        <b/>
        <sz val="11"/>
        <color rgb="FF000000"/>
        <rFont val="Calibri"/>
        <family val="2"/>
      </rPr>
      <t xml:space="preserve"> 
10/22- NEW STENCIL RECEVIED &amp; KIT CLEAR</t>
    </r>
  </si>
  <si>
    <t xml:space="preserve">127752
</t>
  </si>
  <si>
    <r>
      <rPr>
        <b/>
        <sz val="14"/>
        <color rgb="FF000000"/>
        <rFont val="Calibri"/>
        <family val="2"/>
      </rPr>
      <t xml:space="preserve">11/05
</t>
    </r>
    <r>
      <rPr>
        <b/>
        <strike/>
        <sz val="14"/>
        <color rgb="FF000000"/>
        <rFont val="Calibri"/>
        <family val="2"/>
      </rPr>
      <t xml:space="preserve">10/14
</t>
    </r>
    <r>
      <rPr>
        <b/>
        <sz val="14"/>
        <color rgb="FF000000"/>
        <rFont val="Calibri"/>
        <family val="2"/>
      </rPr>
      <t xml:space="preserve">10D
</t>
    </r>
    <r>
      <rPr>
        <b/>
        <strike/>
        <sz val="14"/>
        <color rgb="FF000000"/>
        <rFont val="Calibri"/>
        <family val="2"/>
      </rPr>
      <t>5D</t>
    </r>
  </si>
  <si>
    <r>
      <rPr>
        <b/>
        <strike/>
        <sz val="11"/>
        <color rgb="FF000000"/>
        <rFont val="Calibri"/>
        <family val="2"/>
      </rPr>
      <t xml:space="preserve">ON HOLD DUE TO TOO MANY VIA HOLES
</t>
    </r>
    <r>
      <rPr>
        <b/>
        <sz val="11"/>
        <color rgb="FF000000"/>
        <rFont val="Calibri"/>
        <family val="2"/>
      </rPr>
      <t>LEAD PROCESS
DEPANEL</t>
    </r>
  </si>
  <si>
    <t>10/30 - BOT 2:00</t>
  </si>
  <si>
    <t>10/30 - TOP 2:30</t>
  </si>
  <si>
    <t>10/31 - AOI 8:30</t>
  </si>
  <si>
    <t xml:space="preserve">Cardinal Peak, LLC
</t>
  </si>
  <si>
    <r>
      <rPr>
        <b/>
        <sz val="11"/>
        <color rgb="FF000000"/>
        <rFont val="Calibri"/>
        <family val="2"/>
      </rPr>
      <t xml:space="preserve">10/22- </t>
    </r>
    <r>
      <rPr>
        <b/>
        <strike/>
        <sz val="11"/>
        <color rgb="FF000000"/>
        <rFont val="Calibri"/>
        <family val="2"/>
      </rPr>
      <t xml:space="preserve">PCB DUE </t>
    </r>
    <r>
      <rPr>
        <b/>
        <sz val="11"/>
        <color rgb="FF000000"/>
        <rFont val="Calibri"/>
        <family val="2"/>
      </rPr>
      <t xml:space="preserve">/KIT CLEAR
</t>
    </r>
  </si>
  <si>
    <t>128690 NEW</t>
  </si>
  <si>
    <t>10/29 - BOT 6:00</t>
  </si>
  <si>
    <t>10/29 - TOP 9:00</t>
  </si>
  <si>
    <t>10/29 - AOI 11:30</t>
  </si>
  <si>
    <r>
      <rPr>
        <b/>
        <strike/>
        <sz val="11"/>
        <color rgb="FF000000"/>
        <rFont val="Calibri"/>
        <family val="2"/>
      </rPr>
      <t xml:space="preserve">10/18 - 10/21 PCB DUE 
10/15 - SHORT 4 SMT ITEMS &amp; 5 THT ITEMS PENDING ON ETA
10/18 - SHORT L2, J6, and T1 &amp; CONFIRM K1 (ALL T/H PARTS) 
</t>
    </r>
    <r>
      <rPr>
        <b/>
        <sz val="11"/>
        <color rgb="FF000000"/>
        <rFont val="Calibri"/>
        <family val="2"/>
      </rPr>
      <t xml:space="preserve">10/21 - SMT CLEAR, </t>
    </r>
    <r>
      <rPr>
        <b/>
        <strike/>
        <sz val="11"/>
        <color rgb="FF000000"/>
        <rFont val="Calibri"/>
        <family val="2"/>
      </rPr>
      <t>SHORT L2 &amp; T1 (THT PARTS) - POSSIBLE NEXT WEEK
10/28 - ONLY SHORT HEATSINK &amp; ETA</t>
    </r>
    <r>
      <rPr>
        <b/>
        <sz val="11"/>
        <color rgb="FF000000"/>
        <rFont val="Calibri"/>
        <family val="2"/>
      </rPr>
      <t xml:space="preserve"> </t>
    </r>
    <r>
      <rPr>
        <b/>
        <strike/>
        <sz val="11"/>
        <color rgb="FF000000"/>
        <rFont val="Calibri"/>
        <family val="2"/>
      </rPr>
      <t>10/29</t>
    </r>
    <r>
      <rPr>
        <b/>
        <sz val="11"/>
        <color rgb="FF000000"/>
        <rFont val="Calibri"/>
        <family val="2"/>
      </rPr>
      <t xml:space="preserve"> 10/30 - KIT CLEAR 
*HEATSINK QTY.29, THE REST BUILD TO DEPLETION.</t>
    </r>
  </si>
  <si>
    <t xml:space="preserve">10/30 - ITEM 8 WRONG VALUE </t>
  </si>
  <si>
    <t>FSU 2
BOT RTR</t>
  </si>
  <si>
    <t>128997
SMT CLEAR NEW</t>
  </si>
  <si>
    <r>
      <rPr>
        <b/>
        <sz val="14"/>
        <color rgb="FF000000"/>
        <rFont val="Calibri"/>
        <family val="2"/>
      </rPr>
      <t xml:space="preserve">11/5
5D
</t>
    </r>
    <r>
      <rPr>
        <b/>
        <sz val="14"/>
        <color rgb="FFFF0000"/>
        <rFont val="Calibri"/>
        <family val="2"/>
      </rPr>
      <t>*CAN NOT BE LATE</t>
    </r>
  </si>
  <si>
    <r>
      <rPr>
        <b/>
        <sz val="11"/>
        <color rgb="FFFF0000"/>
        <rFont val="Calibri"/>
        <family val="2"/>
      </rPr>
      <t xml:space="preserve">*** READ ECO #12 &amp; 13 BEFORE RELEASING/RUNNING ***
</t>
    </r>
    <r>
      <rPr>
        <b/>
        <sz val="11"/>
        <color rgb="FF000000"/>
        <rFont val="Calibri"/>
        <family val="2"/>
      </rPr>
      <t xml:space="preserve">LEAD PROCESS - DISREGARD ROHS NOTE ON DWG
"L1" AFTER WASH
</t>
    </r>
    <r>
      <rPr>
        <b/>
        <sz val="11"/>
        <color rgb="FFFF0000"/>
        <rFont val="Calibri"/>
        <family val="2"/>
      </rPr>
      <t xml:space="preserve">10/17 - CUST MOVED C40 TO ITEM #18
</t>
    </r>
    <r>
      <rPr>
        <b/>
        <sz val="11"/>
        <color rgb="FF000000"/>
        <rFont val="Calibri"/>
        <family val="2"/>
      </rPr>
      <t>INSTALL FUSES PRIOR TO SHIPPING
***
***TRIM LEADS TO 0.140" MAX HEIGHT***
*** "U1 &amp; U2" HAVE MOUNTING TORERANCES - READ ECO  #12 &amp; #13 BEFORE INSTALING
SHIPPING BOXES REQUIRE LABELS PER ECO #15
DEPANEL &amp; SAND
DNI HEATSINK
*10/30 - HEATSINKS &amp; SCREWS ARE NOW DNI. SHIP WITH ASSY'S</t>
    </r>
  </si>
  <si>
    <t>10/30 - BOT 9:30</t>
  </si>
  <si>
    <r>
      <rPr>
        <b/>
        <sz val="11"/>
        <color rgb="FF000000"/>
        <rFont val="Calibri"/>
        <family val="2"/>
      </rPr>
      <t>1</t>
    </r>
    <r>
      <rPr>
        <b/>
        <strike/>
        <sz val="11"/>
        <color rgb="FF000000"/>
        <rFont val="Calibri"/>
        <family val="2"/>
      </rPr>
      <t>0/30 - TOP  11:30</t>
    </r>
  </si>
  <si>
    <t>10/30 - AOI 2:00</t>
  </si>
  <si>
    <r>
      <rPr>
        <b/>
        <sz val="11"/>
        <color rgb="FF000000"/>
        <rFont val="Calibri"/>
        <family val="2"/>
      </rPr>
      <t xml:space="preserve">10/17 - </t>
    </r>
    <r>
      <rPr>
        <b/>
        <strike/>
        <sz val="11"/>
        <color rgb="FF000000"/>
        <rFont val="Calibri"/>
        <family val="2"/>
      </rPr>
      <t>1 ITEM (F5,F6)</t>
    </r>
    <r>
      <rPr>
        <b/>
        <sz val="11"/>
        <color rgb="FF000000"/>
        <rFont val="Calibri"/>
        <family val="2"/>
      </rPr>
      <t xml:space="preserve"> WAITING FOR CONFIRM. WE MAY START THIS JOB 10/21
11/4 - KIT CLEAR</t>
    </r>
  </si>
  <si>
    <t xml:space="preserve">WTG FOR SHORTAGE
11/4 - RECEIVED F5 &amp; F6, KIT CLEAR </t>
  </si>
  <si>
    <t>122789-1ST NEW</t>
  </si>
  <si>
    <r>
      <rPr>
        <b/>
        <sz val="14"/>
        <color rgb="FF000000"/>
        <rFont val="Calibri"/>
        <family val="2"/>
      </rPr>
      <t xml:space="preserve">11/5
</t>
    </r>
    <r>
      <rPr>
        <b/>
        <strike/>
        <sz val="14"/>
        <color rgb="FF000000"/>
        <rFont val="Calibri"/>
        <family val="2"/>
      </rPr>
      <t xml:space="preserve">10/23
</t>
    </r>
    <r>
      <rPr>
        <b/>
        <sz val="14"/>
        <color rgb="FF000000"/>
        <rFont val="Calibri"/>
        <family val="2"/>
      </rPr>
      <t>3D</t>
    </r>
  </si>
  <si>
    <t>*** 3 DAY TURN ***
CLASS 3
CUI
***NO SOLDER SPLASH ON PLATED EDGE CONTACTS PER ECO #3
MAX COMPONENT HEIGHT PER ECO #5
"XU1A, XU1B, XU2A, XU2B" REQUIRES FIXTURE TO INSTALL PER ECO #6
DEPANEL</t>
  </si>
  <si>
    <t>10/18 - BOT 1:00</t>
  </si>
  <si>
    <t>10/18 - TOP 1:30</t>
  </si>
  <si>
    <t>10/18 - AOI 2:30</t>
  </si>
  <si>
    <r>
      <t xml:space="preserve">10/14 </t>
    </r>
    <r>
      <rPr>
        <b/>
        <strike/>
        <sz val="11"/>
        <color theme="1"/>
        <rFont val="Calibri"/>
        <family val="2"/>
      </rPr>
      <t xml:space="preserve">- PCB DUE </t>
    </r>
    <r>
      <rPr>
        <b/>
        <sz val="11"/>
        <color theme="1"/>
        <rFont val="Calibri"/>
        <family val="2"/>
      </rPr>
      <t xml:space="preserve"> KIT CLEAR
</t>
    </r>
  </si>
  <si>
    <t>TUAN OFF FRI
CAN MOVE TO LINE 2</t>
  </si>
  <si>
    <t>127440-2 RONC 1st Article</t>
  </si>
  <si>
    <t>11/4
15D</t>
  </si>
  <si>
    <t>TRUE NO CLEAN
ALL COMPONENTS FLUSH TO BOARD
DEPANEL</t>
  </si>
  <si>
    <t>10/25 - BOT 12:00</t>
  </si>
  <si>
    <t>10/29 - TOP 6:00</t>
  </si>
  <si>
    <t>9/30 - U6 PLACEMENT ISSUE PREVIOUSLY (NOT FLAT) ROBERT IS AWARE AND HAS ADJUSTED STENCIL</t>
  </si>
  <si>
    <r>
      <rPr>
        <b/>
        <strike/>
        <sz val="11"/>
        <color theme="1"/>
        <rFont val="Calibri"/>
        <family val="2"/>
      </rPr>
      <t>10/17 -  PCB &amp; C4 ETA 10/26</t>
    </r>
    <r>
      <rPr>
        <b/>
        <sz val="11"/>
        <color theme="1"/>
        <rFont val="Calibri"/>
        <family val="2"/>
      </rPr>
      <t xml:space="preserve">
10/21 - KIT CLEAR</t>
    </r>
  </si>
  <si>
    <t>TOP FIRST</t>
  </si>
  <si>
    <t>129068 NEW</t>
  </si>
  <si>
    <t>11/4
10D</t>
  </si>
  <si>
    <t>10/23 - TOP 10:00</t>
  </si>
  <si>
    <t>10/25 - AOI</t>
  </si>
  <si>
    <r>
      <rPr>
        <b/>
        <strike/>
        <sz val="11"/>
        <color rgb="FF000000"/>
        <rFont val="Calibri"/>
        <family val="2"/>
      </rPr>
      <t xml:space="preserve">10/30 - PCB DUE DATE
</t>
    </r>
    <r>
      <rPr>
        <b/>
        <sz val="11"/>
        <color rgb="FF000000"/>
        <rFont val="Calibri"/>
        <family val="2"/>
      </rPr>
      <t>10/24 -</t>
    </r>
    <r>
      <rPr>
        <b/>
        <strike/>
        <sz val="11"/>
        <color rgb="FF000000"/>
        <rFont val="Calibri"/>
        <family val="2"/>
      </rPr>
      <t xml:space="preserve"> KIT CLEAR
ON HOLD, RECEIVED CUST UPDATED FILE. PENDING ON NATION TO CONFIRMED
</t>
    </r>
    <r>
      <rPr>
        <b/>
        <sz val="11"/>
        <color rgb="FF000000"/>
        <rFont val="Calibri"/>
        <family val="2"/>
      </rPr>
      <t>10/25 -KIT CLEAR</t>
    </r>
  </si>
  <si>
    <t>128910-1 NEW</t>
  </si>
  <si>
    <t>11/01
5D</t>
  </si>
  <si>
    <r>
      <rPr>
        <b/>
        <sz val="11"/>
        <color rgb="FF000000"/>
        <rFont val="Calibri"/>
        <family val="2"/>
        <scheme val="minor"/>
      </rPr>
      <t>10/28 -</t>
    </r>
    <r>
      <rPr>
        <b/>
        <strike/>
        <sz val="11"/>
        <color rgb="FF000000"/>
        <rFont val="Calibri"/>
        <family val="2"/>
        <scheme val="minor"/>
      </rPr>
      <t xml:space="preserve"> PCB DUE
</t>
    </r>
    <r>
      <rPr>
        <b/>
        <sz val="11"/>
        <color rgb="FF000000"/>
        <rFont val="Calibri"/>
        <family val="2"/>
        <scheme val="minor"/>
      </rPr>
      <t>KIT CLEAR</t>
    </r>
  </si>
  <si>
    <r>
      <t xml:space="preserve">10/31
</t>
    </r>
    <r>
      <rPr>
        <b/>
        <sz val="14"/>
        <color rgb="FFFF0000"/>
        <rFont val="Calibri"/>
        <family val="2"/>
        <scheme val="minor"/>
      </rPr>
      <t>3D</t>
    </r>
  </si>
  <si>
    <r>
      <rPr>
        <b/>
        <sz val="16"/>
        <color rgb="FFFF0000"/>
        <rFont val="Calibri"/>
        <family val="2"/>
        <scheme val="minor"/>
      </rPr>
      <t xml:space="preserve">*** 3 DAY TURN ***
</t>
    </r>
    <r>
      <rPr>
        <b/>
        <sz val="11"/>
        <color rgb="FF000000"/>
        <rFont val="Calibri"/>
        <family val="2"/>
        <scheme val="minor"/>
      </rPr>
      <t>"T1" DO NOT WASH
DEPANEL
SER # REQ</t>
    </r>
  </si>
  <si>
    <r>
      <rPr>
        <b/>
        <sz val="11"/>
        <color rgb="FF156082"/>
        <rFont val="Calibri"/>
        <family val="2"/>
      </rPr>
      <t>1</t>
    </r>
    <r>
      <rPr>
        <b/>
        <strike/>
        <sz val="11"/>
        <color rgb="FF000000"/>
        <rFont val="Calibri"/>
        <family val="2"/>
      </rPr>
      <t>0/29 - BOT 2:00</t>
    </r>
  </si>
  <si>
    <t>10/30 - TOP 9:30</t>
  </si>
  <si>
    <t>10/30 - AOI 11:00</t>
  </si>
  <si>
    <r>
      <rPr>
        <b/>
        <strike/>
        <sz val="11"/>
        <color rgb="FF000000"/>
        <rFont val="Calibri"/>
        <family val="2"/>
        <scheme val="minor"/>
      </rPr>
      <t xml:space="preserve">10/30 - PCB DUE
</t>
    </r>
    <r>
      <rPr>
        <b/>
        <sz val="11"/>
        <color rgb="FF000000"/>
        <rFont val="Calibri"/>
        <family val="2"/>
        <scheme val="minor"/>
      </rPr>
      <t>10/28 - KIT CLEAR</t>
    </r>
  </si>
  <si>
    <t>129271
RONC 120287</t>
  </si>
  <si>
    <r>
      <rPr>
        <b/>
        <sz val="14"/>
        <color rgb="FF000000"/>
        <rFont val="Calibri"/>
        <family val="2"/>
        <scheme val="minor"/>
      </rPr>
      <t xml:space="preserve">10/31
</t>
    </r>
    <r>
      <rPr>
        <b/>
        <sz val="14"/>
        <color rgb="FFFF0000"/>
        <rFont val="Calibri"/>
        <family val="2"/>
        <scheme val="minor"/>
      </rPr>
      <t>3D</t>
    </r>
  </si>
  <si>
    <r>
      <rPr>
        <b/>
        <sz val="16"/>
        <color rgb="FFFF0000"/>
        <rFont val="Calibri"/>
        <family val="2"/>
        <scheme val="minor"/>
      </rPr>
      <t xml:space="preserve">*** 3 DAY TURN ***
</t>
    </r>
    <r>
      <rPr>
        <b/>
        <sz val="11"/>
        <color rgb="FF000000"/>
        <rFont val="Calibri"/>
        <family val="2"/>
        <scheme val="minor"/>
      </rPr>
      <t>DEPANEL</t>
    </r>
  </si>
  <si>
    <t>10/29 - BOT 4:00</t>
  </si>
  <si>
    <t>10/30 - TOP 7:30</t>
  </si>
  <si>
    <t>10/30 - AOI 9:30</t>
  </si>
  <si>
    <t>DOC REL 10/25</t>
  </si>
  <si>
    <r>
      <rPr>
        <b/>
        <strike/>
        <sz val="11"/>
        <color rgb="FF000000"/>
        <rFont val="Calibri"/>
        <family val="2"/>
        <scheme val="minor"/>
      </rPr>
      <t xml:space="preserve">10/29 - PCB DUE DATE / PENDING ON ITEM #46 TO BE CONFIRMED QTY. OF REF DES. 
</t>
    </r>
    <r>
      <rPr>
        <b/>
        <sz val="11"/>
        <color rgb="FF000000"/>
        <rFont val="Calibri"/>
        <family val="2"/>
        <scheme val="minor"/>
      </rPr>
      <t>10/28 - KIT CLEAR</t>
    </r>
  </si>
  <si>
    <t>129171
ROWC 124498</t>
  </si>
  <si>
    <t>10/29 - BOT 11:30</t>
  </si>
  <si>
    <t>10/29 - TOP 2:30</t>
  </si>
  <si>
    <t>10/29 - AOI 2:30</t>
  </si>
  <si>
    <t>ASHLIE</t>
  </si>
  <si>
    <r>
      <rPr>
        <b/>
        <sz val="11"/>
        <color rgb="FF000000"/>
        <rFont val="Calibri"/>
        <family val="2"/>
      </rPr>
      <t xml:space="preserve">10/24 - </t>
    </r>
    <r>
      <rPr>
        <b/>
        <strike/>
        <sz val="11"/>
        <color rgb="FF000000"/>
        <rFont val="Calibri"/>
        <family val="2"/>
      </rPr>
      <t>PCB DUE</t>
    </r>
    <r>
      <rPr>
        <b/>
        <sz val="11"/>
        <color rgb="FF000000"/>
        <rFont val="Calibri"/>
        <family val="2"/>
      </rPr>
      <t xml:space="preserve"> KIT CLEAR</t>
    </r>
  </si>
  <si>
    <t>129188 NEW</t>
  </si>
  <si>
    <t>10/25 - TOP</t>
  </si>
  <si>
    <t>10/28 - AOI 9:00</t>
  </si>
  <si>
    <t xml:space="preserve">Atomic Semiconductor
</t>
  </si>
  <si>
    <r>
      <rPr>
        <b/>
        <sz val="11"/>
        <color rgb="FF000000"/>
        <rFont val="Calibri"/>
        <family val="2"/>
      </rPr>
      <t xml:space="preserve">10/17 - </t>
    </r>
    <r>
      <rPr>
        <b/>
        <strike/>
        <sz val="11"/>
        <color rgb="FF000000"/>
        <rFont val="Calibri"/>
        <family val="2"/>
      </rPr>
      <t>WAITING FOR 1 ITEM (DC1_1..) TO CONFIRM</t>
    </r>
    <r>
      <rPr>
        <b/>
        <sz val="11"/>
        <color rgb="FF000000"/>
        <rFont val="Calibri"/>
        <family val="2"/>
      </rPr>
      <t xml:space="preserve">  KIT CLEAR</t>
    </r>
  </si>
  <si>
    <t>125151 NEW</t>
  </si>
  <si>
    <r>
      <rPr>
        <b/>
        <sz val="11"/>
        <color rgb="FFFF0000"/>
        <rFont val="Calibri"/>
        <family val="2"/>
      </rPr>
      <t xml:space="preserve">*** RUN ON LINE 3 ONLY (ALL LED'S)***
</t>
    </r>
    <r>
      <rPr>
        <b/>
        <sz val="11"/>
        <color rgb="FF000000"/>
        <rFont val="Calibri"/>
        <family val="2"/>
      </rPr>
      <t>DEPANEL</t>
    </r>
  </si>
  <si>
    <t>10/22 - TOP 12:30 QTY 1 DONE 2:30</t>
  </si>
  <si>
    <t>10/23 - AOI 8:00</t>
  </si>
  <si>
    <t xml:space="preserve">MPR Associates, Inc.
</t>
  </si>
  <si>
    <t>LYDIA</t>
  </si>
  <si>
    <r>
      <t xml:space="preserve">10/21 - SHORT 4 ITEMS (D100, P206, R200 =SMT) &amp; (P102 = T/H)
</t>
    </r>
    <r>
      <rPr>
        <b/>
        <sz val="11"/>
        <color rgb="FF000000"/>
        <rFont val="Calibri"/>
        <family val="2"/>
      </rPr>
      <t xml:space="preserve">10/28 - KIT CLEAR
</t>
    </r>
  </si>
  <si>
    <t>BOT SET UP ONLY
*NEED ITEM 34 TO START BOT SIDE
10/22 - RECV QTY 150 (75 BOARDS</t>
  </si>
  <si>
    <r>
      <rPr>
        <b/>
        <strike/>
        <sz val="11"/>
        <color rgb="FF000000"/>
        <rFont val="Calibri"/>
        <family val="2"/>
      </rPr>
      <t xml:space="preserve">FSU BOT
FSU TOP
</t>
    </r>
    <r>
      <rPr>
        <b/>
        <sz val="11"/>
        <color rgb="FF0070C0"/>
        <rFont val="Calibri"/>
        <family val="2"/>
      </rPr>
      <t xml:space="preserve">
RTR</t>
    </r>
  </si>
  <si>
    <t>129014
NEW</t>
  </si>
  <si>
    <r>
      <rPr>
        <b/>
        <sz val="14"/>
        <color rgb="FF000000"/>
        <rFont val="Calibri"/>
        <family val="2"/>
      </rPr>
      <t xml:space="preserve">10/30
</t>
    </r>
    <r>
      <rPr>
        <b/>
        <sz val="14"/>
        <color rgb="FFFF0000"/>
        <rFont val="Calibri"/>
        <family val="2"/>
      </rPr>
      <t>2D</t>
    </r>
  </si>
  <si>
    <r>
      <rPr>
        <b/>
        <sz val="16"/>
        <color rgb="FFFF0000"/>
        <rFont val="Calibri"/>
        <family val="2"/>
      </rPr>
      <t xml:space="preserve">*** 2 DAY TURN ***
</t>
    </r>
    <r>
      <rPr>
        <b/>
        <sz val="11"/>
        <color rgb="FF000000"/>
        <rFont val="Calibri"/>
        <family val="2"/>
      </rPr>
      <t>LEAD PROCESS
DEPANEL</t>
    </r>
  </si>
  <si>
    <t>10/28 - BOT 11:00</t>
  </si>
  <si>
    <r>
      <rPr>
        <b/>
        <sz val="11"/>
        <color rgb="FF000000"/>
        <rFont val="Calibri"/>
        <family val="2"/>
      </rPr>
      <t>1</t>
    </r>
    <r>
      <rPr>
        <b/>
        <strike/>
        <sz val="11"/>
        <color rgb="FF000000"/>
        <rFont val="Calibri"/>
        <family val="2"/>
      </rPr>
      <t>0/29 - TOP 8:00</t>
    </r>
  </si>
  <si>
    <t>JESSICA</t>
  </si>
  <si>
    <t>SHIPPING: XTRA TIME NEEDED FOR DEPANELING AND BAGGING</t>
  </si>
  <si>
    <r>
      <rPr>
        <b/>
        <strike/>
        <sz val="11"/>
        <color rgb="FF000000"/>
        <rFont val="Calibri"/>
        <family val="2"/>
      </rPr>
      <t xml:space="preserve">10/29 - PCB DUE DATE I SHORT S1 COVER (T/H) WITH NO ETA.
</t>
    </r>
    <r>
      <rPr>
        <b/>
        <sz val="11"/>
        <color rgb="FF000000"/>
        <rFont val="Calibri"/>
        <family val="2"/>
      </rPr>
      <t>10/18 - SMT CLEAR
10/23 - KIT CLEAR</t>
    </r>
  </si>
  <si>
    <t>"U2, U4, U6, U8" MASK OFF PADS PER ECO
*** KEEP GRIS HOLES FREE OF SOLDER PER ECO #3
FINAL QA BEFORE INSTALLING "S1" SHIELD
INSTALL SHIELD COVERS PRIOR TO SHIPPING
DEPANEL</t>
  </si>
  <si>
    <t>10/25 - TOP 8:00</t>
  </si>
  <si>
    <t>SHIPPING: FOUND MULTIPLE BOARDS WITH SOLDER ON GRIS HOLES &amp; COPPER SHOWING THROUGH BOARDS</t>
  </si>
  <si>
    <r>
      <rPr>
        <b/>
        <strike/>
        <sz val="11"/>
        <color theme="1"/>
        <rFont val="Calibri"/>
        <family val="2"/>
      </rPr>
      <t>10/9 - SHORT PCB, MP3, and U14, WAITING FOR TR#</t>
    </r>
    <r>
      <rPr>
        <b/>
        <sz val="11"/>
        <color theme="1"/>
        <rFont val="Calibri"/>
        <family val="2"/>
      </rPr>
      <t xml:space="preserve">
10/16 - KIT CLEAR</t>
    </r>
  </si>
  <si>
    <t>10/23 0 QTY 40 DONE 10:00</t>
  </si>
  <si>
    <t>128838 NEW</t>
  </si>
  <si>
    <t>10/30
10D</t>
  </si>
  <si>
    <t>LEAD PROCESS
"C38" AFTER WASH
DEPANEL</t>
  </si>
  <si>
    <t>10/22 - BOT 1:29</t>
  </si>
  <si>
    <t>10/23 - AOI 3:00</t>
  </si>
  <si>
    <t>10/16 - KIT CLEAR</t>
  </si>
  <si>
    <t>128842 NEW</t>
  </si>
  <si>
    <t>LEAD PROCESS
TRUE NO CLEAN
DEPANEL</t>
  </si>
  <si>
    <t>10/22 - BOT 12:00</t>
  </si>
  <si>
    <t>10/22 - TOP 10:00</t>
  </si>
  <si>
    <t>10/23 0 AOI 9:30</t>
  </si>
  <si>
    <r>
      <rPr>
        <b/>
        <strike/>
        <sz val="11"/>
        <color theme="1"/>
        <rFont val="Calibri"/>
        <family val="2"/>
      </rPr>
      <t xml:space="preserve">10/11 - U5 ETA BETWEEN 10/17 AND 10/21
SHORT 1 PCB - DUE 10/16
</t>
    </r>
    <r>
      <rPr>
        <b/>
        <sz val="11"/>
        <color theme="1"/>
        <rFont val="Calibri"/>
        <family val="2"/>
      </rPr>
      <t>10/16 - KIT CLEAR</t>
    </r>
  </si>
  <si>
    <t>128786 RONC 124151</t>
  </si>
  <si>
    <t>LEAD PROCESS</t>
  </si>
  <si>
    <t>10/21 - TOP 1:00 QTY 30 DONE
10/22 - QTY 142 10:00
10/22 - QTY 315 2:00</t>
  </si>
  <si>
    <t>10/23 - AOI 11:00</t>
  </si>
  <si>
    <t xml:space="preserve">Technical Maintenance &amp; Electronics Inc.
</t>
  </si>
  <si>
    <t>PCB &amp; parts ETA 10/16
10/16 - KIT CLEAR</t>
  </si>
  <si>
    <t>129016 NEW</t>
  </si>
  <si>
    <r>
      <rPr>
        <b/>
        <sz val="11"/>
        <color rgb="FF000000"/>
        <rFont val="Calibri"/>
        <family val="2"/>
      </rPr>
      <t>T/H ONLY
"</t>
    </r>
    <r>
      <rPr>
        <b/>
        <sz val="11"/>
        <color rgb="FFFF0000"/>
        <rFont val="Calibri"/>
        <family val="2"/>
      </rPr>
      <t xml:space="preserve">IC3" COMPONENT REQUIRES LABEL W/ MFG DATE PER ECO
</t>
    </r>
    <r>
      <rPr>
        <b/>
        <sz val="11"/>
        <color rgb="FF000000"/>
        <rFont val="Calibri"/>
        <family val="2"/>
      </rPr>
      <t>*** "IC3 &amp; C1" ARE BTD ***</t>
    </r>
  </si>
  <si>
    <t>*IF THERE IS SHORTAGE OF IC3 and C1 , PLEASE BUILD TO DEPLETION ON on IC3 and C1.</t>
  </si>
  <si>
    <r>
      <rPr>
        <b/>
        <strike/>
        <sz val="11"/>
        <color theme="1"/>
        <rFont val="Calibri"/>
        <family val="2"/>
      </rPr>
      <t>10/16 - 10/23 PCB DUE</t>
    </r>
    <r>
      <rPr>
        <b/>
        <sz val="11"/>
        <color theme="1"/>
        <rFont val="Calibri"/>
        <family val="2"/>
      </rPr>
      <t xml:space="preserve">
10/21 - KIT CLEAR</t>
    </r>
  </si>
  <si>
    <t>128669-1st NEW</t>
  </si>
  <si>
    <t>CUI
"U41" MANDATORY NO CLEAN PER ECO
"FX1, FX2" DNI - SHIP pARTS WITH 1ST ARTICLE PCBA'S</t>
  </si>
  <si>
    <t>10/22 - BOT 10:00</t>
  </si>
  <si>
    <t>10/22 - TOP 12:30</t>
  </si>
  <si>
    <t>10/22 - AOI 1:31</t>
  </si>
  <si>
    <t>DOC REL 9/27</t>
  </si>
  <si>
    <r>
      <rPr>
        <b/>
        <strike/>
        <sz val="11"/>
        <color theme="1"/>
        <rFont val="Calibri"/>
        <family val="2"/>
      </rPr>
      <t>8/30 - PCB DUE
9/23 - EXPECTED CLEAR BY DATE</t>
    </r>
    <r>
      <rPr>
        <b/>
        <sz val="11"/>
        <color theme="1"/>
        <rFont val="Calibri"/>
        <family val="2"/>
      </rPr>
      <t xml:space="preserve">
9/27 - KIT CLEAR</t>
    </r>
  </si>
  <si>
    <t>124348 RONC 120828</t>
  </si>
  <si>
    <t>10/25
20D</t>
  </si>
  <si>
    <t>CLASS 3
*PLEASE IDENTIFY ANY "DNI" LOCATIONS WITH YELLOW ARROWS. SEGREGATE AND IDENTIFY ESD BAGS (DNI) PRIOR TO SHIPPING</t>
  </si>
  <si>
    <t>9/24 - BOT 8:30
9/25 - PAUSE 6:00
9/25 - BOT 12:00
9/26 - PAUSE 11:00
9/27 - BOT 6:00</t>
  </si>
  <si>
    <t>9/27 - TOP 12:00
9/28 - PAUSE 2:30
10/8 - TOP 9:00
10/10 - PAUSE
10/15 - TOP 2:00</t>
  </si>
  <si>
    <t>10/16 - AOI 11:00</t>
  </si>
  <si>
    <t>9/25 - 100 BOARDS BOT COMP (6 AM)
9/27 - BOT COMP (19.5 HRS)
9/28 - 109 BOARDS TOP COMP (2PM)</t>
  </si>
  <si>
    <r>
      <rPr>
        <b/>
        <strike/>
        <sz val="11"/>
        <color theme="1"/>
        <rFont val="Calibri"/>
        <family val="2"/>
      </rPr>
      <t xml:space="preserve">10/9 - SHORT PCB WITH NO ETA
10/17 - PCB DUE
</t>
    </r>
    <r>
      <rPr>
        <b/>
        <sz val="11"/>
        <color theme="1"/>
        <rFont val="Calibri"/>
        <family val="2"/>
      </rPr>
      <t>10/11 - KIT CLEAR</t>
    </r>
  </si>
  <si>
    <t>128640 ROWC 96858</t>
  </si>
  <si>
    <t>10/25
10D</t>
  </si>
  <si>
    <r>
      <rPr>
        <b/>
        <sz val="11"/>
        <color rgb="FFFF0000"/>
        <rFont val="Calibri"/>
        <family val="2"/>
      </rPr>
      <t>***QUALITY ALERT -</t>
    </r>
    <r>
      <rPr>
        <b/>
        <sz val="11"/>
        <color rgb="FF000000"/>
        <rFont val="Calibri"/>
        <family val="2"/>
      </rPr>
      <t xml:space="preserve"> PREVIOUS BUILD B96858 - "J21 J11 J15 J22 J20 J18 J12 J25 J9 J6 J2 J8" WERE INSTALLED BACKWARDS. </t>
    </r>
    <r>
      <rPr>
        <b/>
        <sz val="11"/>
        <color rgb="FFFF0000"/>
        <rFont val="Calibri"/>
        <family val="2"/>
      </rPr>
      <t xml:space="preserve">*** SEE "ARC_BOARD_CONNECTOR_ORIENTATION.PDF FOR REFERENCE
</t>
    </r>
    <r>
      <rPr>
        <b/>
        <sz val="11"/>
        <color rgb="FF000000"/>
        <rFont val="Calibri"/>
        <family val="2"/>
      </rPr>
      <t>"BUZ1, LCD1" AFTER WASH
INSTALL MATING PARTS TO THE "J" CONNECTORS</t>
    </r>
  </si>
  <si>
    <t>10/15 - BOT 6:00</t>
  </si>
  <si>
    <t>10/15 - TOP 10:00</t>
  </si>
  <si>
    <t>10/18 - AOI 1:30</t>
  </si>
  <si>
    <t>Rheem Manufacturing Company</t>
  </si>
  <si>
    <r>
      <rPr>
        <b/>
        <strike/>
        <sz val="11"/>
        <color theme="1"/>
        <rFont val="Calibri"/>
        <family val="2"/>
      </rPr>
      <t>10/11 - SHORT C3, U7, U29 WITH NO  ETA | CONFIRM IF U30 OKAY TO USE.
10/17 - KIT CLEAR WITH PENDING ON U30 TO BE CONFIRM</t>
    </r>
    <r>
      <rPr>
        <b/>
        <sz val="11"/>
        <color theme="1"/>
        <rFont val="Calibri"/>
        <family val="2"/>
      </rPr>
      <t>. 
*BUILD TO DEPLETION ON U29.</t>
    </r>
  </si>
  <si>
    <t>128764 NEW</t>
  </si>
  <si>
    <r>
      <rPr>
        <b/>
        <sz val="11"/>
        <color rgb="FFFF0000"/>
        <rFont val="Calibri"/>
        <family val="2"/>
      </rPr>
      <t xml:space="preserve">***(CUI) DPAS RATING DO-A7***
</t>
    </r>
    <r>
      <rPr>
        <b/>
        <sz val="11"/>
        <color rgb="FF000000"/>
        <rFont val="Calibri"/>
        <family val="2"/>
      </rPr>
      <t xml:space="preserve">LEAD FREE PROCESS
NO ADDITIONAL VENDOR MARKS ALLLWED
</t>
    </r>
    <r>
      <rPr>
        <b/>
        <sz val="11"/>
        <color rgb="FFFF0000"/>
        <rFont val="Calibri"/>
        <family val="2"/>
      </rPr>
      <t xml:space="preserve">"U30" USE MARKING AED/BAC+ 
"U29" IS BTD
</t>
    </r>
    <r>
      <rPr>
        <b/>
        <sz val="11"/>
        <color rgb="FF000000"/>
        <rFont val="Calibri"/>
        <family val="2"/>
      </rPr>
      <t>DEPANEL &amp; SAND</t>
    </r>
  </si>
  <si>
    <t>10/21 - BOT 1:00</t>
  </si>
  <si>
    <t>10/22 - TOP 6:00</t>
  </si>
  <si>
    <t>10/22 - AOI 9:00</t>
  </si>
  <si>
    <t>XTRA DOC</t>
  </si>
  <si>
    <t>clear 4/1</t>
  </si>
  <si>
    <t>4/1 - kit clear</t>
  </si>
  <si>
    <t>4/1 - ship 4/8 (Tad)</t>
  </si>
  <si>
    <r>
      <rPr>
        <b/>
        <sz val="14"/>
        <color rgb="FF000000"/>
        <rFont val="Calibri"/>
      </rPr>
      <t>FPGA-SJTAG1-1.C.2
RONC 121565
(</t>
    </r>
    <r>
      <rPr>
        <b/>
        <sz val="14"/>
        <color rgb="FFFF0000"/>
        <rFont val="Calibri"/>
      </rPr>
      <t>DoD-ITAR-CUI</t>
    </r>
    <r>
      <rPr>
        <b/>
        <sz val="14"/>
        <color rgb="FF000000"/>
        <rFont val="Calibri"/>
      </rPr>
      <t>)</t>
    </r>
  </si>
  <si>
    <r>
      <t xml:space="preserve">04/08
</t>
    </r>
    <r>
      <rPr>
        <b/>
        <strike/>
        <sz val="14"/>
        <color rgb="FF000000"/>
        <rFont val="Calibri"/>
      </rPr>
      <t>15D</t>
    </r>
  </si>
  <si>
    <r>
      <rPr>
        <b/>
        <u/>
        <sz val="11"/>
        <color rgb="FF000000"/>
        <rFont val="Calibri"/>
      </rPr>
      <t xml:space="preserve">EXPEDITE </t>
    </r>
    <r>
      <rPr>
        <b/>
        <sz val="11"/>
        <color rgb="FF000000"/>
        <rFont val="Calibri"/>
      </rPr>
      <t>(TAD)
CLASS 3
leaded wash
no post-bake, dessicant or HID req
do not cut bags</t>
    </r>
  </si>
  <si>
    <t>4/3 - 8:30</t>
  </si>
  <si>
    <t>TBD</t>
  </si>
  <si>
    <t>UNO</t>
  </si>
  <si>
    <t>4/1</t>
  </si>
  <si>
    <t>R
C</t>
  </si>
  <si>
    <r>
      <rPr>
        <b/>
        <sz val="11"/>
        <color rgb="FF000000"/>
        <rFont val="Calibri"/>
      </rPr>
      <t xml:space="preserve">3/31 - ship date 4/6 (Trinh)
3/23 - change SMT process
1/28 - </t>
    </r>
    <r>
      <rPr>
        <b/>
        <strike/>
        <sz val="11"/>
        <color rgb="FF000000"/>
        <rFont val="Calibri"/>
      </rPr>
      <t>awt FA approval</t>
    </r>
  </si>
  <si>
    <r>
      <rPr>
        <b/>
        <sz val="14"/>
        <color rgb="FF000000"/>
        <rFont val="Calibri"/>
      </rPr>
      <t xml:space="preserve">OCTO-FPGA-A2_REV.4.A.1-BAL
ROWC 1st Article
</t>
    </r>
    <r>
      <rPr>
        <b/>
        <sz val="14"/>
        <color rgb="FFFF0000"/>
        <rFont val="Calibri"/>
      </rPr>
      <t>(CUI/ITAR)</t>
    </r>
  </si>
  <si>
    <r>
      <rPr>
        <b/>
        <sz val="14"/>
        <color rgb="FF000000"/>
        <rFont val="Calibri"/>
      </rPr>
      <t xml:space="preserve">04/06
</t>
    </r>
    <r>
      <rPr>
        <b/>
        <strike/>
        <sz val="14"/>
        <color rgb="FF000000"/>
        <rFont val="Calibri"/>
      </rPr>
      <t xml:space="preserve">04/01
</t>
    </r>
    <r>
      <rPr>
        <b/>
        <sz val="14"/>
        <color rgb="FF000000"/>
        <rFont val="Calibri"/>
      </rPr>
      <t>10D</t>
    </r>
  </si>
  <si>
    <t>ALERT! J4 alignment issues in the past
Lead-Free Clean
*** 48 After Wash parts CHANGED TO WASH (ITEMS 99, 100, 101, 102)
XRAY &amp; Save Images
100% photos required
post-bake: 36-48 Hours @ 125°C</t>
  </si>
  <si>
    <t>3/30 - 10:00</t>
  </si>
  <si>
    <t>12/4
4/2</t>
  </si>
  <si>
    <t>confirm s/n 21 through 53
label location in white square</t>
  </si>
  <si>
    <t>post bake</t>
  </si>
  <si>
    <r>
      <t xml:space="preserve">clear 2/26
</t>
    </r>
    <r>
      <rPr>
        <b/>
        <strike/>
        <sz val="11"/>
        <color rgb="FF000000"/>
        <rFont val="Calibri"/>
      </rPr>
      <t>2/24 - PCB'S DUE 2/26</t>
    </r>
  </si>
  <si>
    <r>
      <t xml:space="preserve">2/26 - short 1 pc due 2/27
</t>
    </r>
    <r>
      <rPr>
        <b/>
        <strike/>
        <sz val="11"/>
        <color rgb="FF000000"/>
        <rFont val="Calibri"/>
      </rPr>
      <t>2/24 - SHOULD BE KIT CLEAR 2/25</t>
    </r>
  </si>
  <si>
    <t>1/28 - awt FA approval</t>
  </si>
  <si>
    <r>
      <rPr>
        <b/>
        <sz val="14"/>
        <color rgb="FF000000"/>
        <rFont val="Calibri"/>
      </rPr>
      <t>QUAD-H1-TEST4-1.A.1
NEW</t>
    </r>
    <r>
      <rPr>
        <b/>
        <sz val="14"/>
        <color rgb="FF156082"/>
        <rFont val="Calibri"/>
      </rPr>
      <t xml:space="preserve"> </t>
    </r>
    <r>
      <rPr>
        <b/>
        <sz val="14"/>
        <color rgb="FFFF0000"/>
        <rFont val="Calibri"/>
      </rPr>
      <t>(AS9100-ITAR-CUI)</t>
    </r>
  </si>
  <si>
    <t>CLASS 3
Lead-Free WASH
post-bake WAIVED</t>
  </si>
  <si>
    <t>2/28 - 6:00</t>
  </si>
  <si>
    <t xml:space="preserve">2/12-CLEAR </t>
  </si>
  <si>
    <t>RWK-BATCH #11</t>
  </si>
  <si>
    <t>(CUI)
15835
15836
15837
15838
15839
15840
15841
15842
15843</t>
  </si>
  <si>
    <t>2/26
10D</t>
  </si>
  <si>
    <t xml:space="preserve">OCTO-FPGA-A1_SN036
OCTO-FPGA-A1_SN101
OCTO-FPGA-A1_SN293
OCTO-FPGA-A1_SN363
OCTO-FPGA-A1_SN397
OCTO-FPGA-A1_SN022
OCTO-FPGA-A1_SN029
OCTO-FPGA-A1_SN048
OCTO-QUAD-N1_303
</t>
  </si>
  <si>
    <t>FEDEX</t>
  </si>
  <si>
    <t>UNIVERSITY OF OKLAHOMA</t>
  </si>
  <si>
    <t xml:space="preserve">2/11-CLEAR </t>
  </si>
  <si>
    <t>RWK-BATCH #10</t>
  </si>
  <si>
    <t>(CUI)
15824
15825
15826
15827
15828
15829
15830
15831</t>
  </si>
  <si>
    <t>2/25
10D</t>
  </si>
  <si>
    <t>OCTO-QUAD-D1_SN#088
OCTO-QUAD-D1_SN#116
OCTO-QUAD-D1_SN#227
OCTO-QUAD-D1_SN#379
OCTO-QUAD-D1_SN#355
OCTO-QUAD-D1_SN#485
OCTO-FPGA-A1_SN#621
OCTO-FPGA-A1_SN#667</t>
  </si>
  <si>
    <t>RWK-BATCH #9</t>
  </si>
  <si>
    <t>(CUI)
15807
15808
15809
15810
15811
15812
15813
15814</t>
  </si>
  <si>
    <t>OCTO-QUAD-D1_SN#013
OCTO-QUAD-D1_SN#096
OCTO-QUAD-D1_SN#152
OCTO-QUAD-D1_SN#228
OCTO-QUAD-D1_SN#235
OCTO-QUAD-D1_SN#276
OCTO-FPGA-A1_SN#040
OCTO-FPGA-A1_SN#544</t>
  </si>
  <si>
    <r>
      <t xml:space="preserve">clear 2/11
</t>
    </r>
    <r>
      <rPr>
        <b/>
        <strike/>
        <sz val="11"/>
        <color rgb="FF000000"/>
        <rFont val="Calibri"/>
      </rPr>
      <t>1/28 - ETA 2/16</t>
    </r>
  </si>
  <si>
    <t>2/2 - matl clear</t>
  </si>
  <si>
    <r>
      <rPr>
        <b/>
        <sz val="14"/>
        <color rgb="FF000000"/>
        <rFont val="Calibri"/>
      </rPr>
      <t xml:space="preserve">OCTO-QUAD-H1_REV.2.B.4 (ACE PCB)-2
</t>
    </r>
    <r>
      <rPr>
        <b/>
        <sz val="14"/>
        <color rgb="FF156082"/>
        <rFont val="Calibri"/>
      </rPr>
      <t xml:space="preserve"> </t>
    </r>
    <r>
      <rPr>
        <b/>
        <sz val="14"/>
        <color rgb="FFFF0000"/>
        <rFont val="Calibri"/>
      </rPr>
      <t>(CUI/ITAR)</t>
    </r>
  </si>
  <si>
    <r>
      <rPr>
        <b/>
        <sz val="11"/>
        <color rgb="FFFF0000"/>
        <rFont val="Calibri"/>
      </rPr>
      <t xml:space="preserve">QUALITY ALERT!
CLASS 3
</t>
    </r>
    <r>
      <rPr>
        <b/>
        <sz val="11"/>
        <color rgb="FF000000"/>
        <rFont val="Calibri"/>
      </rPr>
      <t xml:space="preserve">LEAD-FREE </t>
    </r>
    <r>
      <rPr>
        <b/>
        <sz val="11"/>
        <color rgb="FF0070C0"/>
        <rFont val="Calibri"/>
      </rPr>
      <t xml:space="preserve">WASH
</t>
    </r>
    <r>
      <rPr>
        <b/>
        <sz val="11"/>
        <color rgb="FF000000"/>
        <rFont val="Calibri"/>
      </rPr>
      <t>PREBAKE PCBs 36 hrs, 125C.
PRE-BAKE: C329A,C329B...
POSTBAKE PCBAs 36 hrs, 125C
Place after wash L7F, L7A..L7E
XRAY &amp; Save Images
100% photos required
All OCTO-QUAD-H1_2.B.4 are same, only order FAB from (</t>
    </r>
    <r>
      <rPr>
        <b/>
        <sz val="11"/>
        <color rgb="FFFF0000"/>
        <rFont val="Calibri"/>
      </rPr>
      <t>ACE PCB</t>
    </r>
    <r>
      <rPr>
        <b/>
        <sz val="11"/>
        <color rgb="FF000000"/>
        <rFont val="Calibri"/>
      </rPr>
      <t>)
Ship w/ HID &amp; dessicant</t>
    </r>
  </si>
  <si>
    <t>2/14 - 6:00</t>
  </si>
  <si>
    <t>12/4
2/26</t>
  </si>
  <si>
    <t>2/11-CLEAR</t>
  </si>
  <si>
    <t>RWK-BATCH #12</t>
  </si>
  <si>
    <t>(CUI)
15832</t>
  </si>
  <si>
    <t>2/18
2/25
10D</t>
  </si>
  <si>
    <r>
      <rPr>
        <b/>
        <u/>
        <sz val="14"/>
        <color rgb="FFFF0000"/>
        <rFont val="Calibri"/>
      </rPr>
      <t xml:space="preserve">*** EXPEDITE (SHIP FIRST - BEFORE ALL OTHER BATCHES)
</t>
    </r>
    <r>
      <rPr>
        <b/>
        <sz val="14"/>
        <color rgb="FF000000"/>
        <rFont val="Calibri"/>
      </rPr>
      <t xml:space="preserve">OCTO-QUAD-H1_SN#001
</t>
    </r>
    <r>
      <rPr>
        <b/>
        <sz val="14"/>
        <color rgb="FFFF0000"/>
        <rFont val="Calibri"/>
      </rPr>
      <t>*Return ADM1272 that is removed from board as well as leftover ADM1273 parts when shipping board back</t>
    </r>
  </si>
  <si>
    <r>
      <t xml:space="preserve">2/2-CLEAR
</t>
    </r>
    <r>
      <rPr>
        <b/>
        <strike/>
        <sz val="11"/>
        <color rgb="FF000000"/>
        <rFont val="Calibri"/>
        <family val="2"/>
      </rPr>
      <t>1/29-SHORT BOARDS AND PARTS</t>
    </r>
  </si>
  <si>
    <t>RWK-BATCH #7</t>
  </si>
  <si>
    <t>(CUI)
15744
15745
15746
15747
15748
15749
15750
15751</t>
  </si>
  <si>
    <t>2/17*
10D</t>
  </si>
  <si>
    <t>OCTO-FPGA-A1-SN#127
OCTO-QUAD-D1-SN#158
OCTO-QUAD-D1-SN#216
OCTO-QUAD-D1-SN#223
OCTO-QUAD-D1-SN#244
OCTO-QUAD-D1-SN#309
OCTO-QUAD-D1-SN#363
OCTO-QUAD-N1-SN#019</t>
  </si>
  <si>
    <t>RWK-BATCH #8</t>
  </si>
  <si>
    <t>(CUI)
15752
15753
15754
15755
15756
15757
15758
15759</t>
  </si>
  <si>
    <t>OCTO-QUAD-D1-SN#056
OCTO-QUAD-D1-SN#068
OCTO-QUAD-D1-SN#102
OCTO-QUAD-D1-SN#265
OCTO-QUAD-D1-SN#281
OCTO-QUAD-D1-SN#348
OCTO-QUAD-N1-SN#087
OCTO-QUAD-N1-SN#095</t>
  </si>
  <si>
    <t>21149-01
REBALL</t>
  </si>
  <si>
    <t>01/29
5D</t>
  </si>
  <si>
    <t>PREBAKE NEW PARTS 24 HRS
REBALL QTY 24 - SN74LVTH162244KR
REBALL W/ LEADFREE
VACUUM SEAL</t>
  </si>
  <si>
    <t>21149-01
REWORK</t>
  </si>
  <si>
    <t>PREBAKE NEW PARTS 24 HRS
REMOVE &amp; REPLACE "U3 &amp; RELATED X16"
REBALL W/ LEADFREE
REPLACE W/ REBALLED PARTS</t>
  </si>
  <si>
    <t>1/9 CLEAR</t>
  </si>
  <si>
    <t>RWK-BATCH #4</t>
  </si>
  <si>
    <r>
      <rPr>
        <b/>
        <sz val="14"/>
        <color rgb="FFFF0000"/>
        <rFont val="Calibri"/>
        <family val="2"/>
      </rPr>
      <t xml:space="preserve">(CUI)
</t>
    </r>
    <r>
      <rPr>
        <b/>
        <sz val="14"/>
        <color rgb="FF000000"/>
        <rFont val="Calibri"/>
        <family val="2"/>
      </rPr>
      <t>15669
15670
15671
15672
15673
15674
15675
15676</t>
    </r>
  </si>
  <si>
    <t>1
1
1
1
1
1
1
1</t>
  </si>
  <si>
    <t>1/23
10D</t>
  </si>
  <si>
    <t>UNO_OCTO-FPGA-A1_2.B.1
SN-165
SN-173
SN-199
SN-312
SN-342
SN-382
SN-486
SN-704</t>
  </si>
  <si>
    <t>1/9 clear</t>
  </si>
  <si>
    <t>RWK-BATCH #5</t>
  </si>
  <si>
    <r>
      <rPr>
        <b/>
        <sz val="14"/>
        <color rgb="FFFF0000"/>
        <rFont val="Calibri"/>
        <family val="2"/>
      </rPr>
      <t xml:space="preserve">(CUI)
</t>
    </r>
    <r>
      <rPr>
        <b/>
        <sz val="14"/>
        <color rgb="FF000000"/>
        <rFont val="Calibri"/>
        <family val="2"/>
      </rPr>
      <t>15682
15683
15684
15685
15686
15687
15688
15689</t>
    </r>
  </si>
  <si>
    <t>OCTO-QUAD-N1_3.B.1
SN-092
SN-100
SN-104
SN-314
SN-317
SN-346
SN-357
SN-358</t>
  </si>
  <si>
    <t>1/13 CLEAR</t>
  </si>
  <si>
    <r>
      <rPr>
        <b/>
        <sz val="11"/>
        <color rgb="FF000000"/>
        <rFont val="Calibri"/>
        <family val="2"/>
      </rPr>
      <t>1/13</t>
    </r>
    <r>
      <rPr>
        <b/>
        <strike/>
        <sz val="11"/>
        <color rgb="FF000000"/>
        <rFont val="Calibri"/>
        <family val="2"/>
      </rPr>
      <t>-pending on 2 parts</t>
    </r>
  </si>
  <si>
    <t>RWK-BATCH #6</t>
  </si>
  <si>
    <r>
      <rPr>
        <b/>
        <sz val="14"/>
        <color rgb="FFFF0000"/>
        <rFont val="Calibri"/>
        <family val="2"/>
      </rPr>
      <t xml:space="preserve">(CUI)
</t>
    </r>
    <r>
      <rPr>
        <b/>
        <sz val="14"/>
        <color rgb="FF000000"/>
        <rFont val="Calibri"/>
        <family val="2"/>
      </rPr>
      <t>15699
15700
15701
15702
15703
15704
15705
15706</t>
    </r>
  </si>
  <si>
    <r>
      <rPr>
        <b/>
        <sz val="14"/>
        <color rgb="FF000000"/>
        <rFont val="Calibri"/>
        <family val="2"/>
      </rPr>
      <t xml:space="preserve">1/23
</t>
    </r>
    <r>
      <rPr>
        <b/>
        <strike/>
        <sz val="14"/>
        <color rgb="FF000000"/>
        <rFont val="Calibri"/>
        <family val="2"/>
      </rPr>
      <t xml:space="preserve">1/27
</t>
    </r>
    <r>
      <rPr>
        <b/>
        <sz val="14"/>
        <color rgb="FF000000"/>
        <rFont val="Calibri"/>
        <family val="2"/>
      </rPr>
      <t>10D</t>
    </r>
  </si>
  <si>
    <t>UNO_OCTO-FPGA-A1.2.B.1
SN-230
SN-241
SN-254
SN-442
SN-550
SN-711
OCTO-QUAD-D1_SN-303
OCTO-QUAD-N1_SN-285</t>
  </si>
  <si>
    <r>
      <t xml:space="preserve">clear 1/9
</t>
    </r>
    <r>
      <rPr>
        <b/>
        <strike/>
        <sz val="11"/>
        <color rgb="FF000000"/>
        <rFont val="Calibri"/>
        <family val="2"/>
      </rPr>
      <t>SHORT, ETA 1/6, 12/23</t>
    </r>
  </si>
  <si>
    <r>
      <rPr>
        <b/>
        <sz val="11"/>
        <color rgb="FF000000"/>
        <rFont val="Calibri"/>
        <family val="2"/>
      </rPr>
      <t xml:space="preserve">01/8 - CLEAR
</t>
    </r>
    <r>
      <rPr>
        <b/>
        <strike/>
        <sz val="11"/>
        <color rgb="FFFF0000"/>
        <rFont val="Calibri"/>
        <family val="2"/>
      </rPr>
      <t xml:space="preserve">12/17 - PARTIAL SHORT 'MT40A1G16TB-062E IT:F TR - QTY 10 PER (99 IN HOUSE) - ETA 1/6/26
</t>
    </r>
    <r>
      <rPr>
        <b/>
        <strike/>
        <sz val="11"/>
        <color rgb="FF000000"/>
        <rFont val="Calibri"/>
        <family val="2"/>
      </rPr>
      <t>12/4 -SHORT MAT, WILL UPDATE NEXT FEW DAYS</t>
    </r>
  </si>
  <si>
    <t>1/12 - stencil issue
1/9 - run bottom only</t>
  </si>
  <si>
    <r>
      <rPr>
        <b/>
        <sz val="14"/>
        <color rgb="FF000000"/>
        <rFont val="Calibri"/>
      </rPr>
      <t>OCTO-FPGA-A2_REV.4.A.1-FA
NEW</t>
    </r>
    <r>
      <rPr>
        <b/>
        <sz val="14"/>
        <color rgb="FF156082"/>
        <rFont val="Calibri"/>
      </rPr>
      <t xml:space="preserve"> </t>
    </r>
    <r>
      <rPr>
        <b/>
        <sz val="14"/>
        <color rgb="FFFF0000"/>
        <rFont val="Calibri"/>
      </rPr>
      <t>(CUI/ITAR)</t>
    </r>
  </si>
  <si>
    <r>
      <rPr>
        <b/>
        <sz val="14"/>
        <color rgb="FF000000"/>
        <rFont val="Calibri"/>
        <family val="2"/>
      </rPr>
      <t xml:space="preserve">01/22
</t>
    </r>
    <r>
      <rPr>
        <b/>
        <strike/>
        <sz val="14"/>
        <color rgb="FF000000"/>
        <rFont val="Calibri"/>
        <family val="2"/>
      </rPr>
      <t xml:space="preserve">01/20
</t>
    </r>
    <r>
      <rPr>
        <b/>
        <sz val="14"/>
        <color rgb="FF000000"/>
        <rFont val="Calibri"/>
        <family val="2"/>
      </rPr>
      <t>10D</t>
    </r>
  </si>
  <si>
    <t>ALERT! J4 alignment issues in the past
Lead-Free Clean
See ECO for After Wash parts
XRAY &amp; Save Images
100% photos required
pre-bake 36 hours req
post-bake: 36-48 Hours @ 125°C
ship w/ HID &amp; dessicant</t>
  </si>
  <si>
    <t>1/12 - 6:00</t>
  </si>
  <si>
    <t>1/17 - 2:30</t>
  </si>
  <si>
    <t>12/4
1/23</t>
  </si>
  <si>
    <r>
      <t xml:space="preserve">clear 1/12
</t>
    </r>
    <r>
      <rPr>
        <b/>
        <strike/>
        <sz val="11"/>
        <color rgb="FF000000"/>
        <rFont val="Calibri"/>
        <family val="2"/>
      </rPr>
      <t>short due 1/12
12/17 - ETA 1/5</t>
    </r>
  </si>
  <si>
    <r>
      <t xml:space="preserve">1/12 - matl clear for qty 8
</t>
    </r>
    <r>
      <rPr>
        <b/>
        <strike/>
        <sz val="11"/>
        <color rgb="FF000000"/>
        <rFont val="Calibri"/>
        <family val="2"/>
      </rPr>
      <t>1/8 -Short AMP9A, AMP7A, AT9A</t>
    </r>
  </si>
  <si>
    <t>1/7 - expedite if possible
12/18 - priority UNO job</t>
  </si>
  <si>
    <r>
      <rPr>
        <b/>
        <sz val="14"/>
        <color rgb="FF000000"/>
        <rFont val="Calibri"/>
        <family val="2"/>
      </rPr>
      <t xml:space="preserve">OCTO-QUAD-H1_REV.2.B.4 (ACE PCB)-1
</t>
    </r>
    <r>
      <rPr>
        <b/>
        <sz val="14"/>
        <color rgb="FF156082"/>
        <rFont val="Calibri"/>
        <family val="2"/>
      </rPr>
      <t xml:space="preserve"> </t>
    </r>
    <r>
      <rPr>
        <b/>
        <sz val="14"/>
        <color rgb="FFFF0000"/>
        <rFont val="Calibri"/>
        <family val="2"/>
      </rPr>
      <t>(CUI/ITAR)</t>
    </r>
  </si>
  <si>
    <r>
      <rPr>
        <b/>
        <sz val="11"/>
        <color rgb="FFFF0000"/>
        <rFont val="Calibri"/>
        <family val="2"/>
      </rPr>
      <t xml:space="preserve">QUALITY ALERT!
CLASS 3
</t>
    </r>
    <r>
      <rPr>
        <b/>
        <sz val="11"/>
        <color rgb="FF000000"/>
        <rFont val="Calibri"/>
        <family val="2"/>
      </rPr>
      <t xml:space="preserve">LEAD-FREE </t>
    </r>
    <r>
      <rPr>
        <b/>
        <sz val="11"/>
        <color rgb="FF0070C0"/>
        <rFont val="Calibri"/>
        <family val="2"/>
      </rPr>
      <t xml:space="preserve">WASH
</t>
    </r>
    <r>
      <rPr>
        <b/>
        <sz val="11"/>
        <color rgb="FF000000"/>
        <rFont val="Calibri"/>
        <family val="2"/>
      </rPr>
      <t>PREBAKE PCBs 36 hrs, 125C.
PRE-BAKE: C329A,C329B...
POSTBAKE PCBAs 36 hrs, 125C
Place after wash L7F, L7A..L7E
XRAY &amp; Save Images
100% photos required
All OCTO-QUAD-H1_2.B.4 are same, only order FAB from (</t>
    </r>
    <r>
      <rPr>
        <b/>
        <sz val="11"/>
        <color rgb="FFFF0000"/>
        <rFont val="Calibri"/>
        <family val="2"/>
      </rPr>
      <t>ACE PCB</t>
    </r>
    <r>
      <rPr>
        <b/>
        <sz val="11"/>
        <color rgb="FF000000"/>
        <rFont val="Calibri"/>
        <family val="2"/>
      </rPr>
      <t>)
Ship w/ HID &amp; dessicant</t>
    </r>
  </si>
  <si>
    <t>1/14 - 5:00</t>
  </si>
  <si>
    <t>1/14 - 8:30</t>
  </si>
  <si>
    <t>1/15 - 1:00</t>
  </si>
  <si>
    <r>
      <t xml:space="preserve">clear 1/5
</t>
    </r>
    <r>
      <rPr>
        <b/>
        <strike/>
        <sz val="11"/>
        <color rgb="FF000000"/>
        <rFont val="Calibri"/>
        <family val="2"/>
      </rPr>
      <t>12/10 - ETA 1/2/26</t>
    </r>
  </si>
  <si>
    <r>
      <t xml:space="preserve">1/5 - kit clear
</t>
    </r>
    <r>
      <rPr>
        <b/>
        <strike/>
        <sz val="11"/>
        <color rgb="FF000000"/>
        <rFont val="Calibri"/>
        <family val="2"/>
      </rPr>
      <t>12/10 - short matl</t>
    </r>
  </si>
  <si>
    <r>
      <rPr>
        <b/>
        <sz val="14"/>
        <color rgb="FF000000"/>
        <rFont val="Calibri"/>
        <family val="2"/>
      </rPr>
      <t xml:space="preserve">DBRG-MAIN2_4.A.1
</t>
    </r>
    <r>
      <rPr>
        <b/>
        <sz val="14"/>
        <color rgb="FFFF0000"/>
        <rFont val="Calibri"/>
        <family val="2"/>
      </rPr>
      <t>(CUI/ITAR)</t>
    </r>
  </si>
  <si>
    <t>QTY 20 PCB'S ORDERED -  QTY 4 BARE PCB SHIP TO CUST / QTY 16 FOR ASSY
Class 3
Leaded Wash
pre-bake MSL 2 or above
pre-bake boards 36 hrs @125C
post-bake boards 36 hrs @125C
AOI &amp; XRAY REQUIRED
100% PHOTOS REQUIRED
ship w/dessicant &amp; HID</t>
  </si>
  <si>
    <t>1/8
6:00</t>
  </si>
  <si>
    <t>12/10
1/19</t>
  </si>
  <si>
    <t>pre-bake
J3 &amp; J4 overhangs?</t>
  </si>
  <si>
    <t>clear 12/18</t>
  </si>
  <si>
    <t>12/18- CLEAR</t>
  </si>
  <si>
    <t>12/18 - FIXTURE DUE 12/23</t>
  </si>
  <si>
    <r>
      <rPr>
        <b/>
        <sz val="14"/>
        <color rgb="FF000000"/>
        <rFont val="Calibri"/>
        <family val="2"/>
      </rPr>
      <t xml:space="preserve">RCLK-TEST1-1.A.2
</t>
    </r>
    <r>
      <rPr>
        <b/>
        <sz val="14"/>
        <color rgb="FFFF0000"/>
        <rFont val="Calibri"/>
        <family val="2"/>
      </rPr>
      <t>(CUI)</t>
    </r>
  </si>
  <si>
    <r>
      <rPr>
        <b/>
        <sz val="11"/>
        <color rgb="FFFF0000"/>
        <rFont val="Calibri"/>
        <family val="2"/>
      </rPr>
      <t xml:space="preserve">PREBAKE PCB FOR 125°C FOR 24 HRS
</t>
    </r>
    <r>
      <rPr>
        <b/>
        <sz val="11"/>
        <color rgb="FFC00000"/>
        <rFont val="Calibri"/>
        <family val="2"/>
      </rPr>
      <t>LEADED,</t>
    </r>
    <r>
      <rPr>
        <b/>
        <sz val="11"/>
        <color rgb="FF00B0F0"/>
        <rFont val="Calibri"/>
        <family val="2"/>
      </rPr>
      <t xml:space="preserve"> WASH</t>
    </r>
    <r>
      <rPr>
        <b/>
        <sz val="11"/>
        <color rgb="FF000000"/>
        <rFont val="Calibri"/>
        <family val="2"/>
      </rPr>
      <t xml:space="preserve">, </t>
    </r>
    <r>
      <rPr>
        <b/>
        <sz val="11"/>
        <color rgb="FFFF0000"/>
        <rFont val="Calibri"/>
        <family val="2"/>
      </rPr>
      <t>CLASS 3</t>
    </r>
  </si>
  <si>
    <t>12/23 - 12:00</t>
  </si>
  <si>
    <t>Fedex</t>
  </si>
  <si>
    <t>DOC REL 12/16</t>
  </si>
  <si>
    <t>12/18
1/06</t>
  </si>
  <si>
    <t>clear 12/19</t>
  </si>
  <si>
    <t>RWK-BATCH #3</t>
  </si>
  <si>
    <t>15635
15636
15637
15638
15639
15640
15641
15642</t>
  </si>
  <si>
    <t>1/05
10D</t>
  </si>
  <si>
    <t>SN-252 (OCTO-FPGA-A1)
SN-545 (OCTO-FPGA-A1)
SN-632 (OCTO-FPGA-A1)
SN-695 (OCTO-FPGA-A1)
SN-054(OCTO-QUAD-D1)
SN-106(OCTO-QUAD-D1)
SN-190 (OCTO-QUAD-D1)
SN-195 (OCTO-QUAD-D1)</t>
  </si>
  <si>
    <t>CANX</t>
  </si>
  <si>
    <r>
      <t xml:space="preserve">clear 8/13
</t>
    </r>
    <r>
      <rPr>
        <b/>
        <strike/>
        <sz val="11"/>
        <color rgb="FF000000"/>
        <rFont val="Calibri"/>
        <family val="2"/>
      </rPr>
      <t>expect clear 8/12
7/30 - ETA 8/12</t>
    </r>
  </si>
  <si>
    <r>
      <t xml:space="preserve">8/13 - kit clear
</t>
    </r>
    <r>
      <rPr>
        <b/>
        <strike/>
        <sz val="11"/>
        <color rgb="FF000000"/>
        <rFont val="Calibri"/>
        <family val="2"/>
      </rPr>
      <t>8/12 - short U10, due today</t>
    </r>
  </si>
  <si>
    <r>
      <rPr>
        <b/>
        <sz val="11"/>
        <color rgb="FF000000"/>
        <rFont val="Calibri"/>
        <family val="2"/>
      </rPr>
      <t xml:space="preserve">9/11 - </t>
    </r>
    <r>
      <rPr>
        <b/>
        <sz val="11"/>
        <color rgb="FFFF0000"/>
        <rFont val="Calibri"/>
        <family val="2"/>
      </rPr>
      <t xml:space="preserve">ON HOLD (TAD)
</t>
    </r>
    <r>
      <rPr>
        <b/>
        <sz val="11"/>
        <color rgb="FF000000"/>
        <rFont val="Calibri"/>
        <family val="2"/>
      </rPr>
      <t>8/26 - SMT run qty 30 oly</t>
    </r>
  </si>
  <si>
    <t>332-0034 RevD-2 bal
ROWC Rev C</t>
  </si>
  <si>
    <t>30
20</t>
  </si>
  <si>
    <r>
      <rPr>
        <b/>
        <strike/>
        <sz val="14"/>
        <color rgb="FF000000"/>
        <rFont val="Calibri"/>
        <family val="2"/>
      </rPr>
      <t xml:space="preserve">12/3
4/26
</t>
    </r>
    <r>
      <rPr>
        <b/>
        <sz val="14"/>
        <color rgb="FF000000"/>
        <rFont val="Calibri"/>
        <family val="2"/>
      </rPr>
      <t>10D</t>
    </r>
  </si>
  <si>
    <r>
      <rPr>
        <b/>
        <sz val="11"/>
        <color rgb="FFFF0000"/>
        <rFont val="Calibri"/>
        <family val="2"/>
      </rPr>
      <t xml:space="preserve">DO NOT SHIP EARLY
</t>
    </r>
    <r>
      <rPr>
        <b/>
        <sz val="11"/>
        <color rgb="FF000000"/>
        <rFont val="Calibri"/>
        <family val="2"/>
      </rPr>
      <t>QTY 30 9/2, QTY 30 12/3, QTY 20  4/26
verify: U10 has GOLD dot?
PCB: REV C on boards</t>
    </r>
  </si>
  <si>
    <t>ProteinSimple</t>
  </si>
  <si>
    <t>gold dot
no photos</t>
  </si>
  <si>
    <t>CLEAR 11/14</t>
  </si>
  <si>
    <t>015459
RWK</t>
  </si>
  <si>
    <t>2D
???</t>
  </si>
  <si>
    <t>SN:43
SUPER-PWR1_REV.2.C.1
remove &amp; replace F3</t>
  </si>
  <si>
    <t>doc rel 11/14</t>
  </si>
  <si>
    <t>015460
RWK</t>
  </si>
  <si>
    <t>SN:39
SUPER-PWR1_REV.2.C.1
r&amp;r BCM4</t>
  </si>
  <si>
    <t>015461
RWK</t>
  </si>
  <si>
    <t>SN:38
SUPER-PWR1_REV.2.C.1
r&amp;r F5 &amp; DCM1</t>
  </si>
  <si>
    <t>015462
RWK</t>
  </si>
  <si>
    <t>SN:47
SUPER-CTL1_REV.3.C.1
r&amp;r R80, R76, C18, C19, C31, C32 &amp; J6</t>
  </si>
  <si>
    <t>015463
RWK</t>
  </si>
  <si>
    <t>SN:43
SUPER-CTL1_REV.3.C.1
r&amp;r R80, R76, C18, C19, C31 &amp; C32</t>
  </si>
  <si>
    <t>015464
RWK</t>
  </si>
  <si>
    <t>SN:37
SUPER-CTL1_REV.3.C.1
r&amp;r R80, R76, C18, C19, C31 &amp; C32</t>
  </si>
  <si>
    <t>015465
RWK</t>
  </si>
  <si>
    <t>SN:34
SUPER-CTL1_REV.3.C.1
r&amp;r R80, R76, C18, C19, C31, C32 &amp; R457</t>
  </si>
  <si>
    <t>015466
RWK</t>
  </si>
  <si>
    <t>SN:002
OCTO-QUAD-D2_1.A.1
r&amp;r J8A</t>
  </si>
  <si>
    <t>015467
RWK</t>
  </si>
  <si>
    <t>SN:612
OCTO-FPGA-A1_REV.2.B.1
R&amp;R U1B</t>
  </si>
  <si>
    <t>015468
RWK</t>
  </si>
  <si>
    <t>SN:304
OCTO-FPGA-A1_REV.2.B.1
r&amp;r U9A &amp; U9B</t>
  </si>
  <si>
    <r>
      <t xml:space="preserve">clear 10/9
</t>
    </r>
    <r>
      <rPr>
        <b/>
        <strike/>
        <sz val="11"/>
        <color rgb="FF000000"/>
        <rFont val="Calibri"/>
        <family val="2"/>
      </rPr>
      <t>short due 9/30</t>
    </r>
  </si>
  <si>
    <t>9/25 - matl clear</t>
  </si>
  <si>
    <t>ASAP-H1T-SA1_1.A.1 NEW</t>
  </si>
  <si>
    <t>10/16
5D</t>
  </si>
  <si>
    <r>
      <rPr>
        <b/>
        <sz val="11"/>
        <color rgb="FF000000"/>
        <rFont val="Calibri"/>
        <family val="2"/>
      </rPr>
      <t xml:space="preserve">Lead Wash
pre-bake 24 hours
</t>
    </r>
    <r>
      <rPr>
        <b/>
        <strike/>
        <sz val="11"/>
        <color rgb="FF000000"/>
        <rFont val="Calibri"/>
        <family val="2"/>
      </rPr>
      <t>post-bake 36 - 48 hours</t>
    </r>
  </si>
  <si>
    <t>9/24 - short matl (OK TO SKIP p/n HDC3022DEJR if short)</t>
  </si>
  <si>
    <t>332-0057 REV.0 bal ROWC</t>
  </si>
  <si>
    <r>
      <rPr>
        <b/>
        <strike/>
        <sz val="14"/>
        <color rgb="FF000000"/>
        <rFont val="Calibri"/>
        <family val="2"/>
      </rPr>
      <t xml:space="preserve">10/3
</t>
    </r>
    <r>
      <rPr>
        <b/>
        <sz val="14"/>
        <color rgb="FF000000"/>
        <rFont val="Calibri"/>
        <family val="2"/>
      </rPr>
      <t>10D</t>
    </r>
  </si>
  <si>
    <r>
      <rPr>
        <b/>
        <sz val="11"/>
        <color rgb="FFFF0000"/>
        <rFont val="Calibri"/>
        <family val="2"/>
      </rPr>
      <t xml:space="preserve">*** DON'T BE LATE ***
QUALITY ALERT (SEE BUILD NOTES)
</t>
    </r>
    <r>
      <rPr>
        <b/>
        <sz val="11"/>
        <color rgb="FF000000"/>
        <rFont val="Calibri"/>
        <family val="2"/>
      </rPr>
      <t>lead-free wash</t>
    </r>
  </si>
  <si>
    <t>9/29 - 1:00</t>
  </si>
  <si>
    <t>p/n change
NO PHOTOS</t>
  </si>
  <si>
    <r>
      <t xml:space="preserve">clear 9/24
</t>
    </r>
    <r>
      <rPr>
        <b/>
        <strike/>
        <sz val="11"/>
        <color rgb="FF000000"/>
        <rFont val="Calibri"/>
        <family val="2"/>
      </rPr>
      <t>short due 9/23</t>
    </r>
  </si>
  <si>
    <t>9/24 - kit clear
9/11 - matl clear</t>
  </si>
  <si>
    <t>9/25 - awt bare board inspection</t>
  </si>
  <si>
    <t>FMC-SSB1-1.A.1
NEW</t>
  </si>
  <si>
    <r>
      <rPr>
        <b/>
        <sz val="14"/>
        <color rgb="FF000000"/>
        <rFont val="Calibri"/>
        <family val="2"/>
      </rPr>
      <t xml:space="preserve">10/6
</t>
    </r>
    <r>
      <rPr>
        <b/>
        <strike/>
        <sz val="14"/>
        <color rgb="FF000000"/>
        <rFont val="Calibri"/>
        <family val="2"/>
      </rPr>
      <t xml:space="preserve">10/3*
</t>
    </r>
    <r>
      <rPr>
        <b/>
        <sz val="14"/>
        <color rgb="FF000000"/>
        <rFont val="Calibri"/>
        <family val="2"/>
      </rPr>
      <t>10D</t>
    </r>
  </si>
  <si>
    <t>Class 3
Lead Wash
SW1 After Wash
post-bake: 36-48 Hours @ 125°C
100% photos req (front/back/all)
ship w/ dessicant &amp; HID</t>
  </si>
  <si>
    <t>9/25 - 9:00</t>
  </si>
  <si>
    <t>9/25 - 2:30</t>
  </si>
  <si>
    <t>9/26 - 10:00</t>
  </si>
  <si>
    <t>DOC REL 8/12</t>
  </si>
  <si>
    <t>9/11</t>
  </si>
  <si>
    <t>5,310.80_x000D_</t>
  </si>
  <si>
    <t>POST-BAKE REQ</t>
  </si>
  <si>
    <t>332-0057 REV.0 ROWC</t>
  </si>
  <si>
    <t>10/3
10D</t>
  </si>
  <si>
    <r>
      <t xml:space="preserve">9/26 - KIT CLEAR
</t>
    </r>
    <r>
      <rPr>
        <b/>
        <strike/>
        <sz val="11"/>
        <color rgb="FF000000"/>
        <rFont val="Calibri"/>
        <family val="2"/>
      </rPr>
      <t>9/24 - short matl</t>
    </r>
  </si>
  <si>
    <t>332-0053 Rev.0 RONC</t>
  </si>
  <si>
    <r>
      <rPr>
        <b/>
        <sz val="12"/>
        <color rgb="FFFF0000"/>
        <rFont val="Calibri"/>
        <family val="2"/>
      </rPr>
      <t xml:space="preserve">*** DON'T BE LATE ***
</t>
    </r>
    <r>
      <rPr>
        <b/>
        <sz val="12"/>
        <color rgb="FF000000"/>
        <rFont val="Calibri"/>
        <family val="2"/>
      </rPr>
      <t xml:space="preserve">LEAD-FREE WASH
</t>
    </r>
    <r>
      <rPr>
        <b/>
        <sz val="11"/>
        <color rgb="FF000000"/>
        <rFont val="Calibri"/>
        <family val="2"/>
      </rPr>
      <t>CLEAN AND FREE OF FLUX &amp; DEBRIS</t>
    </r>
  </si>
  <si>
    <t>9/29 - 11:30</t>
  </si>
  <si>
    <r>
      <t xml:space="preserve">9/30 - kit clear
</t>
    </r>
    <r>
      <rPr>
        <b/>
        <strike/>
        <sz val="11"/>
        <color rgb="FF000000"/>
        <rFont val="Calibri"/>
        <family val="2"/>
      </rPr>
      <t>9/25 - short 1 pc U26 due 9/30
9/24 - short matl</t>
    </r>
  </si>
  <si>
    <t>332-0056 Rev.0 RONC</t>
  </si>
  <si>
    <r>
      <rPr>
        <b/>
        <sz val="11"/>
        <color rgb="FFFF0000"/>
        <rFont val="Calibri"/>
        <family val="2"/>
      </rPr>
      <t xml:space="preserve">*** DON'T BE LATE ***
</t>
    </r>
    <r>
      <rPr>
        <b/>
        <sz val="11"/>
        <color rgb="FF000000"/>
        <rFont val="Calibri"/>
        <family val="2"/>
      </rPr>
      <t>REF DES ON PART BAG LABELS MAY BE INCORRECT - PLEASE DOUBLE CHECK FSU</t>
    </r>
  </si>
  <si>
    <t>9/26 - 11:00</t>
  </si>
  <si>
    <t>CLEAR 8/19</t>
  </si>
  <si>
    <t>8/19 - KIT CLEAR</t>
  </si>
  <si>
    <t>015292
RWK</t>
  </si>
  <si>
    <t>s/n 355
OCTO-FPGA-A1 REV 2.B.1</t>
  </si>
  <si>
    <t>doc rel 8/18</t>
  </si>
  <si>
    <t>015293
RWK</t>
  </si>
  <si>
    <t>s/n 553
OCTO-FPGA-A1 REV 2.B.1</t>
  </si>
  <si>
    <t>015294
RWK</t>
  </si>
  <si>
    <t>s/n 006
OCTO-QUAD-D1 REV 1.B.1</t>
  </si>
  <si>
    <t>015295
RWK</t>
  </si>
  <si>
    <t>s/n 016
OCTO-QUAD-D1 REV 1.B.1</t>
  </si>
  <si>
    <t>015296
RWK</t>
  </si>
  <si>
    <t>s/n 034
OCTO-QUAD-D1 REV 1.B.1</t>
  </si>
  <si>
    <t>015297
RWK</t>
  </si>
  <si>
    <t>s/n 168
OCTO-QUAD-D1 REV 1.B.1
BGA REWORK</t>
  </si>
  <si>
    <t>015298
RWK</t>
  </si>
  <si>
    <t>s/n 038
SUPER-CTL1 REV 3.C.1</t>
  </si>
  <si>
    <t>015299
RWK</t>
  </si>
  <si>
    <t>s/n 044
SUPER-CTL1 REV 3.C.1</t>
  </si>
  <si>
    <t>015300
RWK</t>
  </si>
  <si>
    <t>s/n 048
SUPER-CTL1 REV 3.C.1</t>
  </si>
  <si>
    <t>015301
RWK</t>
  </si>
  <si>
    <t>s/n 049
SUPER-CTL1 REV 3.C.1</t>
  </si>
  <si>
    <t>015302
RWK</t>
  </si>
  <si>
    <t>s/n 051
SUPER-CTL1 REV 3.C.1</t>
  </si>
  <si>
    <r>
      <rPr>
        <b/>
        <sz val="11"/>
        <color rgb="FF000000"/>
        <rFont val="Calibri"/>
        <family val="2"/>
      </rPr>
      <t xml:space="preserve">8/19 - kit clear
8/19 - </t>
    </r>
    <r>
      <rPr>
        <b/>
        <strike/>
        <sz val="11"/>
        <color rgb="FF000000"/>
        <rFont val="Calibri"/>
        <family val="2"/>
      </rPr>
      <t>short part (checking Horus kit)</t>
    </r>
  </si>
  <si>
    <t>015303
RWK</t>
  </si>
  <si>
    <t>s/n 050
SUPER-QSFP1 REV 1.B.2</t>
  </si>
  <si>
    <t>8/26 - SMT run qty 30 oly</t>
  </si>
  <si>
    <t>332-0034 RevD -1 par
ROWC Rev C</t>
  </si>
  <si>
    <t>9/2
10D</t>
  </si>
  <si>
    <t>7/23 - kit clear</t>
  </si>
  <si>
    <t>7/30 - official clear date</t>
  </si>
  <si>
    <t>QUAD-N2-RFCH2-1.A.2
NON-CAVITY
NEW</t>
  </si>
  <si>
    <t>CLASS 3
ship sooner if possible
lead-free wash
post-bake: 36 - 48 hours</t>
  </si>
  <si>
    <t>INFORM TAD BEFORE START</t>
  </si>
  <si>
    <r>
      <t xml:space="preserve">clear 8/4
</t>
    </r>
    <r>
      <rPr>
        <b/>
        <strike/>
        <sz val="11"/>
        <color rgb="FF000000"/>
        <rFont val="Calibri"/>
        <family val="2"/>
      </rPr>
      <t>ETA 8/4
short, due 8/5</t>
    </r>
  </si>
  <si>
    <t>8/4 - kit clear
7/24 - matl clear</t>
  </si>
  <si>
    <t>8/8 - awt fixture</t>
  </si>
  <si>
    <t>ASAP-H1-SA1_REV.1.A.1
NEW</t>
  </si>
  <si>
    <r>
      <rPr>
        <b/>
        <sz val="14"/>
        <color rgb="FFFF0000"/>
        <rFont val="Calibri"/>
        <family val="2"/>
      </rPr>
      <t xml:space="preserve">8/11
</t>
    </r>
    <r>
      <rPr>
        <b/>
        <sz val="14"/>
        <color rgb="FF000000"/>
        <rFont val="Calibri"/>
        <family val="2"/>
      </rPr>
      <t>5D</t>
    </r>
  </si>
  <si>
    <t>no post-bake required
no dessicant or humidity indicator required
100% photos required</t>
  </si>
  <si>
    <t>8/8 - 11:30</t>
  </si>
  <si>
    <r>
      <rPr>
        <b/>
        <sz val="11"/>
        <color rgb="FF000000"/>
        <rFont val="Calibri"/>
        <family val="2"/>
      </rPr>
      <t xml:space="preserve">clear 8/4
</t>
    </r>
    <r>
      <rPr>
        <b/>
        <strike/>
        <sz val="11"/>
        <color rgb="FF000000"/>
        <rFont val="Calibri"/>
        <family val="2"/>
      </rPr>
      <t>8/1 - QTY 5 RECVD, 1 SHORT
short, due 8/1, 8/12</t>
    </r>
  </si>
  <si>
    <t>8/1 - ok to ship partial (5 of 6)</t>
  </si>
  <si>
    <t>332-0034 Rev E
RONC SO#015063</t>
  </si>
  <si>
    <t>8/11
5D</t>
  </si>
  <si>
    <t>"U10" IS NOT PROGRAMMED FOR THIS RUN. IT MUST HAVE THE NORMAL WHITE POLARITY DOT (NOT GOLD)
LEAD-FREE NO CLEAN
ALTA STANDARD LABEL
P/N RMCF0805FT162K FOR R58, R67, ETC. (SEE BUILD NOTES)
USE ONLY VERTICAL HEADER "J5"
ENSURE BOARDS ARE CLEAN (LAST BUILD MFG NOTES)</t>
  </si>
  <si>
    <t>8/6 - 7:30</t>
  </si>
  <si>
    <t>FEDEX standard overnight</t>
  </si>
  <si>
    <r>
      <rPr>
        <b/>
        <sz val="11"/>
        <color rgb="FF000000"/>
        <rFont val="Calibri"/>
        <family val="2"/>
      </rPr>
      <t xml:space="preserve">clear 8/5
</t>
    </r>
    <r>
      <rPr>
        <b/>
        <strike/>
        <sz val="11"/>
        <color rgb="FF000000"/>
        <rFont val="Calibri"/>
        <family val="2"/>
      </rPr>
      <t>short, no ETA 8/6  8/1, 8/4</t>
    </r>
  </si>
  <si>
    <t>8/5 - kit clear
7/23 - matl clear</t>
  </si>
  <si>
    <r>
      <rPr>
        <b/>
        <sz val="11"/>
        <color rgb="FF000000"/>
        <rFont val="Calibri"/>
        <family val="2"/>
      </rPr>
      <t xml:space="preserve">8/4 - </t>
    </r>
    <r>
      <rPr>
        <b/>
        <sz val="11"/>
        <color rgb="FFFF0000"/>
        <rFont val="Calibri"/>
        <family val="2"/>
      </rPr>
      <t>SHIP ASAP</t>
    </r>
  </si>
  <si>
    <t>332-0057 REV.0
NEW</t>
  </si>
  <si>
    <r>
      <rPr>
        <b/>
        <sz val="14"/>
        <color rgb="FF000000"/>
        <rFont val="Calibri"/>
        <family val="2"/>
      </rPr>
      <t xml:space="preserve">8/7*
</t>
    </r>
    <r>
      <rPr>
        <b/>
        <strike/>
        <sz val="14"/>
        <color rgb="FF000000"/>
        <rFont val="Calibri"/>
        <family val="2"/>
      </rPr>
      <t xml:space="preserve">8/1
</t>
    </r>
    <r>
      <rPr>
        <b/>
        <sz val="14"/>
        <color rgb="FFFF0000"/>
        <rFont val="Calibri"/>
        <family val="2"/>
      </rPr>
      <t xml:space="preserve">1D
</t>
    </r>
    <r>
      <rPr>
        <b/>
        <strike/>
        <sz val="14"/>
        <color rgb="FFFF0000"/>
        <rFont val="Calibri"/>
        <family val="2"/>
      </rPr>
      <t>3D</t>
    </r>
  </si>
  <si>
    <r>
      <rPr>
        <b/>
        <sz val="11"/>
        <color rgb="FFFF0000"/>
        <rFont val="Calibri"/>
        <family val="2"/>
      </rPr>
      <t>EXPEDITE (</t>
    </r>
    <r>
      <rPr>
        <b/>
        <sz val="11"/>
        <color rgb="FF000000"/>
        <rFont val="Calibri"/>
        <family val="2"/>
      </rPr>
      <t>per Tad</t>
    </r>
    <r>
      <rPr>
        <b/>
        <sz val="11"/>
        <color rgb="FFFF0000"/>
        <rFont val="Calibri"/>
        <family val="2"/>
      </rPr>
      <t xml:space="preserve">)
SHIP AS SOON AS POSSIBLE!
</t>
    </r>
    <r>
      <rPr>
        <b/>
        <sz val="11"/>
        <color rgb="FF000000"/>
        <rFont val="Calibri"/>
        <family val="2"/>
      </rPr>
      <t>lead-free wash</t>
    </r>
  </si>
  <si>
    <r>
      <t xml:space="preserve">clear 8/5
</t>
    </r>
    <r>
      <rPr>
        <b/>
        <strike/>
        <sz val="11"/>
        <color rgb="FF000000"/>
        <rFont val="Calibri"/>
        <family val="2"/>
      </rPr>
      <t>short, no ETA 8/1, 8/5</t>
    </r>
  </si>
  <si>
    <t>332-0040 Rev D
NEW</t>
  </si>
  <si>
    <r>
      <rPr>
        <b/>
        <sz val="14"/>
        <color rgb="FFFF0000"/>
        <rFont val="Calibri"/>
        <family val="2"/>
      </rPr>
      <t xml:space="preserve">8/6
</t>
    </r>
    <r>
      <rPr>
        <b/>
        <sz val="14"/>
        <color rgb="FF000000"/>
        <rFont val="Calibri"/>
        <family val="2"/>
      </rPr>
      <t>5D</t>
    </r>
  </si>
  <si>
    <t>lead-free wash
cover all ports before wash
Soldering temperature of U1 (4 second Max at 250 C)
U14 &amp; U3 spec req (SEE ECO)
LOCTITE 444 req</t>
  </si>
  <si>
    <t>8/5 - 9:00</t>
  </si>
  <si>
    <t>8/5 - 2:00</t>
  </si>
  <si>
    <r>
      <rPr>
        <b/>
        <sz val="11"/>
        <color rgb="FF000000"/>
        <rFont val="Calibri"/>
        <family val="2"/>
      </rPr>
      <t xml:space="preserve">clear 7/16
</t>
    </r>
    <r>
      <rPr>
        <b/>
        <strike/>
        <sz val="11"/>
        <color rgb="FF000000"/>
        <rFont val="Calibri"/>
        <family val="2"/>
      </rPr>
      <t>pcb ETA 7/9 6/6</t>
    </r>
    <r>
      <rPr>
        <b/>
        <sz val="11"/>
        <color rgb="FF000000"/>
        <rFont val="Calibri"/>
        <family val="2"/>
      </rPr>
      <t xml:space="preserve"> </t>
    </r>
    <r>
      <rPr>
        <b/>
        <strike/>
        <sz val="11"/>
        <color rgb="FF000000"/>
        <rFont val="Calibri"/>
        <family val="2"/>
      </rPr>
      <t>6/10</t>
    </r>
    <r>
      <rPr>
        <b/>
        <sz val="11"/>
        <color rgb="FF000000"/>
        <rFont val="Calibri"/>
        <family val="2"/>
      </rPr>
      <t xml:space="preserve"> </t>
    </r>
    <r>
      <rPr>
        <b/>
        <strike/>
        <sz val="11"/>
        <color rgb="FF000000"/>
        <rFont val="Calibri"/>
        <family val="2"/>
      </rPr>
      <t>6/11</t>
    </r>
    <r>
      <rPr>
        <b/>
        <sz val="11"/>
        <color rgb="FF000000"/>
        <rFont val="Calibri"/>
        <family val="2"/>
      </rPr>
      <t xml:space="preserve"> </t>
    </r>
    <r>
      <rPr>
        <b/>
        <strike/>
        <sz val="11"/>
        <color rgb="FF000000"/>
        <rFont val="Calibri"/>
        <family val="2"/>
      </rPr>
      <t>6/13
4/28 - NO ETA - FAB HOUSE STILL DOING DFM</t>
    </r>
  </si>
  <si>
    <r>
      <rPr>
        <b/>
        <sz val="11"/>
        <color rgb="FF000000"/>
        <rFont val="Calibri"/>
        <family val="2"/>
      </rPr>
      <t xml:space="preserve">7/16 - kit clear
</t>
    </r>
    <r>
      <rPr>
        <b/>
        <strike/>
        <sz val="11"/>
        <color rgb="FF000000"/>
        <rFont val="Calibri"/>
        <family val="2"/>
      </rPr>
      <t>5/16 - short #246 (SW8A) - ORDERED W/ 5/17 ETA
4/28 - WTG FOR CONSIGNED MATL &amp; PURCHASED MATL</t>
    </r>
  </si>
  <si>
    <r>
      <rPr>
        <b/>
        <sz val="11"/>
        <color rgb="FF000000"/>
        <rFont val="Calibri"/>
        <family val="2"/>
      </rPr>
      <t xml:space="preserve">7/17 - dirty cavities, ok to use
7/17 - SMT prep bot &amp; run bot (after all clear)
4/28 - </t>
    </r>
    <r>
      <rPr>
        <b/>
        <sz val="11"/>
        <color rgb="FFFF0000"/>
        <rFont val="Calibri"/>
        <family val="2"/>
      </rPr>
      <t>THIS WILL BE HOT!!!</t>
    </r>
  </si>
  <si>
    <t>OCTO-QUAD-H1-1.A.1
(8 CAVITY PLATED)
NEW</t>
  </si>
  <si>
    <r>
      <rPr>
        <b/>
        <sz val="11"/>
        <color rgb="FF000000"/>
        <rFont val="Calibri"/>
        <family val="2"/>
      </rPr>
      <t>*** M</t>
    </r>
    <r>
      <rPr>
        <b/>
        <sz val="11"/>
        <color rgb="FFFF0000"/>
        <rFont val="Calibri"/>
        <family val="2"/>
      </rPr>
      <t>UST PRE BAKE PCBS</t>
    </r>
    <r>
      <rPr>
        <b/>
        <sz val="11"/>
        <color rgb="FF000000"/>
        <rFont val="Calibri"/>
        <family val="2"/>
      </rPr>
      <t xml:space="preserve">  24-36 HRS***
do not lose #128 (p/n QPB1033)
CLASS 3
NEW DESIGN (PLATED 8 CAVITY)
CLASS 3 / LEAD FREE WASH
</t>
    </r>
    <r>
      <rPr>
        <b/>
        <sz val="12"/>
        <color rgb="FF000000"/>
        <rFont val="Calibri"/>
        <family val="2"/>
      </rPr>
      <t xml:space="preserve">REFER TO BUILD NOTES &amp; PPT FILE... readme_QUAD-H1-PCTL1
</t>
    </r>
    <r>
      <rPr>
        <b/>
        <sz val="11"/>
        <color rgb="FF000000"/>
        <rFont val="Calibri"/>
        <family val="2"/>
      </rPr>
      <t>DEPANEL
post-bake req 36 - 48 hrs (see build notes)
*** SEND EXTRA QTY 1 BARE PCB'S TO THE CUSTOMER WHEN WE RECEIVE THEM</t>
    </r>
  </si>
  <si>
    <t>7/17 - 6:00</t>
  </si>
  <si>
    <t>7/18 - 7:00</t>
  </si>
  <si>
    <t>7/18 - 4:30</t>
  </si>
  <si>
    <t>kick  off review prior to SMT setup
- PREBAKE 24 HOURS</t>
  </si>
  <si>
    <t>complete
alta standard (non-adv)</t>
  </si>
  <si>
    <r>
      <rPr>
        <b/>
        <sz val="11"/>
        <color rgb="FF000000"/>
        <rFont val="Calibri"/>
        <family val="2"/>
      </rPr>
      <t xml:space="preserve">clear 6/16
</t>
    </r>
    <r>
      <rPr>
        <b/>
        <strike/>
        <sz val="11"/>
        <color rgb="FF000000"/>
        <rFont val="Calibri"/>
        <family val="2"/>
      </rPr>
      <t>pcb due 6/16 6/2</t>
    </r>
  </si>
  <si>
    <r>
      <t xml:space="preserve">6/2 - matl clear
</t>
    </r>
    <r>
      <rPr>
        <b/>
        <strike/>
        <sz val="11"/>
        <color rgb="FF000000"/>
        <rFont val="Calibri"/>
        <family val="2"/>
      </rPr>
      <t>5/30 - "J1" ETA 6/2
5/29 - short THT #60 (J1)
5/15 - WTG FOR DOC RELEASE/AUDIT BOM</t>
    </r>
  </si>
  <si>
    <t>QUAD-H1-PCTL1-1.A.2
NEW</t>
  </si>
  <si>
    <r>
      <rPr>
        <b/>
        <sz val="14"/>
        <color rgb="FF000000"/>
        <rFont val="Calibri"/>
        <family val="2"/>
      </rPr>
      <t xml:space="preserve">6/27
</t>
    </r>
    <r>
      <rPr>
        <b/>
        <strike/>
        <sz val="14"/>
        <color rgb="FF000000"/>
        <rFont val="Calibri"/>
        <family val="2"/>
      </rPr>
      <t xml:space="preserve">7/1
</t>
    </r>
    <r>
      <rPr>
        <b/>
        <sz val="14"/>
        <color rgb="FF000000"/>
        <rFont val="Calibri"/>
        <family val="2"/>
      </rPr>
      <t>10D</t>
    </r>
  </si>
  <si>
    <r>
      <rPr>
        <b/>
        <sz val="11"/>
        <color rgb="FF000000"/>
        <rFont val="Calibri"/>
        <family val="2"/>
      </rPr>
      <t xml:space="preserve">EXPEDITE IF POSSIBLE
CLASS 3
LEAD-FREE WASH
</t>
    </r>
    <r>
      <rPr>
        <b/>
        <sz val="11"/>
        <color rgb="FFFF0000"/>
        <rFont val="Calibri"/>
        <family val="2"/>
      </rPr>
      <t>QUALITY ALERT</t>
    </r>
    <r>
      <rPr>
        <b/>
        <sz val="11"/>
        <color rgb="FF000000"/>
        <rFont val="Calibri"/>
        <family val="2"/>
      </rPr>
      <t xml:space="preserve">: other builds had backwards LED lights
RS1 - RS4 may not fit pad perfect
</t>
    </r>
    <r>
      <rPr>
        <b/>
        <u/>
        <sz val="11"/>
        <color rgb="FF000000"/>
        <rFont val="Calibri"/>
        <family val="2"/>
      </rPr>
      <t>POST BAKE: 36 - 48hrs @125 C
MECH ASSY: J1 (screw + nut)</t>
    </r>
  </si>
  <si>
    <t>6/20 - 6:00</t>
  </si>
  <si>
    <t>6/20 - 9:30</t>
  </si>
  <si>
    <t>6/20 - 12:00</t>
  </si>
  <si>
    <t>kick  off review prior to SMT setup
- PREBAKE 24 HOURS
J1 SMT INSTALL?</t>
  </si>
  <si>
    <t>DOC REL 5/21</t>
  </si>
  <si>
    <t>complete
alta standard
rev 1.A.2</t>
  </si>
  <si>
    <r>
      <rPr>
        <b/>
        <sz val="11"/>
        <color rgb="FF000000"/>
        <rFont val="Calibri"/>
        <family val="2"/>
      </rPr>
      <t xml:space="preserve">clear
</t>
    </r>
    <r>
      <rPr>
        <b/>
        <strike/>
        <sz val="11"/>
        <color rgb="FF000000"/>
        <rFont val="Calibri"/>
        <family val="2"/>
      </rPr>
      <t xml:space="preserve">6/2 - DAUGHTER PCB NO ETA ETA
5/30 - MAIN PCB 6/10 </t>
    </r>
  </si>
  <si>
    <r>
      <rPr>
        <b/>
        <sz val="11"/>
        <color rgb="FF000000"/>
        <rFont val="Calibri"/>
        <family val="2"/>
      </rPr>
      <t xml:space="preserve">6/20 - kit clear
6/20 - shim due
6/9 - SMT clear; (hand place Shim)
</t>
    </r>
    <r>
      <rPr>
        <b/>
        <strike/>
        <sz val="11"/>
        <color rgb="FF000000"/>
        <rFont val="Calibri"/>
        <family val="2"/>
      </rPr>
      <t>5/30 - matl clear except for daughter board, no ETA</t>
    </r>
  </si>
  <si>
    <t>6/10 - SMT skip top</t>
  </si>
  <si>
    <t>332-0040
revC
SO#15063
NEW</t>
  </si>
  <si>
    <t>6/23
10D</t>
  </si>
  <si>
    <r>
      <t xml:space="preserve">LEAD-FREE WASH
USE CLEAN FLUX TO CLEAN ALL FLUX
</t>
    </r>
    <r>
      <rPr>
        <b/>
        <u/>
        <sz val="11"/>
        <color rgb="FF000000"/>
        <rFont val="Calibri"/>
        <family val="2"/>
      </rPr>
      <t>install U14 (daughter board)</t>
    </r>
  </si>
  <si>
    <t>6/10 - 1:00</t>
  </si>
  <si>
    <t>get Tad before daughter board install</t>
  </si>
  <si>
    <t>doc rel 5/27</t>
  </si>
  <si>
    <t>5/30</t>
  </si>
  <si>
    <t>complete w/ rev
alta standard</t>
  </si>
  <si>
    <r>
      <rPr>
        <b/>
        <sz val="11"/>
        <color rgb="FF000000"/>
        <rFont val="Calibri"/>
        <family val="2"/>
      </rPr>
      <t xml:space="preserve">clear
</t>
    </r>
    <r>
      <rPr>
        <b/>
        <strike/>
        <sz val="11"/>
        <color rgb="FF000000"/>
        <rFont val="Calibri"/>
        <family val="2"/>
      </rPr>
      <t>6/3 - ETA 6/9
6/2 - NO ETA</t>
    </r>
  </si>
  <si>
    <r>
      <rPr>
        <b/>
        <sz val="11"/>
        <color rgb="FF000000"/>
        <rFont val="Calibri"/>
        <family val="2"/>
      </rPr>
      <t xml:space="preserve">6/5 - kit clear
</t>
    </r>
    <r>
      <rPr>
        <b/>
        <strike/>
        <sz val="11"/>
        <color rgb="FF000000"/>
        <rFont val="Calibri"/>
        <family val="2"/>
      </rPr>
      <t>6/2 - MATL ORDERED</t>
    </r>
  </si>
  <si>
    <r>
      <rPr>
        <b/>
        <sz val="11"/>
        <color rgb="FF000000"/>
        <rFont val="Calibri"/>
        <family val="2"/>
      </rPr>
      <t>6/12 -</t>
    </r>
    <r>
      <rPr>
        <b/>
        <sz val="11"/>
        <color rgb="FFFF0000"/>
        <rFont val="Calibri"/>
        <family val="2"/>
      </rPr>
      <t xml:space="preserve"> SMT run on Line 2 only</t>
    </r>
  </si>
  <si>
    <t>332-0034
revE
SO#15063</t>
  </si>
  <si>
    <t>6/19
10D</t>
  </si>
  <si>
    <r>
      <rPr>
        <b/>
        <sz val="11"/>
        <color rgb="FFFF0000"/>
        <rFont val="Calibri"/>
        <family val="2"/>
      </rPr>
      <t xml:space="preserve">"U10" IS NOT PROGRAMMED FOR THIS RUN. IT MUST HAVE THE NORMAL WHITE POLARITY DOT (NOT GOLD)
</t>
    </r>
    <r>
      <rPr>
        <b/>
        <sz val="11"/>
        <color rgb="FF000000"/>
        <rFont val="Calibri"/>
        <family val="2"/>
      </rPr>
      <t xml:space="preserve">LEAD-FREE NO CLEAN
ALTA STANDARD LABEL
P/N RMCF0805FT162K FOR R58, R67, ETC. (SEE BUILD NOTES)
USE ONLY VERTICAL HEADER "J5"
</t>
    </r>
    <r>
      <rPr>
        <b/>
        <u/>
        <sz val="11"/>
        <color rgb="FF000000"/>
        <rFont val="Calibri"/>
        <family val="2"/>
      </rPr>
      <t>ENSURE BOARDS ARE CLEAN (LAST BUILD MFG NOTES)</t>
    </r>
  </si>
  <si>
    <t>6/12 - 6:00</t>
  </si>
  <si>
    <t>6/12 - 1:30</t>
  </si>
  <si>
    <t xml:space="preserve">ProteinSimple
</t>
  </si>
  <si>
    <t>TK</t>
  </si>
  <si>
    <t>complete
non-adv alta standard</t>
  </si>
  <si>
    <t>PCB ETA 4/15</t>
  </si>
  <si>
    <r>
      <t xml:space="preserve">4/14 - KIT CLEAR 
4/11 - MATERIAL CLEAR
</t>
    </r>
    <r>
      <rPr>
        <b/>
        <strike/>
        <sz val="11"/>
        <color rgb="FF000000"/>
        <rFont val="Calibri"/>
        <family val="2"/>
      </rPr>
      <t>*PO ship date is 7/1/25 but we will ship 5/16/25.</t>
    </r>
  </si>
  <si>
    <r>
      <rPr>
        <b/>
        <sz val="11"/>
        <color rgb="FF000000"/>
        <rFont val="Calibri"/>
        <family val="2"/>
      </rPr>
      <t xml:space="preserve">4/22 - </t>
    </r>
    <r>
      <rPr>
        <b/>
        <strike/>
        <sz val="11"/>
        <color rgb="FF000000"/>
        <rFont val="Calibri"/>
        <family val="2"/>
      </rPr>
      <t>WTG FOR IC PROGRAMMING
4/16 - HOLD DUE TO CUST CHANGE</t>
    </r>
  </si>
  <si>
    <t>332-0034 revC SO#014931 RONC SO#014814</t>
  </si>
  <si>
    <t>new polarity dot on U10 (Build Note)
LEAD-FREE NO CLEAN
ALTA STANDARD LABEL
P/N RMCF0805FT162K FOR R58, R67, ETC. (SEE BUILD NOTES)
USE ONLY VERTICAL HEADER "J5"
ENSURE BOARDS ARE CLEAN (LAST BUILD MFG NOTES)</t>
  </si>
  <si>
    <t>5/28 - 10:30</t>
  </si>
  <si>
    <t>HAND CARRY</t>
  </si>
  <si>
    <t>update to p/n</t>
  </si>
  <si>
    <t>pcb due 6/13</t>
  </si>
  <si>
    <t>6/13 - matl due date</t>
  </si>
  <si>
    <t>QUAD-N2-TEST1-1.A.2
RWK</t>
  </si>
  <si>
    <t>EXPEDITE IF POSSIBLE
Remove (currently P/N: QPB1036) and replace with the new part (P/N: QPB1033) FLT1
XRAY REQUIRED
SHIPPNG PHOTOS REQUIRED</t>
  </si>
  <si>
    <t>kick  off review prior to SMT setup
- PREBAKE 24 HOURS
-get tad before wash</t>
  </si>
  <si>
    <t>DOC REL 6/12</t>
  </si>
  <si>
    <r>
      <t xml:space="preserve">clear
</t>
    </r>
    <r>
      <rPr>
        <b/>
        <strike/>
        <sz val="11"/>
        <color rgb="FF000000"/>
        <rFont val="Calibri"/>
        <family val="2"/>
      </rPr>
      <t>5/14 - ETA 5/20</t>
    </r>
  </si>
  <si>
    <r>
      <t xml:space="preserve">5/20 - kit clear
</t>
    </r>
    <r>
      <rPr>
        <b/>
        <strike/>
        <sz val="11"/>
        <color rgb="FF000000"/>
        <rFont val="Calibri"/>
        <family val="2"/>
      </rPr>
      <t>5/19 - "U22" ETA 5/20
SHORT U22</t>
    </r>
    <r>
      <rPr>
        <b/>
        <sz val="11"/>
        <color rgb="FF000000"/>
        <rFont val="Calibri"/>
        <family val="2"/>
      </rPr>
      <t xml:space="preserve"> </t>
    </r>
    <r>
      <rPr>
        <b/>
        <strike/>
        <sz val="11"/>
        <color rgb="FF000000"/>
        <rFont val="Calibri"/>
        <family val="2"/>
      </rPr>
      <t>ETA *CUSTOMER SHIP 5/12, NO TRCK # YET</t>
    </r>
  </si>
  <si>
    <t>5/14- - WTG FOR PO</t>
  </si>
  <si>
    <t>332-0056
NEW</t>
  </si>
  <si>
    <r>
      <rPr>
        <b/>
        <sz val="11"/>
        <color rgb="FFFF0000"/>
        <rFont val="Calibri"/>
        <family val="2"/>
      </rPr>
      <t xml:space="preserve">SHIP ASAP
</t>
    </r>
    <r>
      <rPr>
        <b/>
        <sz val="11"/>
        <color rgb="FF000000"/>
        <rFont val="Calibri"/>
        <family val="2"/>
      </rPr>
      <t>REF DES ON PART BAG LABELS MAY BE INCORRECT - PLEASE DOUBLE CHECK FSU</t>
    </r>
  </si>
  <si>
    <t>5/21 - 9:00</t>
  </si>
  <si>
    <r>
      <t xml:space="preserve">clear
</t>
    </r>
    <r>
      <rPr>
        <b/>
        <strike/>
        <sz val="11"/>
        <color rgb="FF000000"/>
        <rFont val="Calibri"/>
        <family val="2"/>
      </rPr>
      <t>pcb due 6/5
5/14 - PCB ETA 6/6
5/14 - PCB FILES APPROVED
4/28 - NO ETA
4/25 - NEED PCB FILES APPROVED</t>
    </r>
  </si>
  <si>
    <r>
      <t xml:space="preserve">6/5 - kit clear
6/2 - matl clear
</t>
    </r>
    <r>
      <rPr>
        <b/>
        <strike/>
        <sz val="11"/>
        <color rgb="FF000000"/>
        <rFont val="Calibri"/>
        <family val="2"/>
      </rPr>
      <t>5/19 - ITEM 3 NEED PART CONF (SHOULD BE OK TO USE)
4/28 - WTG FOR CONSIGNED MATL</t>
    </r>
  </si>
  <si>
    <r>
      <rPr>
        <b/>
        <sz val="11"/>
        <color rgb="FF000000"/>
        <rFont val="Calibri"/>
        <family val="2"/>
      </rPr>
      <t xml:space="preserve">6/6 - item #2 won't stay center on pad after reflow
6/4 - </t>
    </r>
    <r>
      <rPr>
        <b/>
        <strike/>
        <sz val="11"/>
        <color rgb="FF000000"/>
        <rFont val="Calibri"/>
        <family val="2"/>
      </rPr>
      <t>Tad &amp; Robert inspect pcb before run</t>
    </r>
  </si>
  <si>
    <t>OCTO-TERM1-1.C.3
NEW</t>
  </si>
  <si>
    <r>
      <rPr>
        <b/>
        <sz val="14"/>
        <color rgb="FF000000"/>
        <rFont val="Calibri"/>
        <family val="2"/>
      </rPr>
      <t xml:space="preserve">6/9
</t>
    </r>
    <r>
      <rPr>
        <b/>
        <strike/>
        <sz val="14"/>
        <color rgb="FF000000"/>
        <rFont val="Calibri"/>
        <family val="2"/>
      </rPr>
      <t>5D</t>
    </r>
  </si>
  <si>
    <r>
      <rPr>
        <b/>
        <sz val="11"/>
        <color rgb="FFFF0000"/>
        <rFont val="Calibri"/>
        <family val="2"/>
      </rPr>
      <t xml:space="preserve">*** EXPEDITE TO 1 DAY IF POSSIBLE
</t>
    </r>
    <r>
      <rPr>
        <b/>
        <sz val="11"/>
        <color rgb="FF000000"/>
        <rFont val="Calibri"/>
        <family val="2"/>
      </rPr>
      <t xml:space="preserve">CLASS 3
LEADED WASH
</t>
    </r>
    <r>
      <rPr>
        <b/>
        <sz val="12"/>
        <color rgb="FF000000"/>
        <rFont val="Calibri"/>
        <family val="2"/>
      </rPr>
      <t>FCHP0402E1000B</t>
    </r>
    <r>
      <rPr>
        <b/>
        <u/>
        <sz val="12"/>
        <color rgb="FF000000"/>
        <rFont val="Calibri"/>
        <family val="2"/>
      </rPr>
      <t>B</t>
    </r>
    <r>
      <rPr>
        <b/>
        <sz val="12"/>
        <color rgb="FF000000"/>
        <rFont val="Calibri"/>
        <family val="2"/>
      </rPr>
      <t xml:space="preserve">T1 OK TO USE
</t>
    </r>
    <r>
      <rPr>
        <b/>
        <sz val="11"/>
        <color rgb="FF000000"/>
        <rFont val="Calibri"/>
        <family val="2"/>
      </rPr>
      <t>post-bake waived (see build notes)
shipping requirements (build notes)</t>
    </r>
  </si>
  <si>
    <t>6/6 - 6:00</t>
  </si>
  <si>
    <t>6/6 - 2:30</t>
  </si>
  <si>
    <t>ETA 4/30, 4/25</t>
  </si>
  <si>
    <r>
      <t xml:space="preserve">4/30 - KIT CLEAR
4/29 - MATL CLEAR
</t>
    </r>
    <r>
      <rPr>
        <b/>
        <strike/>
        <sz val="11"/>
        <color rgb="FF000000"/>
        <rFont val="Calibri"/>
        <family val="2"/>
      </rPr>
      <t>4/25 - "L1" ETA 4/29
SHORT D1,  L1 WAIT FOR TRACK# | U13 ETA 4/18
4/16 - SHORT MATERIAL SCHD 4/23</t>
    </r>
  </si>
  <si>
    <t>4/29 - SHOULD CLEAR EOD</t>
  </si>
  <si>
    <t>332-0053
NEW</t>
  </si>
  <si>
    <r>
      <rPr>
        <b/>
        <sz val="14"/>
        <color rgb="FF000000"/>
        <rFont val="Calibri"/>
        <family val="2"/>
      </rPr>
      <t xml:space="preserve">5/1
</t>
    </r>
    <r>
      <rPr>
        <b/>
        <strike/>
        <sz val="14"/>
        <color rgb="FF000000"/>
        <rFont val="Calibri"/>
        <family val="2"/>
      </rPr>
      <t>5/2
5D</t>
    </r>
  </si>
  <si>
    <r>
      <rPr>
        <b/>
        <sz val="12"/>
        <color rgb="FFFF0000"/>
        <rFont val="Calibri"/>
        <family val="2"/>
      </rPr>
      <t xml:space="preserve">*** EXPEDITE IF POSSIBLE ***
</t>
    </r>
    <r>
      <rPr>
        <b/>
        <sz val="12"/>
        <color rgb="FF000000"/>
        <rFont val="Calibri"/>
        <family val="2"/>
      </rPr>
      <t xml:space="preserve">LEAD-FREE WASH
</t>
    </r>
    <r>
      <rPr>
        <b/>
        <sz val="11"/>
        <color rgb="FF000000"/>
        <rFont val="Calibri"/>
        <family val="2"/>
      </rPr>
      <t>CLEAN AND FREE OF FLUX &amp; DEBRIS</t>
    </r>
  </si>
  <si>
    <t>4/30 - 6:00</t>
  </si>
  <si>
    <t>4/30 - 8:15</t>
  </si>
  <si>
    <t>4/30 - 10:30</t>
  </si>
  <si>
    <t>2-19 -  KIT CLEAR</t>
  </si>
  <si>
    <t>RBE-SYNC1.2.C.4_2ND</t>
  </si>
  <si>
    <t>REPEAT WITH CHANGES
PLEASE SEE BUILD NOTES</t>
  </si>
  <si>
    <t>2/26 - BOT 9:30</t>
  </si>
  <si>
    <t>2/26 - TOP 11:30</t>
  </si>
  <si>
    <t>2/27 - AOI 10:00</t>
  </si>
  <si>
    <t>"OK-UNO"</t>
  </si>
  <si>
    <t>BUILD NOTES &amp; BOM  COMPARE REVIEWED</t>
  </si>
  <si>
    <r>
      <rPr>
        <b/>
        <sz val="11"/>
        <color rgb="FF000000"/>
        <rFont val="Calibri"/>
        <family val="2"/>
      </rPr>
      <t xml:space="preserve">2/7 - RECVD
</t>
    </r>
    <r>
      <rPr>
        <b/>
        <strike/>
        <sz val="11"/>
        <color rgb="FF000000"/>
        <rFont val="Calibri"/>
        <family val="2"/>
      </rPr>
      <t>ETA 2/7</t>
    </r>
  </si>
  <si>
    <r>
      <rPr>
        <b/>
        <sz val="11"/>
        <color rgb="FF000000"/>
        <rFont val="Calibri"/>
        <family val="2"/>
      </rPr>
      <t xml:space="preserve">2/7 - SMT CLEAR
SHORT IOTEM 32 T/H ONLY - ETA 2/10
</t>
    </r>
    <r>
      <rPr>
        <b/>
        <strike/>
        <sz val="11"/>
        <color rgb="FF000000"/>
        <rFont val="Calibri"/>
        <family val="2"/>
      </rPr>
      <t xml:space="preserve">MATL SHOULD CLEAR 2/5 </t>
    </r>
    <r>
      <rPr>
        <b/>
        <sz val="11"/>
        <color rgb="FF000000"/>
        <rFont val="Calibri"/>
        <family val="2"/>
      </rPr>
      <t>2/10 - KIT CLEAR</t>
    </r>
  </si>
  <si>
    <t>2/11 - SKIPPED #69 (AWT PURCHASE)</t>
  </si>
  <si>
    <t>332-0034 revC
ROWC</t>
  </si>
  <si>
    <t>2/21
10D</t>
  </si>
  <si>
    <t>DEPANEL
MAKE SURE BOARDS ARE FREE AND CLEAN OF DEBRIS, STAINS ETC</t>
  </si>
  <si>
    <t>2/11 - TOP 8:00</t>
  </si>
  <si>
    <t>2/11 - AOI
11:30</t>
  </si>
  <si>
    <t>HAND DELIEVER</t>
  </si>
  <si>
    <t>NOTES &amp; DRAWING REVIEWED</t>
  </si>
  <si>
    <t>1/3 - RECVD</t>
  </si>
  <si>
    <t>1/3 - KIT CLEAR</t>
  </si>
  <si>
    <t>1/15 - SMT BOT 9MIN/BOARD
1/15 - bot complete 10:30</t>
  </si>
  <si>
    <t>OCTO-FPGA-A1 rev.3.C.1-2</t>
  </si>
  <si>
    <r>
      <rPr>
        <b/>
        <sz val="14"/>
        <color rgb="FF000000"/>
        <rFont val="Calibri"/>
        <family val="2"/>
        <scheme val="minor"/>
      </rPr>
      <t xml:space="preserve">1/30
</t>
    </r>
    <r>
      <rPr>
        <b/>
        <strike/>
        <sz val="14"/>
        <color rgb="FF000000"/>
        <rFont val="Calibri"/>
        <family val="2"/>
        <scheme val="minor"/>
      </rPr>
      <t xml:space="preserve">1/29
1/24
1/17
</t>
    </r>
    <r>
      <rPr>
        <b/>
        <sz val="14"/>
        <color rgb="FF000000"/>
        <rFont val="Calibri"/>
        <family val="2"/>
        <scheme val="minor"/>
      </rPr>
      <t>10D</t>
    </r>
  </si>
  <si>
    <r>
      <rPr>
        <b/>
        <sz val="11"/>
        <color rgb="FFFF0000"/>
        <rFont val="Calibri"/>
        <family val="2"/>
        <scheme val="minor"/>
      </rPr>
      <t xml:space="preserve">*** (CUI) ***
CLASS 3
</t>
    </r>
    <r>
      <rPr>
        <b/>
        <sz val="11"/>
        <color rgb="FF000000"/>
        <rFont val="Calibri"/>
        <family val="2"/>
        <scheme val="minor"/>
      </rPr>
      <t>SEE BUILD NOTES
SEE READ ME PRIOR TO RUNNING</t>
    </r>
  </si>
  <si>
    <t>1/13 - BOT 6:00
1/13 - PAUSE 1:00
1/15 - BOT 8:00</t>
  </si>
  <si>
    <t>1/18 - TOP 12:00</t>
  </si>
  <si>
    <t xml:space="preserve"> Vendor's
Standard
Shipping</t>
  </si>
  <si>
    <t>12/22 - ETA 1/4</t>
  </si>
  <si>
    <t>12/24 - MATL CLEAR
01/3 - KIT CLEAR</t>
  </si>
  <si>
    <t>332-0034
REPEAT W/ ALTERNATES</t>
  </si>
  <si>
    <t>REPEAT - SEE ALTA BUILD NOTES
CLASS 3</t>
  </si>
  <si>
    <t>1/4 - TOP</t>
  </si>
  <si>
    <t>HAND DELIVER</t>
  </si>
  <si>
    <t>ProteinSimple
3001 Orchard Parkway
San Jose, California 95134</t>
  </si>
  <si>
    <t>UNDER BIOTECHNE FOLDER</t>
  </si>
  <si>
    <r>
      <rPr>
        <b/>
        <strike/>
        <sz val="11"/>
        <color rgb="FF000000"/>
        <rFont val="Calibri"/>
        <family val="2"/>
        <scheme val="minor"/>
      </rPr>
      <t xml:space="preserve">12/17 - WILL CLEAR (TAD)
</t>
    </r>
    <r>
      <rPr>
        <b/>
        <sz val="11"/>
        <color rgb="FF000000"/>
        <rFont val="Calibri"/>
        <family val="2"/>
        <scheme val="minor"/>
      </rPr>
      <t>12/18 - KIT CLEAR</t>
    </r>
  </si>
  <si>
    <t>12/24 - BOT COMPLETE</t>
  </si>
  <si>
    <t>OCTO-QUAD-D2 rev.1.B.1-2
RONC 1ST</t>
  </si>
  <si>
    <t>XRAY &amp; SAVE IMAGES
DEPANEL &amp; SAND - NO MOUSE BITES - NEED TO CUT &amp; SAND</t>
  </si>
  <si>
    <t>12/24 - BOT 4:00</t>
  </si>
  <si>
    <t>12/24 - PAUSE 3:30
12/26 - TOP 12:00</t>
  </si>
  <si>
    <t>12/30 - AOI 2:30</t>
  </si>
  <si>
    <t>PREVIOUS BUILD: STENCIL MISALIGNED</t>
  </si>
  <si>
    <t>129008
 RONC 127540</t>
  </si>
  <si>
    <t>129321-2
BAL
RWK</t>
  </si>
  <si>
    <t>130152
RWK 125275</t>
  </si>
  <si>
    <t>131272
RWK 125310</t>
  </si>
  <si>
    <t>131816
RWK 129299</t>
  </si>
  <si>
    <t>133041
RWK</t>
  </si>
  <si>
    <t>132615
RWK 132034</t>
  </si>
  <si>
    <t>132800
RWK 131596</t>
  </si>
  <si>
    <t>132074-FA
NEW
ROWC
124127</t>
  </si>
  <si>
    <t>134706
RONC 134597
new</t>
  </si>
  <si>
    <t>134597
NEW
134706</t>
  </si>
  <si>
    <t>138924
RWK</t>
  </si>
  <si>
    <t>139135 RWK</t>
  </si>
  <si>
    <t>138355 RWK</t>
  </si>
  <si>
    <t>136748 RWK</t>
  </si>
  <si>
    <t>134620 RWK</t>
  </si>
  <si>
    <t>133642 RWK</t>
  </si>
  <si>
    <t>130436 RWK
bal</t>
  </si>
  <si>
    <t>130436 RWK
PAR</t>
  </si>
  <si>
    <t>138409-2BAL
ROWC 1st Article</t>
  </si>
  <si>
    <t>138436-2BAL
RONC 1ST</t>
  </si>
  <si>
    <t>138284-2BAL
RONC 1st</t>
  </si>
  <si>
    <t>137901-2BAL
RONC 1st</t>
  </si>
  <si>
    <t>138013-2BAL
NEW</t>
  </si>
  <si>
    <t>136210-2BAL
RONC 1st Article</t>
  </si>
  <si>
    <t>138116-2BAL
RONC 1st Article</t>
  </si>
  <si>
    <t>136209-2BAL
RONC 1st Article</t>
  </si>
  <si>
    <t>137198-2BAL
(AS9100-ITAR)</t>
  </si>
  <si>
    <t>135927-2BAL
RONC</t>
  </si>
  <si>
    <t>135136-2BAL
RONC 1ST</t>
  </si>
  <si>
    <t>135780-2BAL
ROWC 1ST
(ITAR)</t>
  </si>
  <si>
    <t>133084-2BAL
NEW</t>
  </si>
  <si>
    <t>136872-2BAL
NEW</t>
  </si>
  <si>
    <t>136078-2BAL
ROWC 132426
(DoD-CUI/ ITAR)</t>
  </si>
  <si>
    <t>136873-2BAL
NEW</t>
  </si>
  <si>
    <t>135782-2BAL
NEW
(DoD-CUI/ ITAR)</t>
  </si>
  <si>
    <t>136450-2BAL
RONC</t>
  </si>
  <si>
    <t>136318-2BAL
RONC 133552</t>
  </si>
  <si>
    <t>133514-2BAL
NEW</t>
  </si>
  <si>
    <t>136072-2BAL
ROWC 134552</t>
  </si>
  <si>
    <t>135447-2BAL
ROWC 134597</t>
  </si>
  <si>
    <t>133551-2BAL</t>
  </si>
  <si>
    <t>132074-2BAL
ROWC 1st Article</t>
  </si>
  <si>
    <t>134242-2BAL
RONC 1st Article</t>
  </si>
  <si>
    <t>133552-2BAL
RONC 1st Article</t>
  </si>
  <si>
    <t>130017-2BAL
RONC 2nd Article</t>
  </si>
  <si>
    <t>134297-2BAL
RONC 129197</t>
  </si>
  <si>
    <t>130695-2BAL
RONC 1st Article</t>
  </si>
  <si>
    <t>130016-2BAL
RONC 1st Article</t>
  </si>
  <si>
    <t>126415-2BAL
RONC 1st Article</t>
  </si>
  <si>
    <t>132847-2BAL
RONC 1st Article</t>
  </si>
  <si>
    <t>132785-2BAL
ROWC 1st Article</t>
  </si>
  <si>
    <t>132812-2BAL
RONC 1st Article</t>
  </si>
  <si>
    <t>126414-2BAL
RONC 1st</t>
  </si>
  <si>
    <t>132016-2BAL
RONC 1st Article</t>
  </si>
  <si>
    <t>132562-2BAL
RONC 1ST</t>
  </si>
  <si>
    <t>132017-2BAL
RONC 1st Article</t>
  </si>
  <si>
    <t>131985-2BAL
RONC 1ST</t>
  </si>
  <si>
    <t>128119-2nd
2-2BAL
RONC 1st</t>
  </si>
  <si>
    <t>128118-2nd
2-2BAL
RONC 1st</t>
  </si>
  <si>
    <t>135134 RMA</t>
  </si>
  <si>
    <t>134319 RMA</t>
  </si>
  <si>
    <t>134317 RMA</t>
  </si>
  <si>
    <t>SIP DATE</t>
  </si>
  <si>
    <t>10/10
9/16
10D</t>
  </si>
  <si>
    <t>9/24
9/10
10D</t>
  </si>
  <si>
    <t>9/15
20D</t>
  </si>
  <si>
    <t>9/12
10D</t>
  </si>
  <si>
    <t>9/11
10D</t>
  </si>
  <si>
    <t>9/9
9/8
10D</t>
  </si>
  <si>
    <t>9/10
10D</t>
  </si>
  <si>
    <t>9/8
15D*</t>
  </si>
  <si>
    <t>9/8
15D</t>
  </si>
  <si>
    <t>9/8
10D</t>
  </si>
  <si>
    <t>???
9/5
5D</t>
  </si>
  <si>
    <t>9/5
5D</t>
  </si>
  <si>
    <t>9/5
10D</t>
  </si>
  <si>
    <t>9/4
5D</t>
  </si>
  <si>
    <t>9/4
10D*</t>
  </si>
  <si>
    <t>9/3
10D</t>
  </si>
  <si>
    <t>9/3
5D</t>
  </si>
  <si>
    <t>7/28
7/24*
20D</t>
  </si>
  <si>
    <t>7/25
15D</t>
  </si>
  <si>
    <t>7/24
20D</t>
  </si>
  <si>
    <t>???
7/7
5D</t>
  </si>
  <si>
    <t>7/22
15D</t>
  </si>
  <si>
    <t>???
7/15*
15D</t>
  </si>
  <si>
    <t>7/18
7/24
20D</t>
  </si>
  <si>
    <t>7/15
15D</t>
  </si>
  <si>
    <t>7/16
10D</t>
  </si>
  <si>
    <t>7/11
10D</t>
  </si>
  <si>
    <t>7/10
7/11
5D</t>
  </si>
  <si>
    <t>7/10
10D</t>
  </si>
  <si>
    <t>7/9
5D</t>
  </si>
  <si>
    <t>7/8
5D</t>
  </si>
  <si>
    <t>7/8
10D</t>
  </si>
  <si>
    <t>6/13
20D</t>
  </si>
  <si>
    <t>6/5
15D</t>
  </si>
  <si>
    <t>6/3
10D</t>
  </si>
  <si>
    <t>6/2
5D</t>
  </si>
  <si>
    <t>5/30
6/6
20D</t>
  </si>
  <si>
    <t>5/30
5D</t>
  </si>
  <si>
    <t>5/30
7D</t>
  </si>
  <si>
    <t>5/30
6/4
15D</t>
  </si>
  <si>
    <t>5/29
5D</t>
  </si>
  <si>
    <t>5/29
10D</t>
  </si>
  <si>
    <t>5/28
5/29
15D</t>
  </si>
  <si>
    <t>5/28
5D</t>
  </si>
  <si>
    <t>5/28 5/29
5D</t>
  </si>
  <si>
    <t>5/27
5/30
15D</t>
  </si>
  <si>
    <t>5/27
5/30
10D</t>
  </si>
  <si>
    <t>5/27
5D</t>
  </si>
  <si>
    <t>5/27
10D</t>
  </si>
  <si>
    <t>SIP OLD
5/27
5/8?
5D</t>
  </si>
  <si>
    <t>5/21
5/27
10D</t>
  </si>
  <si>
    <t>OLD
5/2
7D</t>
  </si>
  <si>
    <t>3/13
OLD
3/12
5D</t>
  </si>
  <si>
    <t>2/28
10D</t>
  </si>
  <si>
    <t>2/27
10D</t>
  </si>
  <si>
    <t>2/26
2/28*
10D</t>
  </si>
  <si>
    <t>2/21
5D</t>
  </si>
  <si>
    <t>2/20
5D</t>
  </si>
  <si>
    <t>2/20
2/19
5D</t>
  </si>
  <si>
    <t>2/19
10D</t>
  </si>
  <si>
    <t>2/19
3D</t>
  </si>
  <si>
    <t>2/19
5D</t>
  </si>
  <si>
    <t>2/19
15D</t>
  </si>
  <si>
    <t>2/18
5D</t>
  </si>
  <si>
    <t>2/18
2D</t>
  </si>
  <si>
    <t>9/9
10D</t>
  </si>
  <si>
    <t>9/8
20D</t>
  </si>
  <si>
    <r>
      <t xml:space="preserve">8/28
</t>
    </r>
    <r>
      <rPr>
        <b/>
        <strike/>
        <sz val="14"/>
        <color rgb="FF000000"/>
        <rFont val="Calibri"/>
        <family val="2"/>
      </rPr>
      <t xml:space="preserve">8/29
</t>
    </r>
    <r>
      <rPr>
        <b/>
        <sz val="14"/>
        <color rgb="FF000000"/>
        <rFont val="Calibri"/>
        <family val="2"/>
      </rPr>
      <t>10D</t>
    </r>
  </si>
  <si>
    <t>8/22
10D</t>
  </si>
  <si>
    <r>
      <t>8/15</t>
    </r>
    <r>
      <rPr>
        <b/>
        <sz val="14"/>
        <color rgb="FFFF0000"/>
        <rFont val="Calibri"/>
        <family val="2"/>
      </rPr>
      <t xml:space="preserve">
</t>
    </r>
    <r>
      <rPr>
        <b/>
        <sz val="14"/>
        <color rgb="FF000000"/>
        <rFont val="Calibri"/>
        <family val="2"/>
      </rPr>
      <t>5D</t>
    </r>
  </si>
  <si>
    <r>
      <rPr>
        <b/>
        <sz val="14"/>
        <color rgb="FF000000"/>
        <rFont val="Calibri"/>
        <family val="2"/>
      </rPr>
      <t xml:space="preserve">8/6
</t>
    </r>
    <r>
      <rPr>
        <b/>
        <sz val="14"/>
        <color rgb="FFFF0000"/>
        <rFont val="Calibri"/>
        <family val="2"/>
      </rPr>
      <t>3D</t>
    </r>
  </si>
  <si>
    <t>7/28
7/24
20D</t>
  </si>
  <si>
    <t>7/28
7/23
19D</t>
  </si>
  <si>
    <t>6/24
6/3
5D</t>
  </si>
  <si>
    <t>5/30
20D</t>
  </si>
  <si>
    <t>???
5/7
3D</t>
  </si>
  <si>
    <t>5/27
5/22
5D</t>
  </si>
  <si>
    <t xml:space="preserve">
5/9
5D</t>
  </si>
  <si>
    <r>
      <t xml:space="preserve">4/2
</t>
    </r>
    <r>
      <rPr>
        <b/>
        <strike/>
        <sz val="14"/>
        <color rgb="FFFF0000"/>
        <rFont val="Calibri"/>
        <family val="2"/>
      </rPr>
      <t xml:space="preserve">01/28
</t>
    </r>
    <r>
      <rPr>
        <b/>
        <sz val="14"/>
        <color rgb="FFFF0000"/>
        <rFont val="Calibri"/>
        <family val="2"/>
      </rPr>
      <t>10D</t>
    </r>
  </si>
  <si>
    <r>
      <rPr>
        <b/>
        <sz val="14"/>
        <color rgb="FF000000"/>
        <rFont val="Calibri"/>
        <family val="2"/>
        <scheme val="minor"/>
      </rPr>
      <t xml:space="preserve">2/5
</t>
    </r>
    <r>
      <rPr>
        <b/>
        <strike/>
        <sz val="14"/>
        <color rgb="FF000000"/>
        <rFont val="Calibri"/>
        <family val="2"/>
        <scheme val="minor"/>
      </rPr>
      <t xml:space="preserve">2/7
</t>
    </r>
    <r>
      <rPr>
        <b/>
        <sz val="14"/>
        <color rgb="FF000000"/>
        <rFont val="Calibri"/>
        <family val="2"/>
        <scheme val="minor"/>
      </rPr>
      <t>5D</t>
    </r>
  </si>
  <si>
    <r>
      <t xml:space="preserve">01/29
</t>
    </r>
    <r>
      <rPr>
        <b/>
        <sz val="14"/>
        <color rgb="FFFF0000"/>
        <rFont val="Calibri"/>
        <family val="2"/>
      </rPr>
      <t>3D</t>
    </r>
  </si>
  <si>
    <t>01/22
10D</t>
  </si>
  <si>
    <t>01/21
5D</t>
  </si>
  <si>
    <r>
      <rPr>
        <b/>
        <sz val="16"/>
        <color rgb="FF000000"/>
        <rFont val="Calibri"/>
        <family val="2"/>
        <scheme val="minor"/>
      </rPr>
      <t xml:space="preserve">
1/21
</t>
    </r>
    <r>
      <rPr>
        <b/>
        <strike/>
        <sz val="16"/>
        <color rgb="FF000000"/>
        <rFont val="Calibri"/>
        <family val="2"/>
        <scheme val="minor"/>
      </rPr>
      <t xml:space="preserve">01/20
</t>
    </r>
    <r>
      <rPr>
        <b/>
        <sz val="16"/>
        <color rgb="FF000000"/>
        <rFont val="Calibri"/>
        <family val="2"/>
        <scheme val="minor"/>
      </rPr>
      <t>5D</t>
    </r>
  </si>
  <si>
    <r>
      <rPr>
        <b/>
        <sz val="14"/>
        <color rgb="FF000000"/>
        <rFont val="Calibri"/>
        <family val="2"/>
      </rPr>
      <t xml:space="preserve">1/17
</t>
    </r>
    <r>
      <rPr>
        <b/>
        <sz val="14"/>
        <color rgb="FFFF0000"/>
        <rFont val="Calibri"/>
        <family val="2"/>
      </rPr>
      <t>3D</t>
    </r>
  </si>
  <si>
    <r>
      <t xml:space="preserve">01/17
</t>
    </r>
    <r>
      <rPr>
        <b/>
        <sz val="14"/>
        <color rgb="FFFF0000"/>
        <rFont val="Calibri"/>
        <family val="2"/>
      </rPr>
      <t>3D</t>
    </r>
  </si>
  <si>
    <t>1/9
10D</t>
  </si>
  <si>
    <t>1/8
10D</t>
  </si>
  <si>
    <t>1/7
5D</t>
  </si>
  <si>
    <t>1/7
10D</t>
  </si>
  <si>
    <r>
      <t xml:space="preserve">
1/6
</t>
    </r>
    <r>
      <rPr>
        <b/>
        <sz val="14"/>
        <color rgb="FFFF0000"/>
        <rFont val="Calibri"/>
        <family val="2"/>
      </rPr>
      <t>3D</t>
    </r>
  </si>
  <si>
    <r>
      <rPr>
        <b/>
        <sz val="14"/>
        <color rgb="FF000000"/>
        <rFont val="Calibri"/>
        <family val="2"/>
      </rPr>
      <t xml:space="preserve">1/6
</t>
    </r>
    <r>
      <rPr>
        <b/>
        <sz val="14"/>
        <color rgb="FFFF0000"/>
        <rFont val="Calibri"/>
        <family val="2"/>
      </rPr>
      <t>3D</t>
    </r>
  </si>
  <si>
    <r>
      <t xml:space="preserve">1/3
</t>
    </r>
    <r>
      <rPr>
        <b/>
        <sz val="14"/>
        <color rgb="FFFF0000"/>
        <rFont val="Calibri"/>
        <family val="2"/>
      </rPr>
      <t>3D</t>
    </r>
  </si>
  <si>
    <r>
      <rPr>
        <b/>
        <sz val="14"/>
        <color rgb="FF000000"/>
        <rFont val="Calibri"/>
        <family val="2"/>
      </rPr>
      <t xml:space="preserve">12/30
</t>
    </r>
    <r>
      <rPr>
        <b/>
        <sz val="14"/>
        <color rgb="FFFF0000"/>
        <rFont val="Calibri"/>
        <family val="2"/>
      </rPr>
      <t>3D</t>
    </r>
  </si>
  <si>
    <r>
      <t xml:space="preserve">9/12
</t>
    </r>
    <r>
      <rPr>
        <b/>
        <strike/>
        <sz val="14"/>
        <color rgb="FF000000"/>
        <rFont val="Calibri"/>
        <family val="2"/>
      </rPr>
      <t xml:space="preserve">9/9
</t>
    </r>
    <r>
      <rPr>
        <b/>
        <sz val="14"/>
        <color rgb="FF000000"/>
        <rFont val="Calibri"/>
        <family val="2"/>
      </rPr>
      <t>5D</t>
    </r>
  </si>
  <si>
    <r>
      <t xml:space="preserve">10/23
</t>
    </r>
    <r>
      <rPr>
        <b/>
        <strike/>
        <sz val="14"/>
        <color rgb="FF000000"/>
        <rFont val="Calibri"/>
        <family val="2"/>
      </rPr>
      <t>10D</t>
    </r>
  </si>
  <si>
    <t>11/5
15D</t>
  </si>
  <si>
    <r>
      <rPr>
        <b/>
        <sz val="14"/>
        <color rgb="FF000000"/>
        <rFont val="Calibri"/>
        <family val="2"/>
      </rPr>
      <t xml:space="preserve">11/10
</t>
    </r>
    <r>
      <rPr>
        <b/>
        <strike/>
        <sz val="14"/>
        <color rgb="FF000000"/>
        <rFont val="Calibri"/>
        <family val="2"/>
      </rPr>
      <t xml:space="preserve">11/7
</t>
    </r>
    <r>
      <rPr>
        <b/>
        <sz val="14"/>
        <color rgb="FFFF0000"/>
        <rFont val="Calibri"/>
        <family val="2"/>
      </rPr>
      <t>3D</t>
    </r>
  </si>
  <si>
    <r>
      <t xml:space="preserve">11/12
</t>
    </r>
    <r>
      <rPr>
        <b/>
        <strike/>
        <sz val="14"/>
        <color rgb="FF000000"/>
        <rFont val="Calibri"/>
        <family val="2"/>
      </rPr>
      <t xml:space="preserve">11/11
</t>
    </r>
    <r>
      <rPr>
        <b/>
        <sz val="14"/>
        <color rgb="FF000000"/>
        <rFont val="Calibri"/>
        <family val="2"/>
      </rPr>
      <t>5D</t>
    </r>
  </si>
  <si>
    <t>01/16
3D</t>
  </si>
  <si>
    <r>
      <t xml:space="preserve">01/30
</t>
    </r>
    <r>
      <rPr>
        <b/>
        <strike/>
        <sz val="14"/>
        <color rgb="FF000000"/>
        <rFont val="Calibri"/>
        <family val="2"/>
      </rPr>
      <t xml:space="preserve">3D
</t>
    </r>
    <r>
      <rPr>
        <b/>
        <sz val="14"/>
        <color rgb="FF000000"/>
        <rFont val="Calibri"/>
        <family val="2"/>
      </rPr>
      <t>20D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</si>
</sst>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275" x14ac:knownFonts="1">
    <font>
      <sz val="11"/>
      <color theme="1"/>
      <name val="Calibri"/>
      <family val="2"/>
      <scheme val="minor"/>
    </font>
    <font>
      <u/>
      <sz val="11"/>
      <color theme="10"/>
      <name val="Calibri"/>
      <family val="2"/>
      <scheme val="minor"/>
    </font>
    <font>
      <b/>
      <sz val="12"/>
      <color theme="1"/>
      <name val="Calibri"/>
      <family val="2"/>
      <scheme val="minor"/>
    </font>
    <font>
      <b/>
      <sz val="12"/>
      <color rgb="FF000000"/>
      <name val="Calibri"/>
      <family val="2"/>
    </font>
    <font>
      <b/>
      <sz val="14"/>
      <color rgb="FF000000"/>
      <name val="Calibri"/>
      <family val="2"/>
    </font>
    <font>
      <sz val="11"/>
      <color theme="1"/>
      <name val="Calibri"/>
      <family val="2"/>
    </font>
    <font>
      <sz val="12"/>
      <color theme="1"/>
      <name val="Calibri"/>
      <family val="2"/>
      <scheme val="minor"/>
    </font>
    <font>
      <b/>
      <sz val="11"/>
      <color rgb="FF000000"/>
      <name val="Calibri"/>
      <family val="2"/>
    </font>
    <font>
      <b/>
      <strike/>
      <sz val="11"/>
      <color rgb="FF000000"/>
      <name val="Calibri"/>
      <family val="2"/>
    </font>
    <font>
      <b/>
      <sz val="11"/>
      <color rgb="FF000000"/>
      <name val="Calibri"/>
    </font>
    <font>
      <b/>
      <strike/>
      <sz val="11"/>
      <color rgb="FF000000"/>
      <name val="Calibri"/>
    </font>
    <font>
      <b/>
      <sz val="9"/>
      <color rgb="FF000000"/>
      <name val="Calibri"/>
      <family val="2"/>
    </font>
    <font>
      <b/>
      <sz val="14"/>
      <color theme="4" tint="-0.249977111117893"/>
      <name val="Calibri"/>
    </font>
    <font>
      <b/>
      <sz val="14"/>
      <color rgb="FF000000"/>
      <name val="Calibri"/>
    </font>
    <font>
      <b/>
      <sz val="14"/>
      <color rgb="FFFF0000"/>
      <name val="Calibri"/>
    </font>
    <font>
      <b/>
      <u/>
      <sz val="11"/>
      <color rgb="FF000000"/>
      <name val="Calibri"/>
    </font>
    <font>
      <b/>
      <sz val="10"/>
      <color rgb="FF000000"/>
      <name val="Calibri"/>
      <family val="2"/>
    </font>
    <font>
      <b/>
      <sz val="8"/>
      <color rgb="FFFFC000"/>
      <name val="Calibri"/>
      <family val="2"/>
    </font>
    <font>
      <b/>
      <sz val="9"/>
      <color rgb="FF000000"/>
      <name val="Calibri"/>
    </font>
    <font>
      <b/>
      <strike/>
      <sz val="9"/>
      <color rgb="FF000000"/>
      <name val="Calibri"/>
      <family val="2"/>
    </font>
    <font>
      <b/>
      <sz val="11"/>
      <color theme="1"/>
      <name val="Calibri"/>
      <family val="2"/>
    </font>
    <font>
      <b/>
      <sz val="8"/>
      <color rgb="FF000000"/>
      <name val="Calibri"/>
      <family val="2"/>
    </font>
    <font>
      <b/>
      <sz val="14"/>
      <color theme="4"/>
      <name val="Calibri"/>
      <family val="2"/>
    </font>
    <font>
      <b/>
      <sz val="9"/>
      <color theme="1"/>
      <name val="Calibri"/>
      <family val="2"/>
    </font>
    <font>
      <b/>
      <sz val="14"/>
      <color theme="4"/>
      <name val="Calibri"/>
    </font>
    <font>
      <b/>
      <sz val="11"/>
      <color theme="4"/>
      <name val="Calibri"/>
      <family val="2"/>
    </font>
    <font>
      <b/>
      <sz val="11"/>
      <color rgb="FFFF0000"/>
      <name val="Calibri"/>
      <family val="2"/>
    </font>
    <font>
      <b/>
      <sz val="14"/>
      <color rgb="FFFF0000"/>
      <name val="Calibri"/>
      <family val="2"/>
    </font>
    <font>
      <b/>
      <strike/>
      <sz val="14"/>
      <color rgb="FF000000"/>
      <name val="Calibri"/>
      <family val="2"/>
    </font>
    <font>
      <b/>
      <strike/>
      <sz val="11"/>
      <color theme="1"/>
      <name val="Calibri"/>
      <family val="2"/>
    </font>
    <font>
      <b/>
      <sz val="14"/>
      <color theme="4" tint="-0.249977111117893"/>
      <name val="Calibri"/>
      <family val="2"/>
    </font>
    <font>
      <b/>
      <sz val="14"/>
      <color theme="1"/>
      <name val="Calibri"/>
      <family val="2"/>
    </font>
    <font>
      <b/>
      <u/>
      <sz val="11"/>
      <color rgb="FF000000"/>
      <name val="Calibri"/>
      <family val="2"/>
    </font>
    <font>
      <b/>
      <u/>
      <sz val="11"/>
      <color rgb="FFFF0000"/>
      <name val="Calibri"/>
      <family val="2"/>
    </font>
    <font>
      <b/>
      <u/>
      <sz val="12"/>
      <color rgb="FFFF0000"/>
      <name val="Calibri"/>
      <family val="2"/>
    </font>
    <font>
      <b/>
      <sz val="13"/>
      <color rgb="FF000000"/>
      <name val="Calibri"/>
      <family val="2"/>
    </font>
    <font>
      <b/>
      <sz val="12"/>
      <color rgb="FFFF0000"/>
      <name val="Calibri"/>
      <family val="2"/>
    </font>
    <font>
      <b/>
      <sz val="13"/>
      <color theme="4" tint="-0.249977111117893"/>
      <name val="Calibri"/>
      <family val="2"/>
    </font>
    <font>
      <b/>
      <sz val="13"/>
      <color rgb="FFFF0000"/>
      <name val="Calibri"/>
      <family val="2"/>
    </font>
    <font>
      <b/>
      <sz val="11"/>
      <color theme="4" tint="-0.249977111117893"/>
      <name val="Calibri"/>
      <family val="2"/>
    </font>
    <font>
      <b/>
      <sz val="11"/>
      <color rgb="FF104861"/>
      <name val="Calibri"/>
      <family val="2"/>
    </font>
    <font>
      <sz val="10"/>
      <color rgb="FF000000"/>
      <name val="Calibri"/>
      <family val="2"/>
    </font>
    <font>
      <sz val="8"/>
      <color rgb="FFFFC000"/>
      <name val="Calibri"/>
      <family val="2"/>
      <scheme val="minor"/>
    </font>
    <font>
      <sz val="11"/>
      <color rgb="FF000000"/>
      <name val="Calibri"/>
      <family val="2"/>
    </font>
    <font>
      <sz val="9"/>
      <color rgb="FF000000"/>
      <name val="Calibri"/>
      <family val="2"/>
      <scheme val="minor"/>
    </font>
    <font>
      <b/>
      <sz val="9"/>
      <color theme="4" tint="-0.249977111117893"/>
      <name val="Calibri"/>
      <family val="2"/>
    </font>
    <font>
      <b/>
      <strike/>
      <sz val="11"/>
      <color rgb="FFFF0000"/>
      <name val="Calibri"/>
      <family val="2"/>
    </font>
    <font>
      <b/>
      <strike/>
      <sz val="14"/>
      <color rgb="FFFF0000"/>
      <name val="Calibri"/>
      <family val="2"/>
    </font>
    <font>
      <b/>
      <strike/>
      <u/>
      <sz val="11"/>
      <color rgb="FF000000"/>
      <name val="Calibri"/>
      <family val="2"/>
    </font>
    <font>
      <b/>
      <u/>
      <sz val="14"/>
      <color rgb="FFFF0000"/>
      <name val="Calibri"/>
      <family val="2"/>
    </font>
    <font>
      <sz val="11"/>
      <color rgb="FF000000"/>
      <name val="Calibri"/>
      <family val="2"/>
      <scheme val="minor"/>
    </font>
    <font>
      <strike/>
      <sz val="9"/>
      <color rgb="FF000000"/>
      <name val="Calibri"/>
      <family val="2"/>
      <scheme val="minor"/>
    </font>
    <font>
      <b/>
      <strike/>
      <sz val="11"/>
      <color theme="4" tint="-0.249977111117893"/>
      <name val="Calibri"/>
      <family val="2"/>
    </font>
    <font>
      <b/>
      <u/>
      <sz val="11"/>
      <color rgb="FF104861"/>
      <name val="Calibri"/>
      <family val="2"/>
    </font>
    <font>
      <sz val="9"/>
      <color theme="1"/>
      <name val="Calibri"/>
      <family val="2"/>
      <scheme val="minor"/>
    </font>
    <font>
      <b/>
      <sz val="14"/>
      <color rgb="FF104861"/>
      <name val="Calibri"/>
      <family val="2"/>
    </font>
    <font>
      <b/>
      <u/>
      <sz val="12"/>
      <color rgb="FF000000"/>
      <name val="Calibri"/>
      <family val="2"/>
    </font>
    <font>
      <b/>
      <strike/>
      <sz val="14"/>
      <color rgb="FF104861"/>
      <name val="Calibri"/>
      <family val="2"/>
    </font>
    <font>
      <sz val="8"/>
      <color rgb="FF000000"/>
      <name val="Calibri"/>
      <family val="2"/>
      <scheme val="minor"/>
    </font>
    <font>
      <b/>
      <sz val="14"/>
      <color theme="4" tint="-0.499984740745262"/>
      <name val="Calibri"/>
      <family val="2"/>
    </font>
    <font>
      <b/>
      <sz val="10"/>
      <color theme="8" tint="-0.499984740745262"/>
      <name val="Calibri"/>
      <family val="2"/>
    </font>
    <font>
      <b/>
      <u/>
      <sz val="16"/>
      <color rgb="FFFF0000"/>
      <name val="Calibri"/>
      <family val="2"/>
    </font>
    <font>
      <sz val="11"/>
      <color theme="4"/>
      <name val="Calibri"/>
      <family val="2"/>
      <scheme val="minor"/>
    </font>
    <font>
      <sz val="14"/>
      <color rgb="FFFF0000"/>
      <name val="Calibri"/>
      <family val="2"/>
      <scheme val="minor"/>
    </font>
    <font>
      <b/>
      <strike/>
      <sz val="9"/>
      <color theme="4" tint="-0.249977111117893"/>
      <name val="Calibri"/>
      <family val="2"/>
    </font>
    <font>
      <b/>
      <strike/>
      <sz val="14"/>
      <color theme="4" tint="-0.249977111117893"/>
      <name val="Calibri"/>
      <family val="2"/>
    </font>
    <font>
      <b/>
      <strike/>
      <sz val="11"/>
      <color rgb="FF104861"/>
      <name val="Calibri"/>
      <family val="2"/>
    </font>
    <font>
      <strike/>
      <sz val="10"/>
      <color rgb="FF000000"/>
      <name val="Calibri"/>
      <family val="2"/>
    </font>
    <font>
      <strike/>
      <sz val="11"/>
      <color rgb="FF000000"/>
      <name val="Calibri"/>
      <family val="2"/>
    </font>
    <font>
      <strike/>
      <sz val="8"/>
      <color rgb="FFFFC000"/>
      <name val="Calibri"/>
      <family val="2"/>
      <scheme val="minor"/>
    </font>
    <font>
      <strike/>
      <sz val="11"/>
      <color rgb="FF000000"/>
      <name val="Calibri"/>
      <family val="2"/>
      <scheme val="minor"/>
    </font>
    <font>
      <b/>
      <strike/>
      <sz val="12"/>
      <color rgb="FFFF0000"/>
      <name val="Calibri"/>
      <family val="2"/>
    </font>
    <font>
      <sz val="11"/>
      <color rgb="FFFF0000"/>
      <name val="Calibri"/>
      <family val="2"/>
      <scheme val="minor"/>
    </font>
    <font>
      <b/>
      <u/>
      <sz val="18"/>
      <color rgb="FFFF0000"/>
      <name val="Calibri"/>
      <family val="2"/>
    </font>
    <font>
      <b/>
      <sz val="16"/>
      <color rgb="FF000000"/>
      <name val="Calibri"/>
      <family val="2"/>
    </font>
    <font>
      <b/>
      <strike/>
      <sz val="12"/>
      <color rgb="FF000000"/>
      <name val="Calibri"/>
      <family val="2"/>
    </font>
    <font>
      <sz val="9"/>
      <color theme="4"/>
      <name val="Calibri"/>
      <family val="2"/>
      <scheme val="minor"/>
    </font>
    <font>
      <b/>
      <sz val="11"/>
      <color rgb="FF215C98"/>
      <name val="Calibri"/>
      <family val="2"/>
    </font>
    <font>
      <b/>
      <sz val="11"/>
      <color rgb="FFD86DCD"/>
      <name val="Calibri"/>
      <family val="2"/>
    </font>
    <font>
      <b/>
      <sz val="11"/>
      <color rgb="FF156082"/>
      <name val="Calibri"/>
      <family val="2"/>
    </font>
    <font>
      <b/>
      <u/>
      <sz val="14"/>
      <color rgb="FF000000"/>
      <name val="Calibri"/>
      <family val="2"/>
    </font>
    <font>
      <sz val="10"/>
      <color theme="4" tint="-0.249977111117893"/>
      <name val="Calibri"/>
      <family val="2"/>
    </font>
    <font>
      <u/>
      <sz val="8"/>
      <color rgb="FFFFC000"/>
      <name val="Calibri"/>
      <family val="2"/>
      <scheme val="minor"/>
    </font>
    <font>
      <b/>
      <sz val="11"/>
      <color theme="4" tint="-0.499984740745262"/>
      <name val="Calibri"/>
      <family val="2"/>
    </font>
    <font>
      <b/>
      <sz val="11"/>
      <color rgb="FF0B3040"/>
      <name val="Calibri"/>
      <family val="2"/>
    </font>
    <font>
      <b/>
      <sz val="11"/>
      <color rgb="FF782170"/>
      <name val="Calibri"/>
      <family val="2"/>
    </font>
    <font>
      <b/>
      <sz val="12"/>
      <color theme="4" tint="-0.249977111117893"/>
      <name val="Calibri"/>
      <family val="2"/>
    </font>
    <font>
      <b/>
      <sz val="9"/>
      <color rgb="FF000000"/>
      <name val="Calibri"/>
      <family val="2"/>
      <scheme val="minor"/>
    </font>
    <font>
      <b/>
      <sz val="11"/>
      <color theme="8" tint="-0.249977111117893"/>
      <name val="Calibri"/>
      <family val="2"/>
    </font>
    <font>
      <b/>
      <strike/>
      <sz val="11"/>
      <color theme="4"/>
      <name val="Calibri"/>
      <family val="2"/>
    </font>
    <font>
      <b/>
      <sz val="9"/>
      <color theme="4"/>
      <name val="Calibri"/>
      <family val="2"/>
    </font>
    <font>
      <b/>
      <strike/>
      <sz val="14"/>
      <color theme="4"/>
      <name val="Calibri"/>
      <family val="2"/>
    </font>
    <font>
      <b/>
      <sz val="18"/>
      <color rgb="FFFF0000"/>
      <name val="Calibri"/>
      <family val="2"/>
    </font>
    <font>
      <b/>
      <sz val="11"/>
      <color rgb="FF7030A0"/>
      <name val="Calibri"/>
      <family val="2"/>
    </font>
    <font>
      <b/>
      <strike/>
      <u/>
      <sz val="11"/>
      <color rgb="FFFF0000"/>
      <name val="Calibri"/>
      <family val="2"/>
    </font>
    <font>
      <b/>
      <sz val="11"/>
      <color rgb="FF074F69"/>
      <name val="Calibri"/>
      <family val="2"/>
    </font>
    <font>
      <b/>
      <strike/>
      <sz val="11"/>
      <color rgb="FF074F69"/>
      <name val="Calibri"/>
      <family val="2"/>
    </font>
    <font>
      <b/>
      <sz val="11"/>
      <color theme="7" tint="-0.499984740745262"/>
      <name val="Calibri"/>
      <family val="2"/>
    </font>
    <font>
      <b/>
      <sz val="9"/>
      <color theme="7" tint="-0.499984740745262"/>
      <name val="Calibri"/>
      <family val="2"/>
    </font>
    <font>
      <b/>
      <sz val="14"/>
      <color theme="7" tint="-0.499984740745262"/>
      <name val="Calibri"/>
      <family val="2"/>
    </font>
    <font>
      <strike/>
      <sz val="8"/>
      <color rgb="FF000000"/>
      <name val="Calibri"/>
      <family val="2"/>
      <scheme val="minor"/>
    </font>
    <font>
      <b/>
      <sz val="11"/>
      <color rgb="FF000000"/>
      <name val="Calibri"/>
      <family val="2"/>
      <scheme val="minor"/>
    </font>
    <font>
      <b/>
      <sz val="11"/>
      <color rgb="FFFF0000"/>
      <name val="Calibri"/>
      <family val="2"/>
      <scheme val="minor"/>
    </font>
    <font>
      <b/>
      <u/>
      <sz val="11"/>
      <color rgb="FF000000"/>
      <name val="Calibri"/>
      <family val="2"/>
      <scheme val="minor"/>
    </font>
    <font>
      <b/>
      <strike/>
      <u/>
      <sz val="12"/>
      <color rgb="FFFF0000"/>
      <name val="Calibri"/>
      <family val="2"/>
    </font>
    <font>
      <b/>
      <strike/>
      <sz val="11"/>
      <color rgb="FF156082"/>
      <name val="Calibri"/>
      <family val="2"/>
    </font>
    <font>
      <b/>
      <sz val="14"/>
      <color rgb="FF156082"/>
      <name val="Calibri"/>
      <family val="2"/>
    </font>
    <font>
      <b/>
      <sz val="12"/>
      <color rgb="FF782170"/>
      <name val="Calibri"/>
      <family val="2"/>
    </font>
    <font>
      <b/>
      <sz val="10"/>
      <color rgb="FFFF0000"/>
      <name val="Calibri"/>
      <family val="2"/>
    </font>
    <font>
      <sz val="11"/>
      <color rgb="FF000000"/>
      <name val="Calibri"/>
      <family val="2"/>
      <charset val="1"/>
    </font>
    <font>
      <sz val="9"/>
      <color rgb="FF000000"/>
      <name val="Aptos Narrow"/>
      <family val="2"/>
    </font>
    <font>
      <b/>
      <sz val="12"/>
      <color theme="4"/>
      <name val="Calibri"/>
      <family val="2"/>
    </font>
    <font>
      <b/>
      <sz val="11"/>
      <color theme="1"/>
      <name val="Calibri"/>
      <family val="2"/>
      <scheme val="minor"/>
    </font>
    <font>
      <b/>
      <sz val="14"/>
      <color rgb="FF0D0D0D"/>
      <name val="Calibri"/>
      <family val="2"/>
    </font>
    <font>
      <b/>
      <u/>
      <sz val="11"/>
      <color rgb="FF782170"/>
      <name val="Calibri"/>
      <family val="2"/>
    </font>
    <font>
      <b/>
      <sz val="11"/>
      <color theme="3" tint="0.249977111117893"/>
      <name val="Calibri"/>
      <family val="2"/>
    </font>
    <font>
      <b/>
      <sz val="9"/>
      <color theme="3" tint="0.249977111117893"/>
      <name val="Calibri"/>
      <family val="2"/>
    </font>
    <font>
      <sz val="9"/>
      <color rgb="FFFFC000"/>
      <name val="Calibri"/>
      <family val="2"/>
      <scheme val="minor"/>
    </font>
    <font>
      <b/>
      <u/>
      <sz val="12"/>
      <color rgb="FF782170"/>
      <name val="Calibri"/>
      <family val="2"/>
    </font>
    <font>
      <b/>
      <sz val="11"/>
      <color theme="3" tint="0.249977111117893"/>
      <name val="Calibri"/>
      <family val="2"/>
      <scheme val="minor"/>
    </font>
    <font>
      <b/>
      <sz val="14"/>
      <color theme="3" tint="0.249977111117893"/>
      <name val="Calibri"/>
      <family val="2"/>
    </font>
    <font>
      <sz val="10"/>
      <color theme="1"/>
      <name val="Calibri"/>
      <family val="2"/>
    </font>
    <font>
      <b/>
      <strike/>
      <sz val="11"/>
      <color rgb="FF000000"/>
      <name val="Calibri"/>
      <family val="2"/>
      <scheme val="minor"/>
    </font>
    <font>
      <b/>
      <sz val="10"/>
      <color rgb="FF000000"/>
      <name val="Calibri"/>
      <family val="2"/>
      <scheme val="minor"/>
    </font>
    <font>
      <b/>
      <strike/>
      <u/>
      <sz val="10"/>
      <color rgb="FF000000"/>
      <name val="Calibri"/>
      <family val="2"/>
      <scheme val="minor"/>
    </font>
    <font>
      <b/>
      <sz val="9"/>
      <color rgb="FF0070C0"/>
      <name val="Calibri"/>
      <family val="2"/>
    </font>
    <font>
      <b/>
      <sz val="14"/>
      <color rgb="FF000000"/>
      <name val="Calibri"/>
      <family val="2"/>
      <scheme val="minor"/>
    </font>
    <font>
      <b/>
      <sz val="11"/>
      <color rgb="FF000000"/>
      <name val="Aptos Narrow"/>
      <family val="2"/>
    </font>
    <font>
      <b/>
      <sz val="11"/>
      <color rgb="FFFF0000"/>
      <name val="Aptos Narrow"/>
      <family val="2"/>
    </font>
    <font>
      <b/>
      <u/>
      <sz val="11"/>
      <color rgb="FFFF0000"/>
      <name val="Aptos Narrow"/>
      <family val="2"/>
    </font>
    <font>
      <b/>
      <strike/>
      <sz val="14"/>
      <color rgb="FF000000"/>
      <name val="Calibri"/>
      <family val="2"/>
      <scheme val="minor"/>
    </font>
    <font>
      <b/>
      <sz val="11"/>
      <color rgb="FF156082"/>
      <name val="Calibri"/>
      <family val="2"/>
      <scheme val="minor"/>
    </font>
    <font>
      <b/>
      <sz val="11"/>
      <color rgb="FF7030A0"/>
      <name val="Calibri"/>
      <family val="2"/>
      <scheme val="minor"/>
    </font>
    <font>
      <b/>
      <sz val="14"/>
      <color rgb="FFFF0000"/>
      <name val="Calibri"/>
      <family val="2"/>
      <scheme val="minor"/>
    </font>
    <font>
      <b/>
      <sz val="14"/>
      <color rgb="FF782170"/>
      <name val="Calibri"/>
      <family val="2"/>
      <scheme val="minor"/>
    </font>
    <font>
      <sz val="10"/>
      <color rgb="FF000000"/>
      <name val="Calibri"/>
      <family val="2"/>
      <scheme val="minor"/>
    </font>
    <font>
      <b/>
      <sz val="11"/>
      <color rgb="FF0D0D0D"/>
      <name val="Calibri"/>
      <family val="2"/>
    </font>
    <font>
      <b/>
      <strike/>
      <u/>
      <sz val="14"/>
      <color rgb="FFFF0000"/>
      <name val="Calibri"/>
      <family val="2"/>
    </font>
    <font>
      <sz val="10"/>
      <color rgb="FFFFC000"/>
      <name val="Calibri"/>
      <family val="2"/>
      <scheme val="minor"/>
    </font>
    <font>
      <b/>
      <strike/>
      <sz val="11"/>
      <color rgb="FFFF0000"/>
      <name val="Calibri"/>
      <family val="2"/>
      <scheme val="minor"/>
    </font>
    <font>
      <b/>
      <strike/>
      <sz val="11"/>
      <color rgb="FF156082"/>
      <name val="Calibri"/>
      <family val="2"/>
      <scheme val="minor"/>
    </font>
    <font>
      <b/>
      <sz val="11"/>
      <color theme="4"/>
      <name val="Calibri"/>
      <family val="2"/>
      <scheme val="minor"/>
    </font>
    <font>
      <b/>
      <sz val="11"/>
      <color theme="7" tint="-0.249977111117893"/>
      <name val="Calibri"/>
      <family val="2"/>
    </font>
    <font>
      <b/>
      <strike/>
      <sz val="10"/>
      <color rgb="FFFF0000"/>
      <name val="Calibri"/>
      <family val="2"/>
    </font>
    <font>
      <sz val="11"/>
      <color rgb="FFFFC000"/>
      <name val="Calibri"/>
      <family val="2"/>
      <scheme val="minor"/>
    </font>
    <font>
      <b/>
      <sz val="11"/>
      <color theme="3" tint="0.499984740745262"/>
      <name val="Calibri"/>
      <family val="2"/>
      <scheme val="minor"/>
    </font>
    <font>
      <b/>
      <sz val="11"/>
      <color rgb="FF4D93D9"/>
      <name val="Calibri"/>
      <family val="2"/>
      <scheme val="minor"/>
    </font>
    <font>
      <b/>
      <u/>
      <sz val="11"/>
      <color rgb="FFFF0000"/>
      <name val="Calibri"/>
      <family val="2"/>
      <scheme val="minor"/>
    </font>
    <font>
      <b/>
      <sz val="9"/>
      <color theme="3" tint="0.249977111117893"/>
      <name val="Calibri"/>
      <family val="2"/>
      <scheme val="minor"/>
    </font>
    <font>
      <b/>
      <strike/>
      <sz val="14"/>
      <color rgb="FF215C98"/>
      <name val="Calibri"/>
      <family val="2"/>
    </font>
    <font>
      <b/>
      <sz val="14"/>
      <color theme="3" tint="0.249977111117893"/>
      <name val="Calibri"/>
      <family val="2"/>
      <scheme val="minor"/>
    </font>
    <font>
      <b/>
      <sz val="11"/>
      <color rgb="FF0070C0"/>
      <name val="Calibri"/>
      <family val="2"/>
      <scheme val="minor"/>
    </font>
    <font>
      <b/>
      <sz val="12"/>
      <color rgb="FFFF0000"/>
      <name val="Calibri"/>
      <family val="2"/>
      <scheme val="minor"/>
    </font>
    <font>
      <b/>
      <sz val="11"/>
      <color rgb="FF0070C0"/>
      <name val="Calibri"/>
      <family val="2"/>
    </font>
    <font>
      <b/>
      <sz val="11"/>
      <color theme="7" tint="-0.249977111117893"/>
      <name val="Aptos Narrow"/>
      <family val="2"/>
    </font>
    <font>
      <b/>
      <strike/>
      <sz val="10"/>
      <color rgb="FF000000"/>
      <name val="Calibri"/>
      <family val="2"/>
      <scheme val="minor"/>
    </font>
    <font>
      <b/>
      <sz val="11"/>
      <color rgb="FF782170"/>
      <name val="Calibri"/>
      <family val="2"/>
      <scheme val="minor"/>
    </font>
    <font>
      <b/>
      <sz val="10"/>
      <color rgb="FFFF0000"/>
      <name val="Calibri"/>
      <family val="2"/>
      <scheme val="minor"/>
    </font>
    <font>
      <b/>
      <strike/>
      <sz val="10"/>
      <color rgb="FFFF0000"/>
      <name val="Calibri"/>
      <family val="2"/>
      <scheme val="minor"/>
    </font>
    <font>
      <b/>
      <sz val="9"/>
      <color theme="4"/>
      <name val="Calibri"/>
      <family val="2"/>
      <scheme val="minor"/>
    </font>
    <font>
      <b/>
      <sz val="14"/>
      <color rgb="FF000000"/>
      <name val="Aptos Narrow"/>
      <family val="2"/>
    </font>
    <font>
      <b/>
      <strike/>
      <sz val="10"/>
      <color rgb="FF000000"/>
      <name val="Calibri"/>
      <family val="2"/>
    </font>
    <font>
      <b/>
      <sz val="10"/>
      <color theme="3" tint="0.499984740745262"/>
      <name val="Calibri"/>
      <family val="2"/>
    </font>
    <font>
      <b/>
      <sz val="9"/>
      <color theme="3" tint="0.499984740745262"/>
      <name val="Calibri"/>
      <family val="2"/>
    </font>
    <font>
      <b/>
      <sz val="10"/>
      <color rgb="FF7030A0"/>
      <name val="Calibri"/>
      <family val="2"/>
    </font>
    <font>
      <strike/>
      <u/>
      <sz val="11"/>
      <color rgb="FF000000"/>
      <name val="Calibri"/>
      <family val="2"/>
    </font>
    <font>
      <u/>
      <sz val="11"/>
      <color rgb="FF000000"/>
      <name val="Calibri"/>
      <family val="2"/>
    </font>
    <font>
      <b/>
      <sz val="11"/>
      <color rgb="FF215C98"/>
      <name val="Calibri"/>
      <family val="2"/>
      <scheme val="minor"/>
    </font>
    <font>
      <b/>
      <sz val="9"/>
      <color theme="7" tint="-0.249977111117893"/>
      <name val="Calibri"/>
      <family val="2"/>
      <scheme val="minor"/>
    </font>
    <font>
      <b/>
      <sz val="16"/>
      <color rgb="FF000000"/>
      <name val="Calibri"/>
      <family val="2"/>
      <scheme val="minor"/>
    </font>
    <font>
      <b/>
      <strike/>
      <sz val="16"/>
      <color rgb="FF000000"/>
      <name val="Calibri"/>
      <family val="2"/>
      <scheme val="minor"/>
    </font>
    <font>
      <b/>
      <i/>
      <sz val="14"/>
      <color rgb="FF000000"/>
      <name val="Calibri"/>
      <family val="2"/>
    </font>
    <font>
      <b/>
      <sz val="8"/>
      <color rgb="FFFFC000"/>
      <name val="Calibri"/>
      <family val="2"/>
      <scheme val="minor"/>
    </font>
    <font>
      <b/>
      <sz val="14"/>
      <color rgb="FF0070C0"/>
      <name val="Calibri"/>
      <family val="2"/>
    </font>
    <font>
      <b/>
      <sz val="9"/>
      <color rgb="FFFF0000"/>
      <name val="Calibri"/>
      <family val="2"/>
    </font>
    <font>
      <b/>
      <sz val="10"/>
      <color theme="9" tint="-0.249977111117893"/>
      <name val="Calibri"/>
      <family val="2"/>
    </font>
    <font>
      <b/>
      <sz val="11"/>
      <color theme="3" tint="0.499984740745262"/>
      <name val="Calibri"/>
      <family val="2"/>
    </font>
    <font>
      <sz val="8"/>
      <color rgb="FF000000"/>
      <name val="Calibri"/>
      <family val="2"/>
    </font>
    <font>
      <sz val="11"/>
      <color theme="3" tint="0.499984740745262"/>
      <name val="Calibri"/>
      <family val="2"/>
    </font>
    <font>
      <b/>
      <sz val="11"/>
      <color rgb="FFFFFF00"/>
      <name val="Calibri"/>
      <family val="2"/>
    </font>
    <font>
      <b/>
      <strike/>
      <sz val="11"/>
      <color rgb="FF215C98"/>
      <name val="Calibri"/>
      <family val="2"/>
    </font>
    <font>
      <sz val="11"/>
      <color theme="3" tint="0.499984740745262"/>
      <name val="Calibri"/>
      <family val="2"/>
      <scheme val="minor"/>
    </font>
    <font>
      <b/>
      <sz val="11"/>
      <color theme="3" tint="9.9978637043366805E-2"/>
      <name val="Calibri"/>
      <family val="2"/>
    </font>
    <font>
      <b/>
      <u/>
      <sz val="16"/>
      <color rgb="FF000000"/>
      <name val="Calibri"/>
      <family val="2"/>
    </font>
    <font>
      <b/>
      <strike/>
      <sz val="11"/>
      <color rgb="FF4EA72E"/>
      <name val="Calibri"/>
      <family val="2"/>
    </font>
    <font>
      <b/>
      <sz val="9"/>
      <color rgb="FFFFC000"/>
      <name val="Calibri"/>
      <family val="2"/>
      <scheme val="minor"/>
    </font>
    <font>
      <b/>
      <sz val="11"/>
      <color rgb="FF00B050"/>
      <name val="Calibri"/>
      <family val="2"/>
    </font>
    <font>
      <b/>
      <sz val="9"/>
      <color rgb="FFFFC000"/>
      <name val="Calibri"/>
      <family val="2"/>
    </font>
    <font>
      <b/>
      <sz val="14"/>
      <color theme="3" tint="0.499984740745262"/>
      <name val="Calibri"/>
      <family val="2"/>
    </font>
    <font>
      <b/>
      <strike/>
      <sz val="11"/>
      <color rgb="FF000000"/>
      <name val="Aptos Narrow"/>
      <family val="2"/>
    </font>
    <font>
      <sz val="8"/>
      <color theme="1"/>
      <name val="Calibri"/>
      <family val="2"/>
    </font>
    <font>
      <b/>
      <sz val="11"/>
      <color rgb="FFFFFF00"/>
      <name val="Calibri"/>
      <family val="2"/>
      <scheme val="minor"/>
    </font>
    <font>
      <b/>
      <sz val="11"/>
      <color theme="9"/>
      <name val="Calibri"/>
      <family val="2"/>
    </font>
    <font>
      <b/>
      <strike/>
      <sz val="11"/>
      <color rgb="FF3C7D22"/>
      <name val="Aptos Narrow"/>
      <family val="2"/>
    </font>
    <font>
      <b/>
      <sz val="11"/>
      <color theme="9"/>
      <name val="Calibri"/>
      <family val="2"/>
      <scheme val="minor"/>
    </font>
    <font>
      <b/>
      <strike/>
      <sz val="11"/>
      <color rgb="FF4EA72E"/>
      <name val="Calibri"/>
      <family val="2"/>
      <scheme val="minor"/>
    </font>
    <font>
      <b/>
      <sz val="9"/>
      <color rgb="FF0070C0"/>
      <name val="Calibri"/>
      <family val="2"/>
      <scheme val="minor"/>
    </font>
    <font>
      <b/>
      <sz val="14"/>
      <color rgb="FF0070C0"/>
      <name val="Aptos Narrow"/>
      <family val="2"/>
    </font>
    <font>
      <b/>
      <strike/>
      <sz val="14"/>
      <color rgb="FF000000"/>
      <name val="Aptos Narrow"/>
      <family val="2"/>
    </font>
    <font>
      <b/>
      <u/>
      <sz val="14"/>
      <color rgb="FFFF0000"/>
      <name val="Calibri"/>
      <family val="2"/>
      <scheme val="minor"/>
    </font>
    <font>
      <sz val="9"/>
      <color rgb="FFF6D88E"/>
      <name val="Calibri"/>
      <family val="2"/>
      <scheme val="minor"/>
    </font>
    <font>
      <b/>
      <sz val="11"/>
      <color theme="3"/>
      <name val="Calibri"/>
      <family val="2"/>
    </font>
    <font>
      <b/>
      <strike/>
      <sz val="11"/>
      <color theme="3"/>
      <name val="Calibri"/>
      <family val="2"/>
    </font>
    <font>
      <b/>
      <sz val="9"/>
      <color theme="3"/>
      <name val="Calibri"/>
      <family val="2"/>
    </font>
    <font>
      <b/>
      <sz val="14"/>
      <color theme="3"/>
      <name val="Calibri"/>
      <family val="2"/>
    </font>
    <font>
      <b/>
      <sz val="10"/>
      <color theme="3"/>
      <name val="Calibri"/>
      <family val="2"/>
    </font>
    <font>
      <b/>
      <sz val="11"/>
      <color rgb="FF00B050"/>
      <name val="Calibri"/>
      <family val="2"/>
      <scheme val="minor"/>
    </font>
    <font>
      <sz val="11"/>
      <color rgb="FF242424"/>
      <name val="Aptos Narrow"/>
      <family val="2"/>
    </font>
    <font>
      <b/>
      <strike/>
      <sz val="12"/>
      <color rgb="FF000000"/>
      <name val="Calibri"/>
      <family val="2"/>
      <scheme val="minor"/>
    </font>
    <font>
      <b/>
      <sz val="12"/>
      <color rgb="FF000000"/>
      <name val="Calibri"/>
      <family val="2"/>
      <scheme val="minor"/>
    </font>
    <font>
      <b/>
      <strike/>
      <u/>
      <sz val="11"/>
      <color rgb="FFFF0000"/>
      <name val="Calibri"/>
      <family val="2"/>
      <scheme val="minor"/>
    </font>
    <font>
      <b/>
      <strike/>
      <sz val="11"/>
      <color rgb="FF0070C0"/>
      <name val="Calibri"/>
      <family val="2"/>
    </font>
    <font>
      <b/>
      <sz val="10"/>
      <color rgb="FF0070C0"/>
      <name val="Calibri"/>
      <family val="2"/>
    </font>
    <font>
      <b/>
      <sz val="14"/>
      <color rgb="FF0070C0"/>
      <name val="Calibri"/>
      <family val="2"/>
      <scheme val="minor"/>
    </font>
    <font>
      <b/>
      <strike/>
      <sz val="14"/>
      <color rgb="FF0070C0"/>
      <name val="Calibri"/>
      <family val="2"/>
      <scheme val="minor"/>
    </font>
    <font>
      <b/>
      <sz val="14"/>
      <color theme="7" tint="-0.249977111117893"/>
      <name val="Calibri"/>
      <family val="2"/>
    </font>
    <font>
      <b/>
      <u/>
      <sz val="12"/>
      <color rgb="FF000000"/>
      <name val="Calibri"/>
      <family val="2"/>
      <scheme val="minor"/>
    </font>
    <font>
      <b/>
      <u/>
      <sz val="12"/>
      <color rgb="FFFF0000"/>
      <name val="Calibri"/>
      <family val="2"/>
      <scheme val="minor"/>
    </font>
    <font>
      <b/>
      <sz val="14"/>
      <color theme="1"/>
      <name val="Calibri"/>
      <family val="2"/>
      <scheme val="minor"/>
    </font>
    <font>
      <sz val="11"/>
      <color rgb="FFF6D88E"/>
      <name val="Calibri"/>
      <family val="2"/>
      <scheme val="minor"/>
    </font>
    <font>
      <b/>
      <strike/>
      <sz val="14"/>
      <color rgb="FFFF0000"/>
      <name val="Calibri"/>
      <family val="2"/>
      <scheme val="minor"/>
    </font>
    <font>
      <b/>
      <sz val="11"/>
      <color theme="7" tint="-0.249977111117893"/>
      <name val="Calibri"/>
      <family val="2"/>
      <scheme val="minor"/>
    </font>
    <font>
      <b/>
      <sz val="11"/>
      <color theme="3" tint="0.89999084444715716"/>
      <name val="Calibri"/>
      <family val="2"/>
    </font>
    <font>
      <b/>
      <strike/>
      <sz val="11"/>
      <color rgb="FF0E2841"/>
      <name val="Calibri"/>
      <family val="2"/>
    </font>
    <font>
      <b/>
      <sz val="11"/>
      <color rgb="FF0E2841"/>
      <name val="Calibri"/>
      <family val="2"/>
    </font>
    <font>
      <b/>
      <sz val="14"/>
      <color rgb="FF0E2841"/>
      <name val="Calibri"/>
      <family val="2"/>
    </font>
    <font>
      <b/>
      <sz val="14"/>
      <color theme="4"/>
      <name val="Calibri"/>
      <family val="2"/>
      <scheme val="minor"/>
    </font>
    <font>
      <b/>
      <sz val="14"/>
      <color rgb="FF156082"/>
      <name val="Calibri"/>
      <family val="2"/>
      <scheme val="minor"/>
    </font>
    <font>
      <b/>
      <sz val="16"/>
      <color rgb="FFFF0000"/>
      <name val="Calibri"/>
      <family val="2"/>
    </font>
    <font>
      <b/>
      <sz val="11"/>
      <name val="Calibri"/>
      <family val="2"/>
    </font>
    <font>
      <b/>
      <sz val="9"/>
      <color theme="1"/>
      <name val="Calibri"/>
      <family val="2"/>
      <scheme val="minor"/>
    </font>
    <font>
      <b/>
      <sz val="11"/>
      <color rgb="FF002060"/>
      <name val="Calibri"/>
      <family val="2"/>
    </font>
    <font>
      <b/>
      <sz val="16"/>
      <color rgb="FFFF0000"/>
      <name val="Calibri"/>
      <family val="2"/>
      <scheme val="minor"/>
    </font>
    <font>
      <sz val="11"/>
      <color rgb="FF0070C0"/>
      <name val="Calibri"/>
      <family val="2"/>
      <scheme val="minor"/>
    </font>
    <font>
      <b/>
      <sz val="11"/>
      <color rgb="FFC00000"/>
      <name val="Calibri"/>
      <family val="2"/>
    </font>
    <font>
      <b/>
      <sz val="11"/>
      <color rgb="FF00B0F0"/>
      <name val="Calibri"/>
      <family val="2"/>
    </font>
    <font>
      <sz val="8"/>
      <color rgb="FFF6D88E"/>
      <name val="Calibri"/>
      <family val="2"/>
      <scheme val="minor"/>
    </font>
    <font>
      <b/>
      <sz val="11"/>
      <color theme="4" tint="-0.249977111117893"/>
      <name val="Calibri"/>
    </font>
    <font>
      <b/>
      <sz val="12"/>
      <color rgb="FFFF0000"/>
      <name val="Calibri"/>
    </font>
    <font>
      <b/>
      <strike/>
      <sz val="14"/>
      <color rgb="FF000000"/>
      <name val="Calibri"/>
    </font>
    <font>
      <b/>
      <u/>
      <sz val="11"/>
      <color rgb="FFE97132"/>
      <name val="Calibri"/>
      <family val="2"/>
    </font>
    <font>
      <b/>
      <u/>
      <sz val="11"/>
      <color rgb="FFE97132"/>
      <name val="Calibri"/>
    </font>
    <font>
      <b/>
      <u/>
      <sz val="11"/>
      <color rgb="FFFF0000"/>
      <name val="Calibri"/>
    </font>
    <font>
      <b/>
      <strike/>
      <u/>
      <sz val="11"/>
      <color rgb="FF000000"/>
      <name val="Calibri"/>
    </font>
    <font>
      <b/>
      <u/>
      <sz val="14"/>
      <color rgb="FFFF0000"/>
      <name val="Calibri"/>
    </font>
    <font>
      <b/>
      <sz val="10"/>
      <color rgb="FF000000"/>
      <name val="Calibri"/>
    </font>
    <font>
      <b/>
      <u/>
      <sz val="12"/>
      <color rgb="FFFF0000"/>
      <name val="Calibri"/>
    </font>
    <font>
      <b/>
      <sz val="10"/>
      <color theme="1"/>
      <name val="Calibri"/>
      <family val="2"/>
    </font>
    <font>
      <b/>
      <sz val="8"/>
      <color rgb="FFFFC000"/>
      <name val="Calibri"/>
    </font>
    <font>
      <b/>
      <sz val="11"/>
      <color rgb="FFFF0000"/>
      <name val="Calibri"/>
    </font>
    <font>
      <b/>
      <sz val="14"/>
      <color rgb="FF156082"/>
      <name val="Calibri"/>
    </font>
    <font>
      <b/>
      <sz val="11"/>
      <color rgb="FF0070C0"/>
      <name val="Calibri"/>
    </font>
    <font>
      <b/>
      <sz val="12"/>
      <color rgb="FF000000"/>
      <name val="Calibri"/>
    </font>
    <font>
      <b/>
      <sz val="11"/>
      <color theme="1"/>
      <name val="Calibri"/>
    </font>
    <font>
      <b/>
      <sz val="9"/>
      <color theme="1"/>
      <name val="Calibri"/>
    </font>
    <font>
      <b/>
      <sz val="11"/>
      <color rgb="FF104861"/>
      <name val="Calibri"/>
    </font>
    <font>
      <b/>
      <strike/>
      <sz val="11"/>
      <color rgb="FFFF0000"/>
      <name val="Calibri"/>
    </font>
    <font>
      <b/>
      <sz val="14"/>
      <color rgb="FF3C7D22"/>
      <name val="Calibri"/>
    </font>
    <font>
      <b/>
      <strike/>
      <sz val="9"/>
      <color rgb="FF000000"/>
      <name val="Calibri"/>
    </font>
    <font>
      <b/>
      <sz val="8"/>
      <color rgb="FF000000"/>
      <name val="Calibri"/>
    </font>
    <font>
      <b/>
      <sz val="9"/>
      <color theme="4" tint="-0.249977111117893"/>
      <name val="Calibri"/>
    </font>
    <font>
      <b/>
      <strike/>
      <sz val="14"/>
      <color rgb="FF3C7D22"/>
      <name val="Calibri"/>
    </font>
    <font>
      <b/>
      <strike/>
      <sz val="11"/>
      <color theme="4" tint="-0.249977111117893"/>
      <name val="Calibri"/>
    </font>
    <font>
      <b/>
      <sz val="11"/>
      <color rgb="FFFF0000"/>
      <name val="Calibri"/>
      <charset val="1"/>
    </font>
    <font>
      <b/>
      <sz val="11"/>
      <color theme="4"/>
      <name val="Calibri"/>
    </font>
    <font>
      <b/>
      <sz val="9"/>
      <color theme="4"/>
      <name val="Calibri"/>
    </font>
    <font>
      <b/>
      <strike/>
      <sz val="14"/>
      <color theme="4" tint="-0.249977111117893"/>
      <name val="Calibri"/>
    </font>
    <font>
      <sz val="11"/>
      <color theme="1"/>
      <name val="Calibri"/>
    </font>
    <font>
      <sz val="9"/>
      <color rgb="FF000000"/>
      <name val="Calibri"/>
    </font>
    <font>
      <b/>
      <strike/>
      <sz val="8"/>
      <color rgb="FFFFC000"/>
      <name val="Calibri"/>
    </font>
    <font>
      <b/>
      <u/>
      <sz val="11"/>
      <color rgb="FF7030A0"/>
      <name val="Calibri"/>
    </font>
    <font>
      <b/>
      <sz val="16"/>
      <color rgb="FF000000"/>
      <name val="Calibri"/>
    </font>
    <font>
      <b/>
      <strike/>
      <u val="double"/>
      <sz val="11"/>
      <color rgb="FF000000"/>
      <name val="Calibri"/>
    </font>
    <font>
      <b/>
      <sz val="11"/>
      <color rgb="FF7030A0"/>
      <name val="Calibri"/>
    </font>
    <font>
      <b/>
      <sz val="14"/>
      <color rgb="FF104861"/>
      <name val="Calibri"/>
    </font>
  </fonts>
  <fills count="32">
    <fill>
      <patternFill patternType="none"/>
    </fill>
    <fill>
      <patternFill patternType="gray125"/>
    </fill>
    <fill>
      <patternFill patternType="solid">
        <fgColor theme="0" tint="-0.249977111117893"/>
        <bgColor indexed="64"/>
      </patternFill>
    </fill>
    <fill>
      <patternFill patternType="solid">
        <fgColor theme="3" tint="0.89999084444715716"/>
        <bgColor rgb="FF000000"/>
      </patternFill>
    </fill>
    <fill>
      <patternFill patternType="solid">
        <fgColor rgb="FFF2F2F2"/>
        <bgColor rgb="FF000000"/>
      </patternFill>
    </fill>
    <fill>
      <patternFill patternType="solid">
        <fgColor theme="8"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0"/>
        <bgColor indexed="64"/>
      </patternFill>
    </fill>
    <fill>
      <patternFill patternType="solid">
        <fgColor theme="1"/>
        <bgColor indexed="64"/>
      </patternFill>
    </fill>
    <fill>
      <patternFill patternType="solid">
        <fgColor theme="7"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FFFF"/>
        <bgColor indexed="64"/>
      </patternFill>
    </fill>
    <fill>
      <patternFill patternType="solid">
        <fgColor theme="3" tint="0.749992370372631"/>
        <bgColor indexed="64"/>
      </patternFill>
    </fill>
    <fill>
      <patternFill patternType="solid">
        <fgColor rgb="FFFF0000"/>
        <bgColor indexed="64"/>
      </patternFill>
    </fill>
    <fill>
      <patternFill patternType="solid">
        <fgColor rgb="FF92D977"/>
        <bgColor indexed="64"/>
      </patternFill>
    </fill>
    <fill>
      <patternFill patternType="solid">
        <fgColor theme="3" tint="0.499984740745262"/>
        <bgColor indexed="64"/>
      </patternFill>
    </fill>
    <fill>
      <patternFill patternType="solid">
        <fgColor theme="9"/>
        <bgColor indexed="64"/>
      </patternFill>
    </fill>
    <fill>
      <patternFill patternType="solid">
        <fgColor rgb="FFD4DEFE"/>
        <bgColor indexed="64"/>
      </patternFill>
    </fill>
    <fill>
      <patternFill patternType="solid">
        <fgColor theme="0" tint="-4.9989318521683403E-2"/>
        <bgColor indexed="64"/>
      </patternFill>
    </fill>
    <fill>
      <patternFill patternType="solid">
        <fgColor theme="0" tint="-0.14999847407452621"/>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rgb="FF000000"/>
      </right>
      <top/>
      <bottom style="thin">
        <color rgb="FF000000"/>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thin">
        <color rgb="FF000000"/>
      </bottom>
      <diagonal/>
    </border>
    <border>
      <left style="thin">
        <color indexed="64"/>
      </left>
      <right style="thin">
        <color indexed="64"/>
      </right>
      <top/>
      <bottom style="thin">
        <color rgb="FF000000"/>
      </bottom>
      <diagonal/>
    </border>
    <border>
      <left style="thin">
        <color rgb="FF000000"/>
      </left>
      <right/>
      <top style="thin">
        <color rgb="FF000000"/>
      </top>
      <bottom style="thin">
        <color rgb="FF000000"/>
      </bottom>
      <diagonal/>
    </border>
    <border>
      <left/>
      <right style="thin">
        <color indexed="64"/>
      </right>
      <top/>
      <bottom/>
      <diagonal/>
    </border>
    <border>
      <left style="thin">
        <color indexed="64"/>
      </left>
      <right style="thin">
        <color indexed="64"/>
      </right>
      <top/>
      <bottom/>
      <diagonal/>
    </border>
    <border>
      <left/>
      <right/>
      <top style="thin">
        <color rgb="FF000000"/>
      </top>
      <bottom style="thin">
        <color rgb="FF000000"/>
      </bottom>
      <diagonal/>
    </border>
    <border>
      <left style="thin">
        <color rgb="FF000000"/>
      </left>
      <right/>
      <top/>
      <bottom style="thin">
        <color rgb="FF000000"/>
      </bottom>
      <diagonal/>
    </border>
    <border>
      <left style="thin">
        <color indexed="64"/>
      </left>
      <right/>
      <top/>
      <bottom/>
      <diagonal/>
    </border>
    <border>
      <left/>
      <right style="thin">
        <color rgb="FF000000"/>
      </right>
      <top/>
      <bottom/>
      <diagonal/>
    </border>
    <border>
      <left style="thin">
        <color indexed="64"/>
      </left>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505">
    <xf numFmtId="0" fontId="0" fillId="0" borderId="0" xfId="0"/>
    <xf numFmtId="0" fontId="2" fillId="2" borderId="1" xfId="0" applyFont="1" applyFill="1" applyBorder="1" applyAlignment="1">
      <alignment horizontal="center" textRotation="90"/>
    </xf>
    <xf numFmtId="0" fontId="3" fillId="3" borderId="2" xfId="0" applyFont="1" applyFill="1" applyBorder="1" applyAlignment="1">
      <alignment horizontal="center" textRotation="90" wrapText="1"/>
    </xf>
    <xf numFmtId="0" fontId="3" fillId="3" borderId="3" xfId="0" applyFont="1" applyFill="1" applyBorder="1" applyAlignment="1">
      <alignment horizontal="center" textRotation="90" wrapText="1"/>
    </xf>
    <xf numFmtId="0" fontId="4" fillId="3" borderId="3" xfId="0" applyFont="1" applyFill="1" applyBorder="1" applyAlignment="1">
      <alignment horizontal="center" textRotation="90" wrapText="1"/>
    </xf>
    <xf numFmtId="0" fontId="3" fillId="3" borderId="3" xfId="0" applyFont="1" applyFill="1" applyBorder="1" applyAlignment="1">
      <alignment horizontal="center" textRotation="90"/>
    </xf>
    <xf numFmtId="0" fontId="3" fillId="3" borderId="4" xfId="0" applyFont="1" applyFill="1" applyBorder="1" applyAlignment="1">
      <alignment horizontal="center" textRotation="90"/>
    </xf>
    <xf numFmtId="0" fontId="3" fillId="3" borderId="5" xfId="0" applyFont="1" applyFill="1" applyBorder="1" applyAlignment="1">
      <alignment horizontal="center" textRotation="90" wrapText="1"/>
    </xf>
    <xf numFmtId="0" fontId="3" fillId="4" borderId="3" xfId="0" applyFont="1" applyFill="1" applyBorder="1" applyAlignment="1">
      <alignment horizontal="center" textRotation="90" wrapText="1"/>
    </xf>
    <xf numFmtId="0" fontId="3" fillId="4" borderId="6" xfId="0" applyFont="1" applyFill="1" applyBorder="1" applyAlignment="1">
      <alignment horizontal="center" textRotation="90" wrapText="1"/>
    </xf>
    <xf numFmtId="164" fontId="3" fillId="4" borderId="3" xfId="0" applyNumberFormat="1" applyFont="1" applyFill="1" applyBorder="1" applyAlignment="1">
      <alignment horizontal="center" textRotation="90" wrapText="1"/>
    </xf>
    <xf numFmtId="0" fontId="3" fillId="5" borderId="4" xfId="0" applyFont="1" applyFill="1" applyBorder="1" applyAlignment="1">
      <alignment horizontal="center" textRotation="90" wrapText="1"/>
    </xf>
    <xf numFmtId="0" fontId="5" fillId="0" borderId="0" xfId="0" applyFont="1"/>
    <xf numFmtId="0" fontId="6" fillId="0" borderId="0" xfId="0" applyFont="1" applyAlignment="1">
      <alignment horizontal="center"/>
    </xf>
    <xf numFmtId="14" fontId="5" fillId="0" borderId="7" xfId="0" applyNumberFormat="1" applyFont="1" applyBorder="1" applyAlignment="1">
      <alignment vertical="center"/>
    </xf>
    <xf numFmtId="0" fontId="7" fillId="6" borderId="3" xfId="0" applyFont="1" applyFill="1" applyBorder="1" applyAlignment="1">
      <alignment horizontal="left" vertical="top" wrapText="1"/>
    </xf>
    <xf numFmtId="0" fontId="9" fillId="6" borderId="3" xfId="0" applyFont="1" applyFill="1" applyBorder="1" applyAlignment="1">
      <alignment horizontal="left" vertical="top" wrapText="1"/>
    </xf>
    <xf numFmtId="0" fontId="7" fillId="6" borderId="3" xfId="0" applyFont="1" applyFill="1" applyBorder="1" applyAlignment="1">
      <alignment horizontal="center" vertical="center" wrapText="1"/>
    </xf>
    <xf numFmtId="0" fontId="11" fillId="6" borderId="3" xfId="0" applyFont="1" applyFill="1" applyBorder="1" applyAlignment="1">
      <alignment horizontal="left" vertical="top" textRotation="90" wrapText="1"/>
    </xf>
    <xf numFmtId="0" fontId="11" fillId="7" borderId="3" xfId="0" applyFont="1" applyFill="1" applyBorder="1" applyAlignment="1">
      <alignment horizontal="center" vertical="center" textRotation="90" wrapText="1"/>
    </xf>
    <xf numFmtId="0" fontId="12" fillId="8" borderId="1"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9" fillId="9" borderId="3" xfId="0" applyFont="1" applyFill="1" applyBorder="1" applyAlignment="1">
      <alignment horizontal="center" vertical="top" wrapText="1"/>
    </xf>
    <xf numFmtId="16" fontId="7" fillId="6" borderId="3" xfId="0" applyNumberFormat="1" applyFont="1" applyFill="1" applyBorder="1" applyAlignment="1">
      <alignment horizontal="left" vertical="center" wrapText="1"/>
    </xf>
    <xf numFmtId="0" fontId="7" fillId="6" borderId="3" xfId="0" applyFont="1" applyFill="1" applyBorder="1" applyAlignment="1">
      <alignment horizontal="left" vertical="center" wrapText="1"/>
    </xf>
    <xf numFmtId="22" fontId="7" fillId="6" borderId="3" xfId="0" applyNumberFormat="1" applyFont="1" applyFill="1" applyBorder="1" applyAlignment="1">
      <alignment horizontal="left" vertical="center" wrapText="1"/>
    </xf>
    <xf numFmtId="0" fontId="7" fillId="6" borderId="1"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16" fillId="10" borderId="3" xfId="0" applyFont="1" applyFill="1" applyBorder="1" applyAlignment="1">
      <alignment horizontal="left" vertical="top" wrapText="1"/>
    </xf>
    <xf numFmtId="0" fontId="7" fillId="0" borderId="8" xfId="0" applyFont="1" applyBorder="1" applyAlignment="1">
      <alignment horizontal="center" vertical="center" wrapText="1"/>
    </xf>
    <xf numFmtId="0" fontId="17" fillId="11" borderId="1" xfId="0" applyFont="1" applyFill="1" applyBorder="1" applyAlignment="1">
      <alignment horizontal="left" vertical="top" wrapText="1"/>
    </xf>
    <xf numFmtId="0" fontId="7" fillId="10" borderId="2" xfId="0" applyFont="1" applyFill="1" applyBorder="1" applyAlignment="1">
      <alignment horizontal="left" vertical="top" wrapText="1"/>
    </xf>
    <xf numFmtId="49" fontId="7" fillId="12" borderId="3" xfId="0" applyNumberFormat="1" applyFont="1" applyFill="1" applyBorder="1" applyAlignment="1">
      <alignment horizontal="left" vertical="top" wrapText="1"/>
    </xf>
    <xf numFmtId="0" fontId="7" fillId="10" borderId="3" xfId="0" applyFont="1" applyFill="1" applyBorder="1" applyAlignment="1">
      <alignment horizontal="left" vertical="top"/>
    </xf>
    <xf numFmtId="0" fontId="7" fillId="0" borderId="0" xfId="0" applyFont="1"/>
    <xf numFmtId="0" fontId="18" fillId="10" borderId="0" xfId="0" applyFont="1" applyFill="1" applyAlignment="1">
      <alignment wrapText="1"/>
    </xf>
    <xf numFmtId="0" fontId="11" fillId="0" borderId="0" xfId="0" applyFont="1" applyAlignment="1">
      <alignment wrapText="1"/>
    </xf>
    <xf numFmtId="0" fontId="19" fillId="13" borderId="0" xfId="0" applyFont="1" applyFill="1" applyAlignment="1">
      <alignment wrapText="1"/>
    </xf>
    <xf numFmtId="1" fontId="20" fillId="0" borderId="0" xfId="0" applyNumberFormat="1" applyFont="1" applyAlignment="1">
      <alignment horizontal="right"/>
    </xf>
    <xf numFmtId="0" fontId="7" fillId="0" borderId="3" xfId="0" applyFont="1" applyBorder="1" applyAlignment="1">
      <alignment horizontal="left" vertical="top" wrapText="1"/>
    </xf>
    <xf numFmtId="0" fontId="7" fillId="0" borderId="3" xfId="0" applyFont="1" applyBorder="1" applyAlignment="1">
      <alignment horizontal="center" vertical="center" wrapText="1"/>
    </xf>
    <xf numFmtId="0" fontId="11" fillId="0" borderId="3" xfId="0" applyFont="1" applyBorder="1" applyAlignment="1">
      <alignment horizontal="left" vertical="top" textRotation="90" wrapText="1"/>
    </xf>
    <xf numFmtId="0" fontId="13" fillId="8" borderId="1" xfId="0" applyFont="1" applyFill="1" applyBorder="1" applyAlignment="1">
      <alignment horizontal="center" vertical="center" wrapText="1"/>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7" fillId="10" borderId="9" xfId="0" applyFont="1" applyFill="1" applyBorder="1" applyAlignment="1">
      <alignment horizontal="center" vertical="center" wrapText="1"/>
    </xf>
    <xf numFmtId="0" fontId="9" fillId="7" borderId="3" xfId="0" applyFont="1" applyFill="1" applyBorder="1" applyAlignment="1">
      <alignment horizontal="center" vertical="top" wrapText="1"/>
    </xf>
    <xf numFmtId="0" fontId="7" fillId="10" borderId="3"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7" fillId="10" borderId="8" xfId="0" applyFont="1" applyFill="1" applyBorder="1" applyAlignment="1">
      <alignment horizontal="center" vertical="center" wrapText="1"/>
    </xf>
    <xf numFmtId="0" fontId="21" fillId="11" borderId="1" xfId="0" applyFont="1" applyFill="1" applyBorder="1" applyAlignment="1">
      <alignment horizontal="left" vertical="top" wrapText="1"/>
    </xf>
    <xf numFmtId="0" fontId="7" fillId="9" borderId="3" xfId="0" applyFont="1" applyFill="1" applyBorder="1" applyAlignment="1">
      <alignment horizontal="left" vertical="top" wrapText="1"/>
    </xf>
    <xf numFmtId="0" fontId="9" fillId="9" borderId="3" xfId="0" applyFont="1" applyFill="1" applyBorder="1" applyAlignment="1">
      <alignment horizontal="left" vertical="top" wrapText="1"/>
    </xf>
    <xf numFmtId="0" fontId="7" fillId="9" borderId="3" xfId="0" applyFont="1" applyFill="1" applyBorder="1" applyAlignment="1">
      <alignment horizontal="center" vertical="center" wrapText="1"/>
    </xf>
    <xf numFmtId="0" fontId="11" fillId="9" borderId="3" xfId="0" applyFont="1" applyFill="1" applyBorder="1" applyAlignment="1">
      <alignment horizontal="left" vertical="top" textRotation="90" wrapText="1"/>
    </xf>
    <xf numFmtId="0" fontId="22" fillId="8" borderId="1" xfId="0" applyFont="1" applyFill="1" applyBorder="1" applyAlignment="1">
      <alignment horizontal="center" vertical="center" wrapText="1"/>
    </xf>
    <xf numFmtId="0" fontId="4" fillId="9" borderId="8"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9" borderId="3" xfId="0" applyFont="1" applyFill="1" applyBorder="1" applyAlignment="1">
      <alignment horizontal="left" vertical="center" wrapText="1"/>
    </xf>
    <xf numFmtId="0" fontId="7" fillId="9" borderId="8" xfId="0" applyFont="1" applyFill="1" applyBorder="1" applyAlignment="1">
      <alignment horizontal="center" vertical="center" wrapText="1"/>
    </xf>
    <xf numFmtId="0" fontId="20" fillId="0" borderId="8" xfId="0" applyFont="1" applyBorder="1" applyAlignment="1">
      <alignment horizontal="center" vertical="center" wrapText="1"/>
    </xf>
    <xf numFmtId="49" fontId="7" fillId="10" borderId="3" xfId="0" applyNumberFormat="1" applyFont="1" applyFill="1" applyBorder="1" applyAlignment="1">
      <alignment horizontal="left" vertical="top" wrapText="1"/>
    </xf>
    <xf numFmtId="0" fontId="20" fillId="0" borderId="0" xfId="0" applyFont="1"/>
    <xf numFmtId="0" fontId="11" fillId="10" borderId="0" xfId="0" applyFont="1" applyFill="1" applyAlignment="1">
      <alignment wrapText="1"/>
    </xf>
    <xf numFmtId="0" fontId="23" fillId="0" borderId="0" xfId="0" applyFont="1" applyAlignment="1">
      <alignment wrapText="1"/>
    </xf>
    <xf numFmtId="0" fontId="24" fillId="8" borderId="1" xfId="0" applyFont="1" applyFill="1" applyBorder="1" applyAlignment="1">
      <alignment horizontal="center" vertical="center" wrapText="1"/>
    </xf>
    <xf numFmtId="0" fontId="24" fillId="9" borderId="1" xfId="0" applyFont="1" applyFill="1" applyBorder="1" applyAlignment="1">
      <alignment horizontal="center" vertical="center" wrapText="1"/>
    </xf>
    <xf numFmtId="0" fontId="25" fillId="0" borderId="3" xfId="0" applyFont="1" applyBorder="1" applyAlignment="1">
      <alignment horizontal="left" vertical="top" wrapText="1"/>
    </xf>
    <xf numFmtId="0" fontId="4" fillId="8" borderId="1" xfId="0" applyFont="1" applyFill="1" applyBorder="1" applyAlignment="1">
      <alignment horizontal="center" vertical="center" wrapText="1"/>
    </xf>
    <xf numFmtId="0" fontId="7" fillId="0" borderId="3" xfId="0" applyFont="1" applyBorder="1" applyAlignment="1">
      <alignment horizontal="center" vertical="center" textRotation="255" wrapText="1"/>
    </xf>
    <xf numFmtId="0" fontId="26" fillId="7" borderId="3" xfId="0" applyFont="1" applyFill="1" applyBorder="1" applyAlignment="1">
      <alignment horizontal="center" vertical="top" wrapText="1"/>
    </xf>
    <xf numFmtId="0" fontId="7" fillId="14" borderId="8" xfId="0" applyFont="1" applyFill="1" applyBorder="1" applyAlignment="1">
      <alignment horizontal="center" vertical="center" wrapText="1"/>
    </xf>
    <xf numFmtId="0" fontId="20" fillId="10" borderId="1" xfId="0" applyFont="1" applyFill="1" applyBorder="1" applyAlignment="1">
      <alignment horizontal="center" vertical="center" wrapText="1"/>
    </xf>
    <xf numFmtId="0" fontId="7" fillId="7" borderId="3" xfId="0" applyFont="1" applyFill="1" applyBorder="1" applyAlignment="1">
      <alignment horizontal="center" vertical="top" wrapText="1"/>
    </xf>
    <xf numFmtId="0" fontId="11" fillId="13" borderId="0" xfId="0" applyFont="1" applyFill="1" applyAlignment="1">
      <alignment wrapText="1"/>
    </xf>
    <xf numFmtId="0" fontId="7" fillId="9" borderId="9" xfId="0" applyFont="1" applyFill="1" applyBorder="1" applyAlignment="1">
      <alignment horizontal="center" vertical="center" wrapText="1"/>
    </xf>
    <xf numFmtId="0" fontId="7" fillId="9" borderId="3" xfId="0" applyFont="1" applyFill="1" applyBorder="1" applyAlignment="1">
      <alignment horizontal="center" vertical="top" wrapText="1"/>
    </xf>
    <xf numFmtId="0" fontId="20" fillId="10" borderId="3" xfId="0" applyFont="1" applyFill="1" applyBorder="1" applyAlignment="1">
      <alignment horizontal="left" vertical="top" wrapText="1"/>
    </xf>
    <xf numFmtId="0" fontId="7" fillId="10" borderId="3" xfId="0" applyFont="1" applyFill="1" applyBorder="1" applyAlignment="1">
      <alignment horizontal="left" vertical="top" wrapText="1"/>
    </xf>
    <xf numFmtId="0" fontId="20" fillId="0" borderId="3" xfId="0" applyFont="1" applyBorder="1" applyAlignment="1">
      <alignment horizontal="left" vertical="top" wrapText="1"/>
    </xf>
    <xf numFmtId="0" fontId="20" fillId="0" borderId="3" xfId="0" applyFont="1" applyBorder="1" applyAlignment="1">
      <alignment horizontal="center" vertical="center" wrapText="1"/>
    </xf>
    <xf numFmtId="0" fontId="23" fillId="0" borderId="3" xfId="0" applyFont="1" applyBorder="1" applyAlignment="1">
      <alignment horizontal="left" vertical="top" textRotation="90" wrapText="1"/>
    </xf>
    <xf numFmtId="0" fontId="30" fillId="8" borderId="1" xfId="0" applyFont="1" applyFill="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0" fontId="20" fillId="14" borderId="1" xfId="0" applyFont="1" applyFill="1" applyBorder="1" applyAlignment="1">
      <alignment horizontal="center" vertical="center" wrapText="1"/>
    </xf>
    <xf numFmtId="0" fontId="20" fillId="10" borderId="3" xfId="0" applyFont="1" applyFill="1" applyBorder="1" applyAlignment="1">
      <alignment horizontal="center" vertical="center" wrapText="1"/>
    </xf>
    <xf numFmtId="0" fontId="20" fillId="10" borderId="8"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16" fillId="14" borderId="3" xfId="0" applyFont="1" applyFill="1" applyBorder="1" applyAlignment="1">
      <alignment horizontal="left" vertical="top" wrapText="1"/>
    </xf>
    <xf numFmtId="0" fontId="16" fillId="15" borderId="3" xfId="0" applyFont="1" applyFill="1" applyBorder="1" applyAlignment="1">
      <alignment horizontal="left" vertical="top" wrapText="1"/>
    </xf>
    <xf numFmtId="0" fontId="7" fillId="15" borderId="3" xfId="0" applyFont="1" applyFill="1" applyBorder="1" applyAlignment="1">
      <alignment horizontal="left" vertical="top" wrapText="1"/>
    </xf>
    <xf numFmtId="0" fontId="7" fillId="15" borderId="3" xfId="0" applyFont="1" applyFill="1" applyBorder="1" applyAlignment="1">
      <alignment horizontal="center" vertical="center" wrapText="1"/>
    </xf>
    <xf numFmtId="0" fontId="11" fillId="15" borderId="3" xfId="0" applyFont="1" applyFill="1" applyBorder="1" applyAlignment="1">
      <alignment horizontal="left" vertical="top" textRotation="90" wrapText="1"/>
    </xf>
    <xf numFmtId="0" fontId="4" fillId="15" borderId="8"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7" fillId="15" borderId="9" xfId="0" applyFont="1" applyFill="1" applyBorder="1" applyAlignment="1">
      <alignment horizontal="center" vertical="center" wrapText="1"/>
    </xf>
    <xf numFmtId="0" fontId="7" fillId="15" borderId="3" xfId="0" applyFont="1" applyFill="1" applyBorder="1" applyAlignment="1">
      <alignment horizontal="center" vertical="top" wrapText="1"/>
    </xf>
    <xf numFmtId="0" fontId="7" fillId="15" borderId="3" xfId="0" applyFont="1" applyFill="1" applyBorder="1" applyAlignment="1">
      <alignment horizontal="left" vertical="center" wrapText="1"/>
    </xf>
    <xf numFmtId="0" fontId="7" fillId="15" borderId="1" xfId="0" applyFont="1" applyFill="1" applyBorder="1" applyAlignment="1">
      <alignment horizontal="center" vertical="center" wrapText="1"/>
    </xf>
    <xf numFmtId="0" fontId="7" fillId="15" borderId="8" xfId="0" applyFont="1" applyFill="1" applyBorder="1" applyAlignment="1">
      <alignment horizontal="center" vertical="center" wrapText="1"/>
    </xf>
    <xf numFmtId="22" fontId="7" fillId="15" borderId="3" xfId="0" applyNumberFormat="1" applyFont="1" applyFill="1" applyBorder="1" applyAlignment="1">
      <alignment horizontal="left" vertical="center" wrapText="1"/>
    </xf>
    <xf numFmtId="49" fontId="25" fillId="10" borderId="3" xfId="0" applyNumberFormat="1" applyFont="1" applyFill="1" applyBorder="1" applyAlignment="1">
      <alignment horizontal="left" vertical="top" wrapText="1"/>
    </xf>
    <xf numFmtId="0" fontId="11" fillId="14" borderId="0" xfId="0" applyFont="1" applyFill="1" applyAlignment="1">
      <alignment wrapText="1"/>
    </xf>
    <xf numFmtId="0" fontId="11" fillId="10" borderId="3" xfId="0" applyFont="1" applyFill="1" applyBorder="1" applyAlignment="1">
      <alignment horizontal="left" vertical="top" textRotation="90" wrapText="1"/>
    </xf>
    <xf numFmtId="0" fontId="35" fillId="8" borderId="1" xfId="0" applyFont="1" applyFill="1" applyBorder="1" applyAlignment="1">
      <alignment horizontal="center" vertical="center" wrapText="1"/>
    </xf>
    <xf numFmtId="0" fontId="4" fillId="10" borderId="8"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20" fillId="0" borderId="1" xfId="0" applyFont="1" applyBorder="1"/>
    <xf numFmtId="0" fontId="37" fillId="8" borderId="10" xfId="0" applyFont="1" applyFill="1" applyBorder="1" applyAlignment="1">
      <alignment horizontal="center" vertical="center" wrapText="1"/>
    </xf>
    <xf numFmtId="0" fontId="4" fillId="8" borderId="7" xfId="0" applyFont="1" applyFill="1" applyBorder="1" applyAlignment="1">
      <alignment horizontal="center" vertical="center" wrapText="1"/>
    </xf>
    <xf numFmtId="49" fontId="7" fillId="16" borderId="3" xfId="0" applyNumberFormat="1" applyFont="1" applyFill="1" applyBorder="1" applyAlignment="1">
      <alignment horizontal="left" vertical="top" wrapText="1"/>
    </xf>
    <xf numFmtId="0" fontId="4" fillId="9" borderId="1" xfId="0" applyFont="1" applyFill="1" applyBorder="1" applyAlignment="1">
      <alignment horizontal="center" vertical="center" wrapText="1"/>
    </xf>
    <xf numFmtId="0" fontId="30" fillId="8" borderId="11" xfId="0" applyFont="1" applyFill="1" applyBorder="1" applyAlignment="1">
      <alignment horizontal="center" vertical="center" wrapText="1"/>
    </xf>
    <xf numFmtId="0" fontId="39" fillId="0" borderId="0" xfId="0" applyFont="1"/>
    <xf numFmtId="0" fontId="40" fillId="7" borderId="3" xfId="0" applyFont="1" applyFill="1" applyBorder="1" applyAlignment="1">
      <alignment horizontal="center" vertical="top" wrapText="1"/>
    </xf>
    <xf numFmtId="0" fontId="7" fillId="0" borderId="4" xfId="0" applyFont="1" applyBorder="1" applyAlignment="1">
      <alignment horizontal="left" vertical="top" wrapText="1"/>
    </xf>
    <xf numFmtId="0" fontId="7" fillId="0" borderId="4" xfId="0" applyFont="1" applyBorder="1" applyAlignment="1">
      <alignment horizontal="center" vertical="center" wrapText="1"/>
    </xf>
    <xf numFmtId="0" fontId="11" fillId="0" borderId="4" xfId="0" applyFont="1" applyBorder="1" applyAlignment="1">
      <alignment horizontal="left" vertical="top" textRotation="90" wrapText="1"/>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7" fillId="10" borderId="12" xfId="0" applyFont="1" applyFill="1" applyBorder="1" applyAlignment="1">
      <alignment horizontal="center" vertical="center" wrapText="1"/>
    </xf>
    <xf numFmtId="0" fontId="7" fillId="0" borderId="4" xfId="0" applyFont="1" applyBorder="1" applyAlignment="1">
      <alignment horizontal="center" vertical="center" textRotation="255" wrapText="1"/>
    </xf>
    <xf numFmtId="0" fontId="3" fillId="7" borderId="7" xfId="0" applyFont="1" applyFill="1" applyBorder="1" applyAlignment="1">
      <alignment horizontal="center" vertical="top" wrapText="1"/>
    </xf>
    <xf numFmtId="0" fontId="7" fillId="10" borderId="4" xfId="0" applyFont="1" applyFill="1" applyBorder="1" applyAlignment="1">
      <alignment horizontal="left" vertical="center" wrapText="1"/>
    </xf>
    <xf numFmtId="0" fontId="7" fillId="10" borderId="4" xfId="0" applyFont="1" applyFill="1" applyBorder="1" applyAlignment="1">
      <alignment horizontal="center" vertical="center" wrapText="1"/>
    </xf>
    <xf numFmtId="0" fontId="41" fillId="10" borderId="4" xfId="0" applyFont="1" applyFill="1" applyBorder="1" applyAlignment="1">
      <alignment horizontal="left" vertical="top" wrapText="1"/>
    </xf>
    <xf numFmtId="0" fontId="5" fillId="0" borderId="5" xfId="0" applyFont="1" applyBorder="1" applyAlignment="1">
      <alignment horizontal="center" vertical="center" wrapText="1"/>
    </xf>
    <xf numFmtId="0" fontId="42" fillId="11" borderId="7" xfId="0" applyFont="1" applyFill="1" applyBorder="1" applyAlignment="1">
      <alignment horizontal="left" vertical="top" wrapText="1"/>
    </xf>
    <xf numFmtId="0" fontId="43" fillId="10" borderId="6" xfId="0" applyFont="1" applyFill="1" applyBorder="1" applyAlignment="1">
      <alignment horizontal="left" vertical="top" wrapText="1"/>
    </xf>
    <xf numFmtId="49" fontId="43" fillId="12" borderId="4" xfId="0" applyNumberFormat="1" applyFont="1" applyFill="1" applyBorder="1" applyAlignment="1">
      <alignment horizontal="left" vertical="top" wrapText="1"/>
    </xf>
    <xf numFmtId="0" fontId="43" fillId="10" borderId="4" xfId="0" applyFont="1" applyFill="1" applyBorder="1" applyAlignment="1">
      <alignment horizontal="left" vertical="top"/>
    </xf>
    <xf numFmtId="0" fontId="44" fillId="10" borderId="0" xfId="0" applyFont="1" applyFill="1" applyAlignment="1">
      <alignment wrapText="1"/>
    </xf>
    <xf numFmtId="0" fontId="44" fillId="0" borderId="0" xfId="0" applyFont="1" applyAlignment="1">
      <alignment wrapText="1"/>
    </xf>
    <xf numFmtId="1" fontId="0" fillId="0" borderId="0" xfId="0" applyNumberFormat="1" applyAlignment="1">
      <alignment horizontal="right"/>
    </xf>
    <xf numFmtId="16" fontId="7" fillId="10" borderId="3" xfId="0" applyNumberFormat="1" applyFont="1" applyFill="1" applyBorder="1" applyAlignment="1">
      <alignment horizontal="left" vertical="top" wrapText="1"/>
    </xf>
    <xf numFmtId="0" fontId="11" fillId="0" borderId="8" xfId="0" applyFont="1" applyBorder="1" applyAlignment="1">
      <alignment horizontal="left" vertical="top" textRotation="90" wrapText="1"/>
    </xf>
    <xf numFmtId="0" fontId="4" fillId="0" borderId="13" xfId="0" applyFont="1" applyBorder="1" applyAlignment="1">
      <alignment horizontal="center" vertical="center" wrapText="1"/>
    </xf>
    <xf numFmtId="0" fontId="45" fillId="0" borderId="3" xfId="0" applyFont="1" applyBorder="1" applyAlignment="1">
      <alignment horizontal="left" vertical="top" textRotation="90" wrapText="1"/>
    </xf>
    <xf numFmtId="0" fontId="7" fillId="0" borderId="14" xfId="0" applyFont="1" applyBorder="1" applyAlignment="1">
      <alignment horizontal="left" vertical="top" wrapText="1"/>
    </xf>
    <xf numFmtId="0" fontId="7" fillId="0" borderId="14" xfId="0" applyFont="1" applyBorder="1" applyAlignment="1">
      <alignment horizontal="center" vertical="center" wrapText="1"/>
    </xf>
    <xf numFmtId="0" fontId="11" fillId="0" borderId="14" xfId="0" applyFont="1" applyBorder="1" applyAlignment="1">
      <alignment horizontal="left" vertical="top" textRotation="90" wrapText="1"/>
    </xf>
    <xf numFmtId="0" fontId="11" fillId="7" borderId="14" xfId="0" applyFont="1" applyFill="1" applyBorder="1" applyAlignment="1">
      <alignment horizontal="center" vertical="center" textRotation="90" wrapText="1"/>
    </xf>
    <xf numFmtId="0" fontId="4" fillId="8" borderId="10" xfId="0"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10" xfId="0" applyFont="1" applyBorder="1" applyAlignment="1">
      <alignment horizontal="center" vertical="center" wrapText="1"/>
    </xf>
    <xf numFmtId="0" fontId="7" fillId="10" borderId="16" xfId="0" applyFont="1" applyFill="1" applyBorder="1" applyAlignment="1">
      <alignment horizontal="center" vertical="center" wrapText="1"/>
    </xf>
    <xf numFmtId="0" fontId="7" fillId="7" borderId="14" xfId="0" applyFont="1" applyFill="1" applyBorder="1" applyAlignment="1">
      <alignment horizontal="center" vertical="top" wrapText="1"/>
    </xf>
    <xf numFmtId="0" fontId="7" fillId="10" borderId="14" xfId="0" applyFont="1" applyFill="1" applyBorder="1" applyAlignment="1">
      <alignment horizontal="left" vertical="center" wrapText="1"/>
    </xf>
    <xf numFmtId="0" fontId="7" fillId="10" borderId="10" xfId="0" applyFont="1" applyFill="1" applyBorder="1" applyAlignment="1">
      <alignment horizontal="center" vertical="center" wrapText="1"/>
    </xf>
    <xf numFmtId="0" fontId="7" fillId="10" borderId="14" xfId="0" applyFont="1" applyFill="1" applyBorder="1" applyAlignment="1">
      <alignment horizontal="center" vertical="center" wrapText="1"/>
    </xf>
    <xf numFmtId="0" fontId="7" fillId="10" borderId="15" xfId="0" applyFont="1" applyFill="1" applyBorder="1" applyAlignment="1">
      <alignment horizontal="center" vertical="center" wrapText="1"/>
    </xf>
    <xf numFmtId="0" fontId="16" fillId="10" borderId="14" xfId="0" applyFont="1" applyFill="1" applyBorder="1" applyAlignment="1">
      <alignment horizontal="left" vertical="top" wrapText="1"/>
    </xf>
    <xf numFmtId="0" fontId="20" fillId="0" borderId="15" xfId="0" applyFont="1" applyBorder="1" applyAlignment="1">
      <alignment horizontal="center" vertical="center" wrapText="1"/>
    </xf>
    <xf numFmtId="0" fontId="17" fillId="11" borderId="10" xfId="0" applyFont="1" applyFill="1" applyBorder="1" applyAlignment="1">
      <alignment horizontal="left" vertical="top" wrapText="1"/>
    </xf>
    <xf numFmtId="0" fontId="7" fillId="10" borderId="17" xfId="0" applyFont="1" applyFill="1" applyBorder="1" applyAlignment="1">
      <alignment horizontal="left" vertical="top" wrapText="1"/>
    </xf>
    <xf numFmtId="49" fontId="7" fillId="10" borderId="14" xfId="0" applyNumberFormat="1" applyFont="1" applyFill="1" applyBorder="1" applyAlignment="1">
      <alignment horizontal="left" vertical="top" wrapText="1"/>
    </xf>
    <xf numFmtId="0" fontId="7" fillId="10" borderId="14" xfId="0" applyFont="1" applyFill="1" applyBorder="1" applyAlignment="1">
      <alignment horizontal="left" vertical="top"/>
    </xf>
    <xf numFmtId="0" fontId="4" fillId="8" borderId="18" xfId="0" applyFont="1" applyFill="1" applyBorder="1" applyAlignment="1">
      <alignment horizontal="center" vertical="center" wrapText="1"/>
    </xf>
    <xf numFmtId="0" fontId="8" fillId="0" borderId="3" xfId="0" applyFont="1" applyBorder="1" applyAlignment="1">
      <alignment horizontal="left" vertical="top" wrapText="1"/>
    </xf>
    <xf numFmtId="0" fontId="22" fillId="15" borderId="1" xfId="0" applyFont="1" applyFill="1" applyBorder="1" applyAlignment="1">
      <alignment horizontal="center" vertical="center" wrapText="1"/>
    </xf>
    <xf numFmtId="0" fontId="7" fillId="14" borderId="3" xfId="0" applyFont="1" applyFill="1" applyBorder="1" applyAlignment="1">
      <alignment horizontal="left" vertical="top"/>
    </xf>
    <xf numFmtId="0" fontId="3" fillId="7" borderId="0" xfId="0" applyFont="1" applyFill="1" applyAlignment="1">
      <alignment horizontal="center" vertical="top" wrapText="1"/>
    </xf>
    <xf numFmtId="0" fontId="5" fillId="0" borderId="8" xfId="0" applyFont="1" applyBorder="1" applyAlignment="1">
      <alignment horizontal="center" vertical="center" wrapText="1"/>
    </xf>
    <xf numFmtId="0" fontId="42" fillId="11" borderId="1" xfId="0" applyFont="1" applyFill="1" applyBorder="1" applyAlignment="1">
      <alignment horizontal="left" vertical="top" wrapText="1"/>
    </xf>
    <xf numFmtId="0" fontId="43" fillId="10" borderId="2" xfId="0" applyFont="1" applyFill="1" applyBorder="1" applyAlignment="1">
      <alignment horizontal="left" vertical="top" wrapText="1"/>
    </xf>
    <xf numFmtId="49" fontId="43" fillId="12" borderId="3" xfId="0" applyNumberFormat="1" applyFont="1" applyFill="1" applyBorder="1" applyAlignment="1">
      <alignment horizontal="left" vertical="top" wrapText="1"/>
    </xf>
    <xf numFmtId="0" fontId="43" fillId="10" borderId="3" xfId="0" applyFont="1" applyFill="1" applyBorder="1" applyAlignment="1">
      <alignment horizontal="left" vertical="top"/>
    </xf>
    <xf numFmtId="0" fontId="37" fillId="8" borderId="1" xfId="0" applyFont="1" applyFill="1" applyBorder="1" applyAlignment="1">
      <alignment horizontal="center" vertical="center" wrapText="1"/>
    </xf>
    <xf numFmtId="0" fontId="8" fillId="15" borderId="3" xfId="0" applyFont="1" applyFill="1" applyBorder="1" applyAlignment="1">
      <alignment horizontal="left" vertical="top" wrapText="1"/>
    </xf>
    <xf numFmtId="1" fontId="7" fillId="0" borderId="0" xfId="0" applyNumberFormat="1" applyFont="1" applyAlignment="1">
      <alignment horizontal="right"/>
    </xf>
    <xf numFmtId="0" fontId="7" fillId="5" borderId="3" xfId="0" applyFont="1" applyFill="1" applyBorder="1" applyAlignment="1">
      <alignment horizontal="left" vertical="top" wrapText="1"/>
    </xf>
    <xf numFmtId="0" fontId="25" fillId="5" borderId="3" xfId="0" applyFont="1" applyFill="1" applyBorder="1" applyAlignment="1">
      <alignment horizontal="left" vertical="top" wrapText="1"/>
    </xf>
    <xf numFmtId="0" fontId="7" fillId="5" borderId="3" xfId="0" applyFont="1" applyFill="1" applyBorder="1" applyAlignment="1">
      <alignment horizontal="center" vertical="center" wrapText="1"/>
    </xf>
    <xf numFmtId="0" fontId="11" fillId="5" borderId="3" xfId="0" applyFont="1" applyFill="1" applyBorder="1" applyAlignment="1">
      <alignment horizontal="left" vertical="top" textRotation="90" wrapText="1"/>
    </xf>
    <xf numFmtId="0" fontId="4" fillId="5" borderId="8"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3" xfId="0" applyFont="1" applyFill="1" applyBorder="1" applyAlignment="1">
      <alignment horizontal="center" vertical="top" wrapText="1"/>
    </xf>
    <xf numFmtId="0" fontId="7" fillId="5" borderId="3" xfId="0" applyFont="1" applyFill="1" applyBorder="1" applyAlignment="1">
      <alignment horizontal="left" vertical="center" wrapText="1"/>
    </xf>
    <xf numFmtId="0" fontId="7" fillId="5" borderId="8" xfId="0" applyFont="1" applyFill="1" applyBorder="1" applyAlignment="1">
      <alignment horizontal="center" vertical="center" wrapText="1"/>
    </xf>
    <xf numFmtId="16" fontId="7" fillId="9" borderId="3" xfId="0" applyNumberFormat="1" applyFont="1" applyFill="1" applyBorder="1" applyAlignment="1">
      <alignment horizontal="left" vertical="center" wrapText="1"/>
    </xf>
    <xf numFmtId="22" fontId="7" fillId="9" borderId="3" xfId="0" applyNumberFormat="1" applyFont="1" applyFill="1" applyBorder="1" applyAlignment="1">
      <alignment horizontal="left" vertical="center" wrapText="1"/>
    </xf>
    <xf numFmtId="0" fontId="7" fillId="14" borderId="0" xfId="0" applyFont="1" applyFill="1"/>
    <xf numFmtId="49" fontId="7" fillId="5" borderId="3" xfId="0" applyNumberFormat="1" applyFont="1" applyFill="1" applyBorder="1" applyAlignment="1">
      <alignment horizontal="left" vertical="top" wrapText="1"/>
    </xf>
    <xf numFmtId="49" fontId="7" fillId="9" borderId="3" xfId="0" applyNumberFormat="1" applyFont="1" applyFill="1" applyBorder="1" applyAlignment="1">
      <alignment horizontal="left" vertical="top" wrapText="1"/>
    </xf>
    <xf numFmtId="49" fontId="7" fillId="14" borderId="3" xfId="0" applyNumberFormat="1" applyFont="1" applyFill="1" applyBorder="1" applyAlignment="1">
      <alignment horizontal="left" vertical="top" wrapText="1"/>
    </xf>
    <xf numFmtId="0" fontId="7" fillId="14" borderId="3" xfId="0" applyFont="1" applyFill="1" applyBorder="1" applyAlignment="1">
      <alignment horizontal="left" vertical="top" wrapText="1"/>
    </xf>
    <xf numFmtId="0" fontId="7" fillId="0" borderId="14" xfId="0" applyFont="1" applyBorder="1" applyAlignment="1">
      <alignment horizontal="center" vertical="center" textRotation="255" wrapText="1"/>
    </xf>
    <xf numFmtId="22" fontId="7" fillId="10" borderId="3" xfId="0" applyNumberFormat="1" applyFont="1" applyFill="1" applyBorder="1" applyAlignment="1">
      <alignment horizontal="left" vertical="center" wrapText="1"/>
    </xf>
    <xf numFmtId="0" fontId="26" fillId="9" borderId="3" xfId="0" applyFont="1" applyFill="1" applyBorder="1" applyAlignment="1">
      <alignment horizontal="center" vertical="center" wrapText="1"/>
    </xf>
    <xf numFmtId="0" fontId="20" fillId="0" borderId="0" xfId="0" applyFont="1" applyAlignment="1">
      <alignment wrapText="1"/>
    </xf>
    <xf numFmtId="16" fontId="7" fillId="10" borderId="3" xfId="0" applyNumberFormat="1" applyFont="1" applyFill="1" applyBorder="1" applyAlignment="1">
      <alignment horizontal="left" vertical="center" wrapText="1"/>
    </xf>
    <xf numFmtId="0" fontId="41" fillId="10" borderId="3" xfId="0" applyFont="1" applyFill="1" applyBorder="1" applyAlignment="1">
      <alignment horizontal="left" vertical="top" wrapText="1"/>
    </xf>
    <xf numFmtId="0" fontId="43" fillId="0" borderId="8" xfId="0" applyFont="1" applyBorder="1" applyAlignment="1">
      <alignment horizontal="center" vertical="center" wrapText="1"/>
    </xf>
    <xf numFmtId="0" fontId="50" fillId="0" borderId="0" xfId="0" applyFont="1"/>
    <xf numFmtId="0" fontId="5" fillId="0" borderId="0" xfId="0" applyFont="1" applyAlignment="1">
      <alignment wrapText="1"/>
    </xf>
    <xf numFmtId="0" fontId="41" fillId="14" borderId="3" xfId="0" applyFont="1" applyFill="1" applyBorder="1" applyAlignment="1">
      <alignment horizontal="left" vertical="top" wrapText="1"/>
    </xf>
    <xf numFmtId="0" fontId="51" fillId="13" borderId="0" xfId="0" applyFont="1" applyFill="1" applyAlignment="1">
      <alignment wrapText="1"/>
    </xf>
    <xf numFmtId="0" fontId="39" fillId="0" borderId="3" xfId="0" applyFont="1" applyBorder="1" applyAlignment="1">
      <alignment horizontal="left" vertical="top" wrapText="1"/>
    </xf>
    <xf numFmtId="0" fontId="39" fillId="0" borderId="3" xfId="0" applyFont="1" applyBorder="1" applyAlignment="1">
      <alignment horizontal="center" vertical="center" wrapText="1"/>
    </xf>
    <xf numFmtId="0" fontId="45" fillId="7" borderId="3" xfId="0" applyFont="1" applyFill="1" applyBorder="1" applyAlignment="1">
      <alignment horizontal="center" vertical="center" textRotation="90" wrapText="1"/>
    </xf>
    <xf numFmtId="0" fontId="30" fillId="0" borderId="8" xfId="0" applyFont="1" applyBorder="1" applyAlignment="1">
      <alignment horizontal="center" vertical="center" wrapText="1"/>
    </xf>
    <xf numFmtId="0" fontId="39" fillId="10" borderId="9" xfId="0" applyFont="1" applyFill="1" applyBorder="1" applyAlignment="1">
      <alignment horizontal="center" vertical="center" wrapText="1"/>
    </xf>
    <xf numFmtId="0" fontId="39" fillId="0" borderId="3" xfId="0" applyFont="1" applyBorder="1" applyAlignment="1">
      <alignment horizontal="center" vertical="center" textRotation="255" wrapText="1"/>
    </xf>
    <xf numFmtId="0" fontId="39" fillId="10" borderId="3" xfId="0" applyFont="1" applyFill="1" applyBorder="1" applyAlignment="1">
      <alignment horizontal="left" vertical="center" wrapText="1"/>
    </xf>
    <xf numFmtId="0" fontId="39" fillId="10" borderId="1" xfId="0" applyFont="1" applyFill="1" applyBorder="1" applyAlignment="1">
      <alignment horizontal="center" vertical="center" wrapText="1"/>
    </xf>
    <xf numFmtId="0" fontId="39" fillId="10" borderId="3" xfId="0" applyFont="1" applyFill="1" applyBorder="1" applyAlignment="1">
      <alignment horizontal="center" vertical="center" wrapText="1"/>
    </xf>
    <xf numFmtId="0" fontId="39" fillId="14" borderId="8" xfId="0" applyFont="1" applyFill="1" applyBorder="1" applyAlignment="1">
      <alignment horizontal="center" vertical="center" wrapText="1"/>
    </xf>
    <xf numFmtId="0" fontId="11" fillId="7" borderId="4" xfId="0" applyFont="1" applyFill="1" applyBorder="1" applyAlignment="1">
      <alignment horizontal="center" vertical="center" textRotation="90" wrapText="1"/>
    </xf>
    <xf numFmtId="0" fontId="30" fillId="8" borderId="7" xfId="0" applyFont="1" applyFill="1" applyBorder="1" applyAlignment="1">
      <alignment horizontal="center" vertical="center" wrapText="1"/>
    </xf>
    <xf numFmtId="0" fontId="7" fillId="7" borderId="4" xfId="0" applyFont="1" applyFill="1" applyBorder="1" applyAlignment="1">
      <alignment horizontal="center" vertical="top" wrapText="1"/>
    </xf>
    <xf numFmtId="0" fontId="7" fillId="10" borderId="7" xfId="0" applyFont="1" applyFill="1" applyBorder="1" applyAlignment="1">
      <alignment horizontal="center" vertical="center" wrapText="1"/>
    </xf>
    <xf numFmtId="0" fontId="7" fillId="14" borderId="7" xfId="0" applyFont="1" applyFill="1" applyBorder="1" applyAlignment="1">
      <alignment horizontal="center" vertical="center" wrapText="1"/>
    </xf>
    <xf numFmtId="0" fontId="7" fillId="14" borderId="5" xfId="0" applyFont="1" applyFill="1" applyBorder="1" applyAlignment="1">
      <alignment horizontal="center" vertical="center" wrapText="1"/>
    </xf>
    <xf numFmtId="0" fontId="41" fillId="14" borderId="4" xfId="0" applyFont="1" applyFill="1" applyBorder="1" applyAlignment="1">
      <alignment horizontal="left" vertical="top" wrapText="1"/>
    </xf>
    <xf numFmtId="0" fontId="7" fillId="10" borderId="4" xfId="0" applyFont="1" applyFill="1" applyBorder="1" applyAlignment="1">
      <alignment horizontal="left" vertical="top"/>
    </xf>
    <xf numFmtId="0" fontId="54" fillId="0" borderId="0" xfId="0" applyFont="1" applyAlignment="1">
      <alignment wrapText="1"/>
    </xf>
    <xf numFmtId="0" fontId="7" fillId="0" borderId="1" xfId="0" applyFont="1" applyBorder="1" applyAlignment="1">
      <alignment vertical="top"/>
    </xf>
    <xf numFmtId="0" fontId="20" fillId="0" borderId="1" xfId="0" applyFont="1" applyBorder="1" applyAlignment="1">
      <alignment vertical="top" wrapText="1"/>
    </xf>
    <xf numFmtId="0" fontId="20" fillId="0" borderId="1" xfId="0" applyFont="1" applyBorder="1" applyAlignment="1">
      <alignment horizontal="left" vertical="top" wrapText="1"/>
    </xf>
    <xf numFmtId="0" fontId="20" fillId="0" borderId="1" xfId="0" applyFont="1" applyBorder="1" applyAlignment="1">
      <alignment vertical="center" wrapText="1"/>
    </xf>
    <xf numFmtId="0" fontId="20" fillId="0" borderId="1" xfId="0" applyFont="1" applyBorder="1" applyAlignment="1">
      <alignment horizontal="center" vertical="center" textRotation="90"/>
    </xf>
    <xf numFmtId="0" fontId="11" fillId="7" borderId="19" xfId="0" applyFont="1" applyFill="1" applyBorder="1" applyAlignment="1">
      <alignment horizontal="center" vertical="center" textRotation="90" wrapText="1"/>
    </xf>
    <xf numFmtId="0" fontId="31" fillId="0" borderId="1"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textRotation="255"/>
    </xf>
    <xf numFmtId="0" fontId="7" fillId="7" borderId="1" xfId="0" applyFont="1" applyFill="1" applyBorder="1" applyAlignment="1">
      <alignment horizontal="center" vertical="top" wrapText="1"/>
    </xf>
    <xf numFmtId="0" fontId="7" fillId="0" borderId="1" xfId="0" applyFont="1" applyBorder="1" applyAlignment="1">
      <alignment horizontal="left" vertical="top"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10" borderId="19" xfId="0" applyFont="1" applyFill="1" applyBorder="1" applyAlignment="1">
      <alignment horizontal="center" vertical="center" wrapText="1"/>
    </xf>
    <xf numFmtId="0" fontId="7" fillId="14" borderId="20" xfId="0" applyFont="1" applyFill="1" applyBorder="1" applyAlignment="1">
      <alignment horizontal="center" vertical="center" wrapText="1"/>
    </xf>
    <xf numFmtId="0" fontId="41" fillId="14" borderId="19" xfId="0" applyFont="1" applyFill="1" applyBorder="1" applyAlignment="1">
      <alignment horizontal="left" vertical="top" wrapText="1"/>
    </xf>
    <xf numFmtId="0" fontId="5" fillId="0" borderId="20" xfId="0" applyFont="1" applyBorder="1" applyAlignment="1">
      <alignment horizontal="center" vertical="center" wrapText="1"/>
    </xf>
    <xf numFmtId="0" fontId="43" fillId="10" borderId="21" xfId="0" applyFont="1" applyFill="1" applyBorder="1" applyAlignment="1">
      <alignment horizontal="left" vertical="top" wrapText="1"/>
    </xf>
    <xf numFmtId="49" fontId="43" fillId="12" borderId="19" xfId="0" applyNumberFormat="1" applyFont="1" applyFill="1" applyBorder="1" applyAlignment="1">
      <alignment horizontal="left" vertical="top" wrapText="1"/>
    </xf>
    <xf numFmtId="0" fontId="5" fillId="0" borderId="1" xfId="0" applyFont="1" applyBorder="1" applyAlignment="1">
      <alignment horizontal="left" vertical="top"/>
    </xf>
    <xf numFmtId="49" fontId="43" fillId="10" borderId="3" xfId="0" applyNumberFormat="1" applyFont="1" applyFill="1" applyBorder="1" applyAlignment="1">
      <alignment horizontal="left" vertical="top" wrapText="1"/>
    </xf>
    <xf numFmtId="0" fontId="11" fillId="15" borderId="3" xfId="0" applyFont="1" applyFill="1" applyBorder="1" applyAlignment="1">
      <alignment horizontal="center" vertical="center" textRotation="90" wrapText="1"/>
    </xf>
    <xf numFmtId="0" fontId="4" fillId="14" borderId="1" xfId="0" applyFont="1" applyFill="1" applyBorder="1" applyAlignment="1">
      <alignment horizontal="center" vertical="center" wrapText="1"/>
    </xf>
    <xf numFmtId="0" fontId="7" fillId="15" borderId="3" xfId="0" applyFont="1" applyFill="1" applyBorder="1" applyAlignment="1">
      <alignment horizontal="center" vertical="center" textRotation="255" wrapText="1"/>
    </xf>
    <xf numFmtId="0" fontId="50" fillId="0" borderId="0" xfId="0" applyFont="1" applyAlignment="1">
      <alignment wrapText="1"/>
    </xf>
    <xf numFmtId="0" fontId="30" fillId="0" borderId="1" xfId="0" applyFont="1" applyBorder="1" applyAlignment="1">
      <alignment horizontal="center" vertical="center" wrapText="1"/>
    </xf>
    <xf numFmtId="0" fontId="39" fillId="14" borderId="3" xfId="0" applyFont="1" applyFill="1" applyBorder="1" applyAlignment="1">
      <alignment horizontal="center" vertical="center" wrapText="1"/>
    </xf>
    <xf numFmtId="0" fontId="39" fillId="7" borderId="3" xfId="0" applyFont="1" applyFill="1" applyBorder="1" applyAlignment="1">
      <alignment horizontal="center" vertical="top" wrapText="1"/>
    </xf>
    <xf numFmtId="0" fontId="44" fillId="13" borderId="0" xfId="0" applyFont="1" applyFill="1" applyAlignment="1">
      <alignment wrapText="1"/>
    </xf>
    <xf numFmtId="0" fontId="30" fillId="15" borderId="1" xfId="0" applyFont="1" applyFill="1" applyBorder="1" applyAlignment="1">
      <alignment horizontal="center" vertical="center" wrapText="1"/>
    </xf>
    <xf numFmtId="0" fontId="39" fillId="15" borderId="9" xfId="0" applyFont="1" applyFill="1" applyBorder="1" applyAlignment="1">
      <alignment horizontal="center" vertical="center" wrapText="1"/>
    </xf>
    <xf numFmtId="1" fontId="50" fillId="0" borderId="0" xfId="0" applyNumberFormat="1" applyFont="1" applyAlignment="1">
      <alignment horizontal="right"/>
    </xf>
    <xf numFmtId="0" fontId="44" fillId="14" borderId="0" xfId="0" applyFont="1" applyFill="1" applyAlignment="1">
      <alignment wrapText="1"/>
    </xf>
    <xf numFmtId="0" fontId="3" fillId="7" borderId="1" xfId="0" applyFont="1" applyFill="1" applyBorder="1" applyAlignment="1">
      <alignment horizontal="center" vertical="top" wrapText="1"/>
    </xf>
    <xf numFmtId="49" fontId="43" fillId="16" borderId="3" xfId="0" applyNumberFormat="1" applyFont="1" applyFill="1" applyBorder="1" applyAlignment="1">
      <alignment horizontal="left" vertical="top" wrapText="1"/>
    </xf>
    <xf numFmtId="0" fontId="41" fillId="15" borderId="3" xfId="0" applyFont="1" applyFill="1" applyBorder="1" applyAlignment="1">
      <alignment horizontal="left" vertical="top" wrapText="1"/>
    </xf>
    <xf numFmtId="0" fontId="39" fillId="15" borderId="3" xfId="0" applyFont="1" applyFill="1" applyBorder="1" applyAlignment="1">
      <alignment horizontal="center" vertical="center" wrapText="1"/>
    </xf>
    <xf numFmtId="0" fontId="7" fillId="7" borderId="8" xfId="0" applyFont="1" applyFill="1" applyBorder="1" applyAlignment="1">
      <alignment horizontal="center" vertical="top" wrapText="1"/>
    </xf>
    <xf numFmtId="2" fontId="0" fillId="0" borderId="0" xfId="0" applyNumberFormat="1" applyAlignment="1">
      <alignment horizontal="left"/>
    </xf>
    <xf numFmtId="0" fontId="50" fillId="0" borderId="0" xfId="0" applyFont="1" applyAlignment="1">
      <alignment vertical="top" wrapText="1"/>
    </xf>
    <xf numFmtId="0" fontId="43" fillId="14" borderId="8" xfId="0" applyFont="1" applyFill="1" applyBorder="1" applyAlignment="1">
      <alignment horizontal="center" vertical="center" wrapText="1"/>
    </xf>
    <xf numFmtId="0" fontId="52" fillId="0" borderId="3" xfId="0" applyFont="1" applyBorder="1" applyAlignment="1">
      <alignment horizontal="left" vertical="top" wrapText="1"/>
    </xf>
    <xf numFmtId="0" fontId="37" fillId="14" borderId="1" xfId="0" applyFont="1" applyFill="1" applyBorder="1" applyAlignment="1">
      <alignment horizontal="center" vertical="center" wrapText="1"/>
    </xf>
    <xf numFmtId="0" fontId="55" fillId="0" borderId="1" xfId="0" applyFont="1" applyBorder="1" applyAlignment="1">
      <alignment horizontal="center" vertical="center" wrapText="1"/>
    </xf>
    <xf numFmtId="0" fontId="39" fillId="14" borderId="1" xfId="0" applyFont="1" applyFill="1" applyBorder="1" applyAlignment="1">
      <alignment horizontal="center" vertical="center" wrapText="1"/>
    </xf>
    <xf numFmtId="0" fontId="35" fillId="14" borderId="1" xfId="0" applyFont="1" applyFill="1" applyBorder="1" applyAlignment="1">
      <alignment horizontal="center" vertical="center" wrapText="1"/>
    </xf>
    <xf numFmtId="0" fontId="58" fillId="11" borderId="1" xfId="0" applyFont="1" applyFill="1" applyBorder="1" applyAlignment="1">
      <alignment horizontal="left" vertical="top" wrapText="1"/>
    </xf>
    <xf numFmtId="0" fontId="59" fillId="15" borderId="1" xfId="0" applyFont="1" applyFill="1" applyBorder="1" applyAlignment="1">
      <alignment horizontal="center" vertical="center" wrapText="1"/>
    </xf>
    <xf numFmtId="0" fontId="60" fillId="10" borderId="3" xfId="0" applyFont="1" applyFill="1" applyBorder="1" applyAlignment="1">
      <alignment horizontal="left" vertical="top" wrapText="1"/>
    </xf>
    <xf numFmtId="16" fontId="7" fillId="15" borderId="3" xfId="0" applyNumberFormat="1" applyFont="1" applyFill="1" applyBorder="1" applyAlignment="1">
      <alignment horizontal="left" vertical="top" wrapText="1"/>
    </xf>
    <xf numFmtId="0" fontId="26" fillId="0" borderId="3" xfId="0" applyFont="1" applyBorder="1" applyAlignment="1">
      <alignment horizontal="left" vertical="top" wrapText="1"/>
    </xf>
    <xf numFmtId="0" fontId="4" fillId="5" borderId="1"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39" fillId="9" borderId="3" xfId="0" applyFont="1" applyFill="1" applyBorder="1" applyAlignment="1">
      <alignment horizontal="left" vertical="top" wrapText="1"/>
    </xf>
    <xf numFmtId="0" fontId="7" fillId="0" borderId="9" xfId="0" applyFont="1" applyBorder="1" applyAlignment="1">
      <alignment horizontal="center" vertical="center" wrapText="1"/>
    </xf>
    <xf numFmtId="0" fontId="7" fillId="0" borderId="3" xfId="0" applyFont="1" applyBorder="1" applyAlignment="1">
      <alignment horizontal="left" vertical="center" wrapText="1"/>
    </xf>
    <xf numFmtId="0" fontId="62" fillId="0" borderId="0" xfId="0" applyFont="1"/>
    <xf numFmtId="0" fontId="45" fillId="15" borderId="3" xfId="0" applyFont="1" applyFill="1" applyBorder="1" applyAlignment="1">
      <alignment horizontal="left" vertical="top" textRotation="90" wrapText="1"/>
    </xf>
    <xf numFmtId="16" fontId="7" fillId="0" borderId="3" xfId="0" applyNumberFormat="1" applyFont="1" applyBorder="1" applyAlignment="1">
      <alignment horizontal="left" vertical="top" wrapText="1"/>
    </xf>
    <xf numFmtId="0" fontId="7" fillId="7" borderId="3" xfId="0" quotePrefix="1" applyFont="1" applyFill="1" applyBorder="1" applyAlignment="1">
      <alignment horizontal="center" vertical="top" wrapText="1"/>
    </xf>
    <xf numFmtId="0" fontId="63" fillId="0" borderId="0" xfId="0" applyFont="1" applyAlignment="1">
      <alignment vertical="center"/>
    </xf>
    <xf numFmtId="0" fontId="52" fillId="0" borderId="3" xfId="0" applyFont="1" applyBorder="1" applyAlignment="1">
      <alignment horizontal="center" vertical="center" wrapText="1"/>
    </xf>
    <xf numFmtId="0" fontId="64" fillId="0" borderId="3" xfId="0" applyFont="1" applyBorder="1" applyAlignment="1">
      <alignment horizontal="left" vertical="top" textRotation="90" wrapText="1"/>
    </xf>
    <xf numFmtId="0" fontId="57" fillId="14" borderId="1" xfId="0" applyFont="1" applyFill="1" applyBorder="1" applyAlignment="1">
      <alignment horizontal="center" vertical="center" wrapText="1"/>
    </xf>
    <xf numFmtId="0" fontId="65" fillId="0" borderId="8" xfId="0" applyFont="1" applyBorder="1" applyAlignment="1">
      <alignment horizontal="center" vertical="center" wrapText="1"/>
    </xf>
    <xf numFmtId="0" fontId="65" fillId="0" borderId="1" xfId="0" applyFont="1" applyBorder="1" applyAlignment="1">
      <alignment horizontal="center" vertical="center" wrapText="1"/>
    </xf>
    <xf numFmtId="0" fontId="8" fillId="10" borderId="9" xfId="0" applyFont="1" applyFill="1" applyBorder="1" applyAlignment="1">
      <alignment horizontal="center" vertical="center" wrapText="1"/>
    </xf>
    <xf numFmtId="0" fontId="8" fillId="0" borderId="3" xfId="0" applyFont="1" applyBorder="1" applyAlignment="1">
      <alignment horizontal="center" vertical="center" textRotation="255" wrapText="1"/>
    </xf>
    <xf numFmtId="0" fontId="52" fillId="10" borderId="3" xfId="0" applyFont="1" applyFill="1" applyBorder="1" applyAlignment="1">
      <alignment horizontal="left" vertical="center" wrapText="1"/>
    </xf>
    <xf numFmtId="0" fontId="52" fillId="10" borderId="1" xfId="0" applyFont="1" applyFill="1" applyBorder="1" applyAlignment="1">
      <alignment horizontal="center" vertical="center" wrapText="1"/>
    </xf>
    <xf numFmtId="0" fontId="52" fillId="10" borderId="3" xfId="0" applyFont="1" applyFill="1" applyBorder="1" applyAlignment="1">
      <alignment horizontal="center" vertical="center" wrapText="1"/>
    </xf>
    <xf numFmtId="0" fontId="52" fillId="10" borderId="8" xfId="0" applyFont="1" applyFill="1" applyBorder="1" applyAlignment="1">
      <alignment horizontal="center" vertical="center" wrapText="1"/>
    </xf>
    <xf numFmtId="0" fontId="67" fillId="10" borderId="3" xfId="0" applyFont="1" applyFill="1" applyBorder="1" applyAlignment="1">
      <alignment horizontal="left" vertical="top" wrapText="1"/>
    </xf>
    <xf numFmtId="0" fontId="68" fillId="0" borderId="8" xfId="0" applyFont="1" applyBorder="1" applyAlignment="1">
      <alignment horizontal="center" vertical="center" wrapText="1"/>
    </xf>
    <xf numFmtId="0" fontId="69" fillId="11" borderId="1" xfId="0" applyFont="1" applyFill="1" applyBorder="1" applyAlignment="1">
      <alignment horizontal="left" vertical="top" wrapText="1"/>
    </xf>
    <xf numFmtId="0" fontId="68" fillId="10" borderId="2" xfId="0" applyFont="1" applyFill="1" applyBorder="1" applyAlignment="1">
      <alignment horizontal="left" vertical="top" wrapText="1"/>
    </xf>
    <xf numFmtId="49" fontId="68" fillId="10" borderId="3" xfId="0" applyNumberFormat="1" applyFont="1" applyFill="1" applyBorder="1" applyAlignment="1">
      <alignment horizontal="left" vertical="top" wrapText="1"/>
    </xf>
    <xf numFmtId="0" fontId="68" fillId="10" borderId="3" xfId="0" applyFont="1" applyFill="1" applyBorder="1" applyAlignment="1">
      <alignment horizontal="left" vertical="top"/>
    </xf>
    <xf numFmtId="0" fontId="70" fillId="0" borderId="0" xfId="0" applyFont="1"/>
    <xf numFmtId="0" fontId="51" fillId="14" borderId="0" xfId="0" applyFont="1" applyFill="1" applyAlignment="1">
      <alignment wrapText="1"/>
    </xf>
    <xf numFmtId="0" fontId="51" fillId="0" borderId="0" xfId="0" applyFont="1" applyAlignment="1">
      <alignment wrapText="1"/>
    </xf>
    <xf numFmtId="16" fontId="7" fillId="15" borderId="3" xfId="0" applyNumberFormat="1" applyFont="1" applyFill="1" applyBorder="1" applyAlignment="1">
      <alignment horizontal="left" vertical="center" wrapText="1"/>
    </xf>
    <xf numFmtId="0" fontId="39" fillId="15" borderId="3" xfId="0" applyFont="1" applyFill="1" applyBorder="1" applyAlignment="1">
      <alignment horizontal="center" vertical="top" wrapText="1"/>
    </xf>
    <xf numFmtId="0" fontId="50" fillId="14" borderId="0" xfId="0" applyFont="1" applyFill="1" applyAlignment="1">
      <alignment vertical="top" wrapText="1"/>
    </xf>
    <xf numFmtId="0" fontId="72" fillId="0" borderId="0" xfId="0" applyFont="1"/>
    <xf numFmtId="14" fontId="7" fillId="10" borderId="3" xfId="0" applyNumberFormat="1" applyFont="1" applyFill="1" applyBorder="1" applyAlignment="1">
      <alignment horizontal="left" vertical="center" wrapText="1"/>
    </xf>
    <xf numFmtId="4" fontId="7" fillId="10" borderId="3" xfId="0" applyNumberFormat="1" applyFont="1" applyFill="1" applyBorder="1" applyAlignment="1">
      <alignment horizontal="left" vertical="top"/>
    </xf>
    <xf numFmtId="0" fontId="51" fillId="10" borderId="0" xfId="0" applyFont="1" applyFill="1" applyAlignment="1">
      <alignment wrapText="1"/>
    </xf>
    <xf numFmtId="0" fontId="39" fillId="15" borderId="3" xfId="0" applyFont="1" applyFill="1" applyBorder="1" applyAlignment="1">
      <alignment horizontal="left" vertical="top" wrapText="1"/>
    </xf>
    <xf numFmtId="0" fontId="30" fillId="14" borderId="1" xfId="0" applyFont="1" applyFill="1" applyBorder="1" applyAlignment="1">
      <alignment horizontal="center" vertical="center" wrapText="1"/>
    </xf>
    <xf numFmtId="0" fontId="30" fillId="15" borderId="8" xfId="0" applyFont="1" applyFill="1" applyBorder="1" applyAlignment="1">
      <alignment horizontal="center" vertical="center" wrapText="1"/>
    </xf>
    <xf numFmtId="0" fontId="39" fillId="15" borderId="3" xfId="0" applyFont="1" applyFill="1" applyBorder="1" applyAlignment="1">
      <alignment horizontal="left" vertical="center" wrapText="1"/>
    </xf>
    <xf numFmtId="0" fontId="39" fillId="15" borderId="1" xfId="0" applyFont="1" applyFill="1" applyBorder="1" applyAlignment="1">
      <alignment horizontal="center" vertical="center" wrapText="1"/>
    </xf>
    <xf numFmtId="0" fontId="40" fillId="15" borderId="3" xfId="0" applyFont="1" applyFill="1" applyBorder="1" applyAlignment="1">
      <alignment horizontal="left" vertical="top" wrapText="1"/>
    </xf>
    <xf numFmtId="0" fontId="39" fillId="15" borderId="8" xfId="0" applyFont="1" applyFill="1" applyBorder="1" applyAlignment="1">
      <alignment horizontal="center" vertical="center" wrapText="1"/>
    </xf>
    <xf numFmtId="0" fontId="76" fillId="0" borderId="0" xfId="0" applyFont="1" applyAlignment="1">
      <alignment wrapText="1"/>
    </xf>
    <xf numFmtId="0" fontId="7" fillId="14" borderId="3" xfId="0" applyFont="1" applyFill="1" applyBorder="1" applyAlignment="1">
      <alignment horizontal="center" vertical="center" wrapText="1"/>
    </xf>
    <xf numFmtId="0" fontId="35" fillId="14" borderId="1" xfId="0" applyFont="1" applyFill="1" applyBorder="1" applyAlignment="1">
      <alignment horizontal="center" vertical="top" wrapText="1"/>
    </xf>
    <xf numFmtId="0" fontId="11" fillId="7" borderId="3" xfId="0" applyFont="1" applyFill="1" applyBorder="1" applyAlignment="1">
      <alignment horizontal="left" vertical="center" textRotation="90" wrapText="1"/>
    </xf>
    <xf numFmtId="2" fontId="7" fillId="10" borderId="3" xfId="0" applyNumberFormat="1" applyFont="1" applyFill="1" applyBorder="1" applyAlignment="1">
      <alignment horizontal="left" vertical="top"/>
    </xf>
    <xf numFmtId="0" fontId="26" fillId="10" borderId="3" xfId="0" applyFont="1" applyFill="1" applyBorder="1" applyAlignment="1">
      <alignment horizontal="center" vertical="center" wrapText="1"/>
    </xf>
    <xf numFmtId="0" fontId="7" fillId="10" borderId="3" xfId="0" applyFont="1" applyFill="1" applyBorder="1" applyAlignment="1">
      <alignment horizontal="center" vertical="center" textRotation="255" wrapText="1"/>
    </xf>
    <xf numFmtId="0" fontId="41" fillId="0" borderId="3" xfId="0" applyFont="1" applyBorder="1" applyAlignment="1">
      <alignment horizontal="left" vertical="top" wrapText="1"/>
    </xf>
    <xf numFmtId="0" fontId="40" fillId="0" borderId="3" xfId="0" applyFont="1" applyBorder="1" applyAlignment="1">
      <alignment horizontal="left" vertical="top" wrapText="1"/>
    </xf>
    <xf numFmtId="0" fontId="81" fillId="10" borderId="3" xfId="0" applyFont="1" applyFill="1" applyBorder="1" applyAlignment="1">
      <alignment horizontal="left" vertical="top" wrapText="1"/>
    </xf>
    <xf numFmtId="0" fontId="43" fillId="17" borderId="3" xfId="0" applyFont="1" applyFill="1" applyBorder="1" applyAlignment="1">
      <alignment horizontal="left" vertical="top"/>
    </xf>
    <xf numFmtId="0" fontId="7" fillId="17" borderId="3" xfId="0" applyFont="1" applyFill="1" applyBorder="1" applyAlignment="1">
      <alignment horizontal="center" vertical="center" wrapText="1"/>
    </xf>
    <xf numFmtId="0" fontId="39" fillId="10" borderId="8" xfId="0" applyFont="1" applyFill="1" applyBorder="1" applyAlignment="1">
      <alignment horizontal="center" vertical="center" wrapText="1"/>
    </xf>
    <xf numFmtId="0" fontId="83" fillId="0" borderId="3" xfId="0" applyFont="1" applyBorder="1" applyAlignment="1">
      <alignment horizontal="left" vertical="top" wrapText="1"/>
    </xf>
    <xf numFmtId="0" fontId="3" fillId="7" borderId="3" xfId="0" applyFont="1" applyFill="1" applyBorder="1" applyAlignment="1">
      <alignment horizontal="center" vertical="top" wrapText="1"/>
    </xf>
    <xf numFmtId="0" fontId="7" fillId="7" borderId="19" xfId="0" applyFont="1" applyFill="1" applyBorder="1" applyAlignment="1">
      <alignment horizontal="center" vertical="top" wrapText="1"/>
    </xf>
    <xf numFmtId="0" fontId="7" fillId="16" borderId="3" xfId="0" applyFont="1" applyFill="1" applyBorder="1" applyAlignment="1">
      <alignment horizontal="center" vertical="top" wrapText="1"/>
    </xf>
    <xf numFmtId="0" fontId="7" fillId="10" borderId="3" xfId="0" quotePrefix="1" applyFont="1" applyFill="1" applyBorder="1" applyAlignment="1">
      <alignment horizontal="left" vertical="top" wrapText="1"/>
    </xf>
    <xf numFmtId="0" fontId="7" fillId="0" borderId="22" xfId="0" applyFont="1" applyBorder="1" applyAlignment="1">
      <alignment horizontal="left" vertical="top" wrapText="1"/>
    </xf>
    <xf numFmtId="0" fontId="7" fillId="0" borderId="22" xfId="0" applyFont="1" applyBorder="1" applyAlignment="1">
      <alignment horizontal="center" vertical="center" wrapText="1"/>
    </xf>
    <xf numFmtId="0" fontId="11" fillId="0" borderId="22" xfId="0" applyFont="1" applyBorder="1" applyAlignment="1">
      <alignment horizontal="left" vertical="top" textRotation="90" wrapText="1"/>
    </xf>
    <xf numFmtId="0" fontId="4" fillId="0" borderId="23" xfId="0" applyFont="1" applyBorder="1" applyAlignment="1">
      <alignment horizontal="center" vertical="center" wrapText="1"/>
    </xf>
    <xf numFmtId="0" fontId="7" fillId="10" borderId="22" xfId="0" applyFont="1" applyFill="1" applyBorder="1" applyAlignment="1">
      <alignment horizontal="left" vertical="center" wrapText="1"/>
    </xf>
    <xf numFmtId="0" fontId="7" fillId="10" borderId="22" xfId="0" applyFont="1" applyFill="1" applyBorder="1" applyAlignment="1">
      <alignment horizontal="center" vertical="center" wrapText="1"/>
    </xf>
    <xf numFmtId="0" fontId="7" fillId="14" borderId="23" xfId="0" applyFont="1" applyFill="1" applyBorder="1" applyAlignment="1">
      <alignment horizontal="center" vertical="center" wrapText="1"/>
    </xf>
    <xf numFmtId="0" fontId="41" fillId="10" borderId="22" xfId="0" applyFont="1" applyFill="1" applyBorder="1" applyAlignment="1">
      <alignment horizontal="left" vertical="top" wrapText="1"/>
    </xf>
    <xf numFmtId="0" fontId="43" fillId="0" borderId="23" xfId="0" applyFont="1" applyBorder="1" applyAlignment="1">
      <alignment horizontal="center" vertical="center" wrapText="1"/>
    </xf>
    <xf numFmtId="0" fontId="43" fillId="10" borderId="24" xfId="0" applyFont="1" applyFill="1" applyBorder="1" applyAlignment="1">
      <alignment horizontal="left" vertical="top" wrapText="1"/>
    </xf>
    <xf numFmtId="49" fontId="43" fillId="10" borderId="22" xfId="0" applyNumberFormat="1" applyFont="1" applyFill="1" applyBorder="1" applyAlignment="1">
      <alignment horizontal="left" vertical="top" wrapText="1"/>
    </xf>
    <xf numFmtId="0" fontId="43" fillId="10" borderId="22" xfId="0" applyFont="1" applyFill="1" applyBorder="1" applyAlignment="1">
      <alignment horizontal="left" vertical="top"/>
    </xf>
    <xf numFmtId="0" fontId="3" fillId="7" borderId="14" xfId="0" applyFont="1" applyFill="1" applyBorder="1" applyAlignment="1">
      <alignment horizontal="center" vertical="top" wrapText="1"/>
    </xf>
    <xf numFmtId="0" fontId="11" fillId="15" borderId="3" xfId="0" applyFont="1" applyFill="1" applyBorder="1" applyAlignment="1">
      <alignment horizontal="left" vertical="top" wrapText="1"/>
    </xf>
    <xf numFmtId="0" fontId="86" fillId="7" borderId="14" xfId="0" applyFont="1" applyFill="1" applyBorder="1" applyAlignment="1">
      <alignment horizontal="center" vertical="top" wrapText="1"/>
    </xf>
    <xf numFmtId="0" fontId="4" fillId="14" borderId="7" xfId="0" applyFont="1" applyFill="1" applyBorder="1" applyAlignment="1">
      <alignment horizontal="center" vertical="center" wrapText="1"/>
    </xf>
    <xf numFmtId="0" fontId="7" fillId="10" borderId="5" xfId="0" applyFont="1" applyFill="1" applyBorder="1" applyAlignment="1">
      <alignment horizontal="center" vertical="center" wrapText="1"/>
    </xf>
    <xf numFmtId="0" fontId="43" fillId="0" borderId="5" xfId="0" applyFont="1" applyBorder="1" applyAlignment="1">
      <alignment horizontal="center" vertical="center" wrapText="1"/>
    </xf>
    <xf numFmtId="49" fontId="43" fillId="10" borderId="4" xfId="0" applyNumberFormat="1" applyFont="1" applyFill="1" applyBorder="1" applyAlignment="1">
      <alignment horizontal="left" vertical="top" wrapText="1"/>
    </xf>
    <xf numFmtId="0" fontId="44" fillId="10" borderId="25" xfId="0" applyFont="1" applyFill="1" applyBorder="1" applyAlignment="1">
      <alignment wrapText="1"/>
    </xf>
    <xf numFmtId="0" fontId="44" fillId="0" borderId="25" xfId="0" applyFont="1" applyBorder="1" applyAlignment="1">
      <alignment wrapText="1"/>
    </xf>
    <xf numFmtId="0" fontId="50" fillId="0" borderId="25" xfId="0" applyFont="1" applyBorder="1"/>
    <xf numFmtId="0" fontId="87" fillId="10" borderId="0" xfId="0" applyFont="1" applyFill="1" applyAlignment="1">
      <alignment wrapText="1"/>
    </xf>
    <xf numFmtId="0" fontId="88" fillId="7" borderId="3" xfId="0" applyFont="1" applyFill="1" applyBorder="1" applyAlignment="1">
      <alignment horizontal="center" vertical="top" wrapText="1"/>
    </xf>
    <xf numFmtId="0" fontId="5" fillId="14" borderId="8" xfId="0" applyFont="1" applyFill="1" applyBorder="1" applyAlignment="1">
      <alignment horizontal="center" vertical="center" wrapText="1"/>
    </xf>
    <xf numFmtId="0" fontId="41" fillId="10" borderId="2" xfId="0" applyFont="1" applyFill="1" applyBorder="1" applyAlignment="1">
      <alignment horizontal="left" vertical="top" wrapText="1"/>
    </xf>
    <xf numFmtId="0" fontId="30" fillId="14" borderId="1" xfId="0" applyFont="1" applyFill="1" applyBorder="1" applyAlignment="1">
      <alignment horizontal="center" vertical="top" wrapText="1"/>
    </xf>
    <xf numFmtId="0" fontId="55" fillId="0" borderId="1" xfId="0" applyFont="1" applyBorder="1" applyAlignment="1">
      <alignment horizontal="center" vertical="top" wrapText="1"/>
    </xf>
    <xf numFmtId="0" fontId="25" fillId="0" borderId="3" xfId="0" applyFont="1" applyBorder="1" applyAlignment="1">
      <alignment horizontal="center" vertical="center" wrapText="1"/>
    </xf>
    <xf numFmtId="0" fontId="90" fillId="0" borderId="3" xfId="0" applyFont="1" applyBorder="1" applyAlignment="1">
      <alignment horizontal="left" vertical="top" textRotation="90" wrapText="1"/>
    </xf>
    <xf numFmtId="0" fontId="90" fillId="7" borderId="3" xfId="0" applyFont="1" applyFill="1" applyBorder="1" applyAlignment="1">
      <alignment horizontal="center" vertical="center" textRotation="90" wrapText="1"/>
    </xf>
    <xf numFmtId="0" fontId="22" fillId="14" borderId="1" xfId="0" applyFont="1" applyFill="1" applyBorder="1" applyAlignment="1">
      <alignment horizontal="center" vertical="center" wrapText="1"/>
    </xf>
    <xf numFmtId="0" fontId="22" fillId="0" borderId="8" xfId="0" applyFont="1" applyBorder="1" applyAlignment="1">
      <alignment horizontal="center" vertical="center" wrapText="1"/>
    </xf>
    <xf numFmtId="0" fontId="22" fillId="0" borderId="1" xfId="0" applyFont="1" applyBorder="1" applyAlignment="1">
      <alignment horizontal="center" vertical="center" wrapText="1"/>
    </xf>
    <xf numFmtId="0" fontId="25" fillId="7" borderId="3" xfId="0" applyFont="1" applyFill="1" applyBorder="1" applyAlignment="1">
      <alignment horizontal="center" vertical="top" wrapText="1"/>
    </xf>
    <xf numFmtId="0" fontId="25" fillId="0" borderId="3" xfId="0" applyFont="1" applyBorder="1" applyAlignment="1">
      <alignment horizontal="left" vertical="center" wrapText="1"/>
    </xf>
    <xf numFmtId="0" fontId="25" fillId="14"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0" borderId="8" xfId="0" applyFont="1" applyBorder="1" applyAlignment="1">
      <alignment horizontal="center" vertical="center" wrapText="1"/>
    </xf>
    <xf numFmtId="0" fontId="43" fillId="0" borderId="2" xfId="0" applyFont="1" applyBorder="1" applyAlignment="1">
      <alignment horizontal="left" vertical="top" wrapText="1"/>
    </xf>
    <xf numFmtId="49" fontId="43" fillId="0" borderId="3" xfId="0" applyNumberFormat="1" applyFont="1" applyBorder="1" applyAlignment="1">
      <alignment horizontal="left" vertical="top" wrapText="1"/>
    </xf>
    <xf numFmtId="0" fontId="43" fillId="0" borderId="3" xfId="0" applyFont="1" applyBorder="1" applyAlignment="1">
      <alignment horizontal="left" vertical="top"/>
    </xf>
    <xf numFmtId="0" fontId="84" fillId="15" borderId="3" xfId="0" applyFont="1" applyFill="1" applyBorder="1" applyAlignment="1">
      <alignment horizontal="center" vertical="top" wrapText="1"/>
    </xf>
    <xf numFmtId="0" fontId="26" fillId="15" borderId="3" xfId="0" applyFont="1" applyFill="1" applyBorder="1" applyAlignment="1">
      <alignment horizontal="left" vertical="top" wrapText="1"/>
    </xf>
    <xf numFmtId="0" fontId="55" fillId="15" borderId="1" xfId="0" applyFont="1" applyFill="1" applyBorder="1" applyAlignment="1">
      <alignment horizontal="center" vertical="top" wrapText="1"/>
    </xf>
    <xf numFmtId="0" fontId="44" fillId="0" borderId="0" xfId="0" applyFont="1" applyAlignment="1">
      <alignment vertical="top" wrapText="1"/>
    </xf>
    <xf numFmtId="0" fontId="30" fillId="0" borderId="1" xfId="0" applyFont="1" applyBorder="1" applyAlignment="1">
      <alignment horizontal="center" vertical="top" wrapText="1"/>
    </xf>
    <xf numFmtId="0" fontId="43" fillId="0" borderId="8" xfId="0" applyFont="1" applyBorder="1" applyAlignment="1">
      <alignment horizontal="center" vertical="top" wrapText="1"/>
    </xf>
    <xf numFmtId="0" fontId="0" fillId="0" borderId="0" xfId="0" applyAlignment="1">
      <alignment vertical="top"/>
    </xf>
    <xf numFmtId="0" fontId="54" fillId="0" borderId="0" xfId="0" applyFont="1" applyAlignment="1">
      <alignment vertical="top" wrapText="1"/>
    </xf>
    <xf numFmtId="0" fontId="4" fillId="14" borderId="1" xfId="0" applyFont="1" applyFill="1" applyBorder="1" applyAlignment="1">
      <alignment horizontal="center" vertical="top" wrapText="1"/>
    </xf>
    <xf numFmtId="0" fontId="4" fillId="0" borderId="1" xfId="0" applyFont="1" applyBorder="1" applyAlignment="1">
      <alignment horizontal="center" vertical="top" wrapText="1"/>
    </xf>
    <xf numFmtId="0" fontId="7" fillId="7" borderId="0" xfId="0" applyFont="1" applyFill="1" applyAlignment="1">
      <alignment horizontal="center" vertical="top" wrapText="1"/>
    </xf>
    <xf numFmtId="0" fontId="95" fillId="15" borderId="3" xfId="0" applyFont="1" applyFill="1" applyBorder="1" applyAlignment="1">
      <alignment horizontal="left" vertical="top" wrapText="1"/>
    </xf>
    <xf numFmtId="0" fontId="97" fillId="15" borderId="3" xfId="0" applyFont="1" applyFill="1" applyBorder="1" applyAlignment="1">
      <alignment horizontal="left" vertical="top" wrapText="1"/>
    </xf>
    <xf numFmtId="0" fontId="97" fillId="15" borderId="3" xfId="0" applyFont="1" applyFill="1" applyBorder="1" applyAlignment="1">
      <alignment horizontal="center" vertical="center" wrapText="1"/>
    </xf>
    <xf numFmtId="0" fontId="98" fillId="15" borderId="3" xfId="0" applyFont="1" applyFill="1" applyBorder="1" applyAlignment="1">
      <alignment horizontal="left" vertical="top" textRotation="90" wrapText="1"/>
    </xf>
    <xf numFmtId="0" fontId="99" fillId="14" borderId="1" xfId="0" applyFont="1" applyFill="1" applyBorder="1" applyAlignment="1">
      <alignment horizontal="center" vertical="center" wrapText="1"/>
    </xf>
    <xf numFmtId="0" fontId="99" fillId="15" borderId="8" xfId="0" applyFont="1" applyFill="1" applyBorder="1" applyAlignment="1">
      <alignment horizontal="center" vertical="center" wrapText="1"/>
    </xf>
    <xf numFmtId="0" fontId="97" fillId="15" borderId="3" xfId="0" applyFont="1" applyFill="1" applyBorder="1" applyAlignment="1">
      <alignment horizontal="left" vertical="center" wrapText="1"/>
    </xf>
    <xf numFmtId="0" fontId="97" fillId="15" borderId="1" xfId="0" applyFont="1" applyFill="1" applyBorder="1" applyAlignment="1">
      <alignment horizontal="center" vertical="center" wrapText="1"/>
    </xf>
    <xf numFmtId="0" fontId="97" fillId="15" borderId="8" xfId="0" applyFont="1" applyFill="1" applyBorder="1" applyAlignment="1">
      <alignment horizontal="center" vertical="center" wrapText="1"/>
    </xf>
    <xf numFmtId="0" fontId="85" fillId="15" borderId="3" xfId="0" applyFont="1" applyFill="1" applyBorder="1" applyAlignment="1">
      <alignment horizontal="center" vertical="top" wrapText="1"/>
    </xf>
    <xf numFmtId="0" fontId="100" fillId="11" borderId="1" xfId="0" applyFont="1" applyFill="1" applyBorder="1" applyAlignment="1">
      <alignment horizontal="left" vertical="top" wrapText="1"/>
    </xf>
    <xf numFmtId="0" fontId="30" fillId="9" borderId="1" xfId="0" applyFont="1" applyFill="1" applyBorder="1" applyAlignment="1">
      <alignment horizontal="center" vertical="center" wrapText="1"/>
    </xf>
    <xf numFmtId="0" fontId="101" fillId="7" borderId="3" xfId="0" applyFont="1" applyFill="1" applyBorder="1" applyAlignment="1">
      <alignment horizontal="center" vertical="top" wrapText="1"/>
    </xf>
    <xf numFmtId="0" fontId="44" fillId="0" borderId="0" xfId="0" applyFont="1"/>
    <xf numFmtId="0" fontId="7" fillId="16" borderId="3" xfId="0" applyFont="1" applyFill="1" applyBorder="1" applyAlignment="1">
      <alignment horizontal="left" vertical="top" wrapText="1"/>
    </xf>
    <xf numFmtId="0" fontId="7" fillId="16" borderId="3" xfId="0" applyFont="1" applyFill="1" applyBorder="1" applyAlignment="1">
      <alignment horizontal="center" vertical="center" wrapText="1"/>
    </xf>
    <xf numFmtId="0" fontId="11" fillId="16" borderId="3" xfId="0" applyFont="1" applyFill="1" applyBorder="1" applyAlignment="1">
      <alignment horizontal="left" vertical="top" textRotation="90" wrapText="1"/>
    </xf>
    <xf numFmtId="0" fontId="4" fillId="16" borderId="8"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7" fillId="16" borderId="9" xfId="0" applyFont="1" applyFill="1" applyBorder="1" applyAlignment="1">
      <alignment horizontal="center" vertical="center" wrapText="1"/>
    </xf>
    <xf numFmtId="0" fontId="7" fillId="16" borderId="3" xfId="0" applyFont="1" applyFill="1" applyBorder="1" applyAlignment="1">
      <alignment horizontal="left" vertical="center" wrapText="1"/>
    </xf>
    <xf numFmtId="0" fontId="7" fillId="16" borderId="1" xfId="0" applyFont="1" applyFill="1" applyBorder="1" applyAlignment="1">
      <alignment horizontal="center" vertical="center" wrapText="1"/>
    </xf>
    <xf numFmtId="0" fontId="7" fillId="16" borderId="8" xfId="0" applyFont="1" applyFill="1" applyBorder="1" applyAlignment="1">
      <alignment horizontal="center" vertical="center" wrapText="1"/>
    </xf>
    <xf numFmtId="0" fontId="7" fillId="12" borderId="3" xfId="0" applyFont="1" applyFill="1" applyBorder="1" applyAlignment="1">
      <alignment horizontal="center" vertical="center" wrapText="1"/>
    </xf>
    <xf numFmtId="14" fontId="5" fillId="0" borderId="7" xfId="0" applyNumberFormat="1" applyFont="1" applyBorder="1" applyAlignment="1">
      <alignment vertical="center" wrapText="1"/>
    </xf>
    <xf numFmtId="0" fontId="26" fillId="14" borderId="3" xfId="0" applyFont="1" applyFill="1" applyBorder="1" applyAlignment="1">
      <alignment horizontal="left" vertical="top" wrapText="1"/>
    </xf>
    <xf numFmtId="0" fontId="79" fillId="0" borderId="3" xfId="0" applyFont="1" applyBorder="1" applyAlignment="1">
      <alignment horizontal="left" vertical="top" wrapText="1"/>
    </xf>
    <xf numFmtId="0" fontId="43" fillId="10" borderId="8" xfId="0" applyFont="1" applyFill="1" applyBorder="1" applyAlignment="1">
      <alignment horizontal="center" vertical="center" wrapText="1"/>
    </xf>
    <xf numFmtId="0" fontId="50" fillId="10" borderId="0" xfId="0" applyFont="1" applyFill="1"/>
    <xf numFmtId="0" fontId="7" fillId="12" borderId="8" xfId="0" applyFont="1" applyFill="1" applyBorder="1" applyAlignment="1">
      <alignment horizontal="center" vertical="center" wrapText="1"/>
    </xf>
    <xf numFmtId="0" fontId="8" fillId="16" borderId="3" xfId="0" applyFont="1" applyFill="1" applyBorder="1" applyAlignment="1">
      <alignment horizontal="left" vertical="top" wrapText="1"/>
    </xf>
    <xf numFmtId="0" fontId="43" fillId="10" borderId="3" xfId="0" applyFont="1" applyFill="1" applyBorder="1" applyAlignment="1">
      <alignment horizontal="left" vertical="top" wrapText="1"/>
    </xf>
    <xf numFmtId="14" fontId="7" fillId="16" borderId="3" xfId="0" applyNumberFormat="1" applyFont="1" applyFill="1" applyBorder="1" applyAlignment="1">
      <alignment horizontal="left" vertical="center" wrapText="1"/>
    </xf>
    <xf numFmtId="0" fontId="97" fillId="0" borderId="3" xfId="0" applyFont="1" applyBorder="1" applyAlignment="1">
      <alignment horizontal="left" vertical="top" wrapText="1"/>
    </xf>
    <xf numFmtId="0" fontId="25" fillId="10" borderId="9" xfId="0" applyFont="1" applyFill="1" applyBorder="1" applyAlignment="1">
      <alignment horizontal="center" vertical="center" wrapText="1"/>
    </xf>
    <xf numFmtId="0" fontId="25" fillId="10" borderId="1" xfId="0" applyFont="1" applyFill="1" applyBorder="1" applyAlignment="1">
      <alignment horizontal="center" vertical="center" wrapText="1"/>
    </xf>
    <xf numFmtId="0" fontId="25" fillId="10" borderId="3" xfId="0" applyFont="1" applyFill="1" applyBorder="1" applyAlignment="1">
      <alignment horizontal="center" vertical="center" wrapText="1"/>
    </xf>
    <xf numFmtId="0" fontId="25" fillId="10" borderId="8" xfId="0" applyFont="1" applyFill="1" applyBorder="1" applyAlignment="1">
      <alignment horizontal="center" vertical="center" wrapText="1"/>
    </xf>
    <xf numFmtId="0" fontId="0" fillId="0" borderId="1" xfId="0" applyBorder="1"/>
    <xf numFmtId="0" fontId="36" fillId="7" borderId="3" xfId="0" applyFont="1" applyFill="1" applyBorder="1" applyAlignment="1">
      <alignment horizontal="center" vertical="top" wrapText="1"/>
    </xf>
    <xf numFmtId="0" fontId="30" fillId="16" borderId="1" xfId="0" applyFont="1" applyFill="1" applyBorder="1" applyAlignment="1">
      <alignment horizontal="center" vertical="center" wrapText="1"/>
    </xf>
    <xf numFmtId="0" fontId="7" fillId="0" borderId="1" xfId="0" applyFont="1" applyBorder="1" applyAlignment="1">
      <alignment horizontal="center" vertical="center" textRotation="255" wrapText="1"/>
    </xf>
    <xf numFmtId="0" fontId="54" fillId="14" borderId="0" xfId="0" applyFont="1" applyFill="1" applyAlignment="1">
      <alignment wrapText="1"/>
    </xf>
    <xf numFmtId="0" fontId="41" fillId="0" borderId="8" xfId="0" applyFont="1" applyBorder="1" applyAlignment="1">
      <alignment horizontal="left" vertical="top" wrapText="1"/>
    </xf>
    <xf numFmtId="0" fontId="108" fillId="0" borderId="3" xfId="0" applyFont="1" applyBorder="1" applyAlignment="1">
      <alignment horizontal="left" vertical="top" wrapText="1"/>
    </xf>
    <xf numFmtId="0" fontId="22" fillId="16" borderId="1" xfId="0" applyFont="1" applyFill="1" applyBorder="1" applyAlignment="1">
      <alignment horizontal="center" vertical="center" wrapText="1"/>
    </xf>
    <xf numFmtId="0" fontId="25" fillId="16" borderId="9" xfId="0" applyFont="1" applyFill="1" applyBorder="1" applyAlignment="1">
      <alignment horizontal="center" vertical="center" wrapText="1"/>
    </xf>
    <xf numFmtId="0" fontId="7" fillId="12" borderId="3" xfId="0" applyFont="1" applyFill="1" applyBorder="1" applyAlignment="1">
      <alignment horizontal="left" vertical="top" wrapText="1"/>
    </xf>
    <xf numFmtId="0" fontId="11" fillId="12" borderId="3" xfId="0" applyFont="1" applyFill="1" applyBorder="1" applyAlignment="1">
      <alignment horizontal="left" vertical="top" textRotation="90" wrapText="1"/>
    </xf>
    <xf numFmtId="0" fontId="4" fillId="12" borderId="8"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7" fillId="12" borderId="3" xfId="0" applyFont="1" applyFill="1" applyBorder="1" applyAlignment="1">
      <alignment horizontal="left" vertical="center" wrapText="1"/>
    </xf>
    <xf numFmtId="0" fontId="7" fillId="12" borderId="1" xfId="0" applyFont="1" applyFill="1" applyBorder="1" applyAlignment="1">
      <alignment horizontal="center" vertical="center" wrapText="1"/>
    </xf>
    <xf numFmtId="0" fontId="26" fillId="16" borderId="3" xfId="0" applyFont="1" applyFill="1" applyBorder="1" applyAlignment="1">
      <alignment horizontal="center" vertical="center" wrapText="1"/>
    </xf>
    <xf numFmtId="0" fontId="7" fillId="12" borderId="9" xfId="0" applyFont="1" applyFill="1" applyBorder="1" applyAlignment="1">
      <alignment horizontal="center" vertical="center" wrapText="1"/>
    </xf>
    <xf numFmtId="0" fontId="7" fillId="12" borderId="3" xfId="0" applyFont="1" applyFill="1" applyBorder="1" applyAlignment="1">
      <alignment horizontal="center" vertical="top" wrapText="1"/>
    </xf>
    <xf numFmtId="0" fontId="39" fillId="16" borderId="3" xfId="0" applyFont="1" applyFill="1" applyBorder="1" applyAlignment="1">
      <alignment horizontal="center" vertical="center" wrapText="1"/>
    </xf>
    <xf numFmtId="0" fontId="7" fillId="10" borderId="25" xfId="0" applyFont="1" applyFill="1" applyBorder="1" applyAlignment="1">
      <alignment horizontal="center" vertical="center" wrapText="1"/>
    </xf>
    <xf numFmtId="0" fontId="36" fillId="7" borderId="1" xfId="0" applyFont="1" applyFill="1" applyBorder="1" applyAlignment="1">
      <alignment horizontal="center" vertical="top" wrapText="1"/>
    </xf>
    <xf numFmtId="0" fontId="7" fillId="10" borderId="2" xfId="0" applyFont="1" applyFill="1" applyBorder="1" applyAlignment="1">
      <alignment horizontal="left" vertical="center" wrapText="1"/>
    </xf>
    <xf numFmtId="0" fontId="109" fillId="0" borderId="1" xfId="0" applyFont="1" applyBorder="1" applyAlignment="1">
      <alignment horizontal="left" vertical="top" wrapText="1"/>
    </xf>
    <xf numFmtId="0" fontId="39" fillId="0" borderId="9" xfId="0" applyFont="1" applyBorder="1" applyAlignment="1">
      <alignment horizontal="center" vertical="center" wrapText="1"/>
    </xf>
    <xf numFmtId="0" fontId="7" fillId="18" borderId="3" xfId="0" applyFont="1" applyFill="1" applyBorder="1" applyAlignment="1">
      <alignment horizontal="left" vertical="top" wrapText="1"/>
    </xf>
    <xf numFmtId="0" fontId="7" fillId="18" borderId="3" xfId="0" applyFont="1" applyFill="1" applyBorder="1" applyAlignment="1">
      <alignment horizontal="center" vertical="center" wrapText="1"/>
    </xf>
    <xf numFmtId="0" fontId="11" fillId="18" borderId="3" xfId="0" applyFont="1" applyFill="1" applyBorder="1" applyAlignment="1">
      <alignment horizontal="left" vertical="top" textRotation="90" wrapText="1"/>
    </xf>
    <xf numFmtId="0" fontId="4" fillId="18" borderId="8"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6" fillId="0" borderId="9" xfId="0" applyFont="1" applyBorder="1" applyAlignment="1">
      <alignment horizontal="center" vertical="center" textRotation="90" wrapText="1"/>
    </xf>
    <xf numFmtId="0" fontId="7" fillId="18" borderId="3" xfId="0" applyFont="1" applyFill="1" applyBorder="1" applyAlignment="1">
      <alignment horizontal="left" vertical="center" wrapText="1"/>
    </xf>
    <xf numFmtId="0" fontId="7" fillId="18" borderId="1" xfId="0" applyFont="1" applyFill="1" applyBorder="1" applyAlignment="1">
      <alignment horizontal="center" vertical="center" wrapText="1"/>
    </xf>
    <xf numFmtId="0" fontId="7" fillId="18" borderId="8" xfId="0" applyFont="1" applyFill="1" applyBorder="1" applyAlignment="1">
      <alignment horizontal="center" vertical="center" wrapText="1"/>
    </xf>
    <xf numFmtId="0" fontId="54" fillId="10" borderId="0" xfId="0" applyFont="1" applyFill="1" applyAlignment="1">
      <alignment wrapText="1"/>
    </xf>
    <xf numFmtId="0" fontId="110" fillId="0" borderId="0" xfId="0" applyFont="1"/>
    <xf numFmtId="0" fontId="7" fillId="18" borderId="9" xfId="0" applyFont="1" applyFill="1" applyBorder="1" applyAlignment="1">
      <alignment horizontal="center" vertical="center" wrapText="1"/>
    </xf>
    <xf numFmtId="0" fontId="16" fillId="18" borderId="9" xfId="0" applyFont="1" applyFill="1" applyBorder="1" applyAlignment="1">
      <alignment horizontal="center" vertical="center" textRotation="90" wrapText="1"/>
    </xf>
    <xf numFmtId="14" fontId="20" fillId="14" borderId="7" xfId="0" applyNumberFormat="1" applyFont="1" applyFill="1" applyBorder="1" applyAlignment="1">
      <alignment vertical="center" wrapText="1"/>
    </xf>
    <xf numFmtId="0" fontId="27" fillId="15" borderId="1" xfId="0" applyFont="1" applyFill="1" applyBorder="1" applyAlignment="1">
      <alignment horizontal="center" vertical="top" wrapText="1"/>
    </xf>
    <xf numFmtId="0" fontId="7" fillId="14" borderId="9" xfId="0" applyFont="1" applyFill="1" applyBorder="1" applyAlignment="1">
      <alignment horizontal="center" vertical="center" wrapText="1"/>
    </xf>
    <xf numFmtId="0" fontId="11" fillId="0" borderId="3" xfId="0" applyFont="1" applyBorder="1" applyAlignment="1">
      <alignment horizontal="center" vertical="center" textRotation="90" wrapText="1"/>
    </xf>
    <xf numFmtId="0" fontId="111" fillId="7" borderId="3" xfId="0" applyFont="1" applyFill="1" applyBorder="1" applyAlignment="1">
      <alignment horizontal="center" vertical="top" wrapText="1"/>
    </xf>
    <xf numFmtId="0" fontId="7" fillId="0" borderId="19" xfId="0" applyFont="1" applyBorder="1" applyAlignment="1">
      <alignment horizontal="left" vertical="top" wrapText="1"/>
    </xf>
    <xf numFmtId="0" fontId="7" fillId="0" borderId="19" xfId="0" applyFont="1" applyBorder="1" applyAlignment="1">
      <alignment horizontal="center" vertical="center" wrapText="1"/>
    </xf>
    <xf numFmtId="0" fontId="11" fillId="0" borderId="19" xfId="0" applyFont="1" applyBorder="1" applyAlignment="1">
      <alignment horizontal="left" vertical="top" textRotation="90" wrapText="1"/>
    </xf>
    <xf numFmtId="0" fontId="4" fillId="0" borderId="20" xfId="0" applyFont="1" applyBorder="1" applyAlignment="1">
      <alignment horizontal="center" vertical="center" wrapText="1"/>
    </xf>
    <xf numFmtId="0" fontId="7" fillId="7" borderId="26" xfId="0" applyFont="1" applyFill="1" applyBorder="1" applyAlignment="1">
      <alignment horizontal="center" vertical="top" wrapText="1"/>
    </xf>
    <xf numFmtId="0" fontId="7" fillId="10" borderId="19" xfId="0" applyFont="1" applyFill="1" applyBorder="1" applyAlignment="1">
      <alignment horizontal="left" vertical="center" wrapText="1"/>
    </xf>
    <xf numFmtId="0" fontId="7" fillId="10" borderId="20" xfId="0" applyFont="1" applyFill="1" applyBorder="1" applyAlignment="1">
      <alignment horizontal="center" vertical="center" wrapText="1"/>
    </xf>
    <xf numFmtId="0" fontId="41" fillId="10" borderId="19" xfId="0" applyFont="1" applyFill="1" applyBorder="1" applyAlignment="1">
      <alignment horizontal="left" vertical="top" wrapText="1"/>
    </xf>
    <xf numFmtId="0" fontId="43" fillId="0" borderId="20" xfId="0" applyFont="1" applyBorder="1" applyAlignment="1">
      <alignment horizontal="center" vertical="center" wrapText="1"/>
    </xf>
    <xf numFmtId="49" fontId="43" fillId="10" borderId="19" xfId="0" applyNumberFormat="1" applyFont="1" applyFill="1" applyBorder="1" applyAlignment="1">
      <alignment horizontal="left" vertical="top" wrapText="1"/>
    </xf>
    <xf numFmtId="0" fontId="43" fillId="10" borderId="19" xfId="0" applyFont="1" applyFill="1" applyBorder="1" applyAlignment="1">
      <alignment horizontal="left" vertical="top"/>
    </xf>
    <xf numFmtId="0" fontId="111" fillId="9" borderId="3" xfId="0" applyFont="1" applyFill="1" applyBorder="1" applyAlignment="1">
      <alignment horizontal="center" vertical="top" wrapText="1"/>
    </xf>
    <xf numFmtId="0" fontId="112" fillId="0" borderId="0" xfId="0" applyFont="1"/>
    <xf numFmtId="0" fontId="27" fillId="15" borderId="1" xfId="0" applyFont="1" applyFill="1" applyBorder="1" applyAlignment="1">
      <alignment horizontal="center" vertical="center" wrapText="1"/>
    </xf>
    <xf numFmtId="0" fontId="7" fillId="19" borderId="3" xfId="0" applyFont="1" applyFill="1" applyBorder="1" applyAlignment="1">
      <alignment horizontal="left" vertical="top" wrapText="1"/>
    </xf>
    <xf numFmtId="0" fontId="7" fillId="19" borderId="3" xfId="0" applyFont="1" applyFill="1" applyBorder="1" applyAlignment="1">
      <alignment horizontal="center" vertical="center" wrapText="1"/>
    </xf>
    <xf numFmtId="0" fontId="11" fillId="19" borderId="3" xfId="0" applyFont="1" applyFill="1" applyBorder="1" applyAlignment="1">
      <alignment horizontal="left" vertical="top" textRotation="90" wrapText="1"/>
    </xf>
    <xf numFmtId="0" fontId="4" fillId="19" borderId="8" xfId="0" applyFont="1" applyFill="1" applyBorder="1" applyAlignment="1">
      <alignment horizontal="center" vertical="center" wrapText="1"/>
    </xf>
    <xf numFmtId="0" fontId="22" fillId="19" borderId="1" xfId="0" applyFont="1" applyFill="1" applyBorder="1" applyAlignment="1">
      <alignment horizontal="center" vertical="center" wrapText="1"/>
    </xf>
    <xf numFmtId="0" fontId="7" fillId="19" borderId="9" xfId="0" applyFont="1" applyFill="1" applyBorder="1" applyAlignment="1">
      <alignment horizontal="center" vertical="center" wrapText="1"/>
    </xf>
    <xf numFmtId="0" fontId="7" fillId="19" borderId="3" xfId="0" applyFont="1" applyFill="1" applyBorder="1" applyAlignment="1">
      <alignment horizontal="center" vertical="top" wrapText="1"/>
    </xf>
    <xf numFmtId="0" fontId="7" fillId="19" borderId="3" xfId="0" applyFont="1" applyFill="1" applyBorder="1" applyAlignment="1">
      <alignment horizontal="left" vertical="center" wrapText="1"/>
    </xf>
    <xf numFmtId="0" fontId="7" fillId="19" borderId="1" xfId="0" applyFont="1" applyFill="1" applyBorder="1" applyAlignment="1">
      <alignment horizontal="center" vertical="center" wrapText="1"/>
    </xf>
    <xf numFmtId="0" fontId="7" fillId="19" borderId="8" xfId="0" applyFont="1" applyFill="1" applyBorder="1" applyAlignment="1">
      <alignment horizontal="center" vertical="center" wrapText="1"/>
    </xf>
    <xf numFmtId="0" fontId="8" fillId="20" borderId="3" xfId="0" applyFont="1" applyFill="1" applyBorder="1" applyAlignment="1">
      <alignment horizontal="left" vertical="top" wrapText="1"/>
    </xf>
    <xf numFmtId="0" fontId="7" fillId="20" borderId="3" xfId="0" applyFont="1" applyFill="1" applyBorder="1" applyAlignment="1">
      <alignment horizontal="left" vertical="top" wrapText="1"/>
    </xf>
    <xf numFmtId="0" fontId="7" fillId="20" borderId="3" xfId="0" applyFont="1" applyFill="1" applyBorder="1" applyAlignment="1">
      <alignment horizontal="center" vertical="center" wrapText="1"/>
    </xf>
    <xf numFmtId="0" fontId="11" fillId="20" borderId="3" xfId="0" applyFont="1" applyFill="1" applyBorder="1" applyAlignment="1">
      <alignment horizontal="center" vertical="center" textRotation="90" wrapText="1"/>
    </xf>
    <xf numFmtId="0" fontId="11" fillId="20" borderId="3" xfId="0" applyFont="1" applyFill="1" applyBorder="1" applyAlignment="1">
      <alignment horizontal="left" vertical="top" textRotation="90" wrapText="1"/>
    </xf>
    <xf numFmtId="0" fontId="4" fillId="20" borderId="1" xfId="0" applyFont="1" applyFill="1" applyBorder="1" applyAlignment="1">
      <alignment horizontal="center" vertical="center" wrapText="1"/>
    </xf>
    <xf numFmtId="0" fontId="4" fillId="20" borderId="8" xfId="0" applyFont="1" applyFill="1" applyBorder="1" applyAlignment="1">
      <alignment horizontal="center" vertical="center" wrapText="1"/>
    </xf>
    <xf numFmtId="0" fontId="7" fillId="20" borderId="9" xfId="0" applyFont="1" applyFill="1" applyBorder="1" applyAlignment="1">
      <alignment horizontal="center" vertical="center" wrapText="1"/>
    </xf>
    <xf numFmtId="0" fontId="7" fillId="20" borderId="3" xfId="0" applyFont="1" applyFill="1" applyBorder="1" applyAlignment="1">
      <alignment horizontal="center" vertical="center" textRotation="255" wrapText="1"/>
    </xf>
    <xf numFmtId="0" fontId="7" fillId="20" borderId="3" xfId="0" applyFont="1" applyFill="1" applyBorder="1" applyAlignment="1">
      <alignment horizontal="center" vertical="top" wrapText="1"/>
    </xf>
    <xf numFmtId="0" fontId="7" fillId="20" borderId="3" xfId="0" applyFont="1" applyFill="1" applyBorder="1" applyAlignment="1">
      <alignment horizontal="left" vertical="center" wrapText="1"/>
    </xf>
    <xf numFmtId="0" fontId="7" fillId="20" borderId="1" xfId="0" applyFont="1" applyFill="1" applyBorder="1" applyAlignment="1">
      <alignment horizontal="center" vertical="center" wrapText="1"/>
    </xf>
    <xf numFmtId="0" fontId="7" fillId="20" borderId="8" xfId="0" applyFont="1" applyFill="1" applyBorder="1" applyAlignment="1">
      <alignment horizontal="center" vertical="center" wrapText="1"/>
    </xf>
    <xf numFmtId="16" fontId="43" fillId="10" borderId="2" xfId="0" applyNumberFormat="1" applyFont="1" applyFill="1" applyBorder="1" applyAlignment="1">
      <alignment horizontal="left" vertical="top" wrapText="1"/>
    </xf>
    <xf numFmtId="0" fontId="8" fillId="0" borderId="4" xfId="0" applyFont="1" applyBorder="1" applyAlignment="1">
      <alignment horizontal="left" vertical="top" wrapText="1"/>
    </xf>
    <xf numFmtId="0" fontId="25" fillId="15" borderId="3" xfId="0" applyFont="1" applyFill="1" applyBorder="1" applyAlignment="1">
      <alignment horizontal="left" vertical="top" wrapText="1"/>
    </xf>
    <xf numFmtId="0" fontId="25" fillId="15" borderId="3" xfId="0" applyFont="1" applyFill="1" applyBorder="1" applyAlignment="1">
      <alignment horizontal="center" vertical="center" wrapText="1"/>
    </xf>
    <xf numFmtId="0" fontId="90" fillId="15" borderId="3" xfId="0" applyFont="1" applyFill="1" applyBorder="1" applyAlignment="1">
      <alignment horizontal="left" vertical="top" textRotation="90" wrapText="1"/>
    </xf>
    <xf numFmtId="0" fontId="22" fillId="15" borderId="8" xfId="0" applyFont="1" applyFill="1" applyBorder="1" applyAlignment="1">
      <alignment horizontal="center" vertical="center" wrapText="1"/>
    </xf>
    <xf numFmtId="0" fontId="25" fillId="15" borderId="9" xfId="0" applyFont="1" applyFill="1" applyBorder="1" applyAlignment="1">
      <alignment horizontal="center" vertical="center" wrapText="1"/>
    </xf>
    <xf numFmtId="0" fontId="25" fillId="15" borderId="1" xfId="0" applyFont="1" applyFill="1" applyBorder="1" applyAlignment="1">
      <alignment horizontal="center" vertical="center" wrapText="1"/>
    </xf>
    <xf numFmtId="0" fontId="25" fillId="15" borderId="8" xfId="0" applyFont="1" applyFill="1" applyBorder="1" applyAlignment="1">
      <alignment horizontal="center" vertical="center" wrapText="1"/>
    </xf>
    <xf numFmtId="0" fontId="79" fillId="7" borderId="3" xfId="0" applyFont="1" applyFill="1" applyBorder="1" applyAlignment="1">
      <alignment horizontal="center" vertical="top" wrapText="1"/>
    </xf>
    <xf numFmtId="0" fontId="27" fillId="20" borderId="1" xfId="0" applyFont="1" applyFill="1" applyBorder="1" applyAlignment="1">
      <alignment horizontal="center" vertical="center" wrapText="1"/>
    </xf>
    <xf numFmtId="0" fontId="54" fillId="0" borderId="0" xfId="0" applyFont="1"/>
    <xf numFmtId="0" fontId="11" fillId="15" borderId="3" xfId="0" applyFont="1" applyFill="1" applyBorder="1" applyAlignment="1">
      <alignment horizontal="left" vertical="center" textRotation="90" wrapText="1"/>
    </xf>
    <xf numFmtId="0" fontId="1" fillId="0" borderId="0" xfId="1"/>
    <xf numFmtId="0" fontId="7" fillId="15" borderId="9" xfId="0" applyFont="1" applyFill="1" applyBorder="1" applyAlignment="1">
      <alignment horizontal="center" vertical="center" textRotation="255" wrapText="1"/>
    </xf>
    <xf numFmtId="0" fontId="25" fillId="15" borderId="3" xfId="0" applyFont="1" applyFill="1" applyBorder="1" applyAlignment="1">
      <alignment horizontal="center" vertical="top" wrapText="1"/>
    </xf>
    <xf numFmtId="0" fontId="8" fillId="0" borderId="14" xfId="0" applyFont="1" applyBorder="1" applyAlignment="1">
      <alignment horizontal="left" vertical="top" wrapText="1"/>
    </xf>
    <xf numFmtId="0" fontId="4" fillId="14" borderId="10" xfId="0" applyFont="1" applyFill="1" applyBorder="1" applyAlignment="1">
      <alignment horizontal="center" vertical="center" wrapText="1"/>
    </xf>
    <xf numFmtId="16" fontId="7" fillId="10" borderId="14" xfId="0" applyNumberFormat="1" applyFont="1" applyFill="1" applyBorder="1" applyAlignment="1">
      <alignment horizontal="left" vertical="center" wrapText="1"/>
    </xf>
    <xf numFmtId="0" fontId="7" fillId="14" borderId="15" xfId="0" applyFont="1" applyFill="1" applyBorder="1" applyAlignment="1">
      <alignment horizontal="center" vertical="center" wrapText="1"/>
    </xf>
    <xf numFmtId="0" fontId="41" fillId="10" borderId="14" xfId="0" applyFont="1" applyFill="1" applyBorder="1" applyAlignment="1">
      <alignment horizontal="left" vertical="top" wrapText="1"/>
    </xf>
    <xf numFmtId="0" fontId="43" fillId="0" borderId="15" xfId="0" applyFont="1" applyBorder="1" applyAlignment="1">
      <alignment horizontal="center" vertical="center" wrapText="1"/>
    </xf>
    <xf numFmtId="0" fontId="58" fillId="11" borderId="10" xfId="0" applyFont="1" applyFill="1" applyBorder="1" applyAlignment="1">
      <alignment horizontal="left" vertical="top" wrapText="1"/>
    </xf>
    <xf numFmtId="0" fontId="43" fillId="10" borderId="17" xfId="0" applyFont="1" applyFill="1" applyBorder="1" applyAlignment="1">
      <alignment horizontal="left" vertical="top" wrapText="1"/>
    </xf>
    <xf numFmtId="49" fontId="43" fillId="10" borderId="14" xfId="0" applyNumberFormat="1" applyFont="1" applyFill="1" applyBorder="1" applyAlignment="1">
      <alignment horizontal="left" vertical="top" wrapText="1"/>
    </xf>
    <xf numFmtId="0" fontId="43" fillId="10" borderId="14" xfId="0" applyFont="1" applyFill="1" applyBorder="1" applyAlignment="1">
      <alignment horizontal="left" vertical="top"/>
    </xf>
    <xf numFmtId="0" fontId="25" fillId="7" borderId="4" xfId="0" applyFont="1" applyFill="1" applyBorder="1" applyAlignment="1">
      <alignment horizontal="center" vertical="top" wrapText="1"/>
    </xf>
    <xf numFmtId="0" fontId="16" fillId="10" borderId="3" xfId="0" applyFont="1" applyFill="1" applyBorder="1" applyAlignment="1">
      <alignment horizontal="left" vertical="center" wrapText="1"/>
    </xf>
    <xf numFmtId="0" fontId="25" fillId="7" borderId="19" xfId="0" applyFont="1" applyFill="1" applyBorder="1" applyAlignment="1">
      <alignment horizontal="center" vertical="top" wrapText="1"/>
    </xf>
    <xf numFmtId="0" fontId="115" fillId="14" borderId="3" xfId="0" applyFont="1" applyFill="1" applyBorder="1" applyAlignment="1">
      <alignment horizontal="left" vertical="top" wrapText="1"/>
    </xf>
    <xf numFmtId="0" fontId="115" fillId="0" borderId="3" xfId="0" applyFont="1" applyBorder="1" applyAlignment="1">
      <alignment horizontal="center" vertical="center" wrapText="1"/>
    </xf>
    <xf numFmtId="0" fontId="116" fillId="0" borderId="3" xfId="0" applyFont="1" applyBorder="1" applyAlignment="1">
      <alignment horizontal="left" vertical="top" textRotation="90" wrapText="1"/>
    </xf>
    <xf numFmtId="49" fontId="43" fillId="10" borderId="3" xfId="0" applyNumberFormat="1" applyFont="1" applyFill="1" applyBorder="1" applyAlignment="1">
      <alignment horizontal="left" vertical="top"/>
    </xf>
    <xf numFmtId="0" fontId="8" fillId="21" borderId="3" xfId="0" applyFont="1" applyFill="1" applyBorder="1" applyAlignment="1">
      <alignment horizontal="left" vertical="top" wrapText="1"/>
    </xf>
    <xf numFmtId="0" fontId="7" fillId="21" borderId="3" xfId="0" applyFont="1" applyFill="1" applyBorder="1" applyAlignment="1">
      <alignment horizontal="left" vertical="top" wrapText="1"/>
    </xf>
    <xf numFmtId="0" fontId="25" fillId="21" borderId="3" xfId="0" applyFont="1" applyFill="1" applyBorder="1" applyAlignment="1">
      <alignment horizontal="left" vertical="top" wrapText="1"/>
    </xf>
    <xf numFmtId="0" fontId="7" fillId="21" borderId="3" xfId="0" applyFont="1" applyFill="1" applyBorder="1" applyAlignment="1">
      <alignment horizontal="center" vertical="center" wrapText="1"/>
    </xf>
    <xf numFmtId="0" fontId="11" fillId="21" borderId="3" xfId="0" applyFont="1" applyFill="1" applyBorder="1" applyAlignment="1">
      <alignment horizontal="left" vertical="top" textRotation="90" wrapText="1"/>
    </xf>
    <xf numFmtId="0" fontId="4" fillId="21" borderId="8" xfId="0" applyFont="1" applyFill="1" applyBorder="1" applyAlignment="1">
      <alignment horizontal="center" vertical="center" wrapText="1"/>
    </xf>
    <xf numFmtId="0" fontId="4" fillId="21" borderId="1" xfId="0" applyFont="1" applyFill="1" applyBorder="1" applyAlignment="1">
      <alignment horizontal="center" vertical="center" wrapText="1"/>
    </xf>
    <xf numFmtId="0" fontId="7" fillId="21" borderId="9" xfId="0" applyFont="1" applyFill="1" applyBorder="1" applyAlignment="1">
      <alignment horizontal="center" vertical="center" wrapText="1"/>
    </xf>
    <xf numFmtId="0" fontId="7" fillId="21" borderId="3" xfId="0" applyFont="1" applyFill="1" applyBorder="1" applyAlignment="1">
      <alignment horizontal="center" vertical="top" wrapText="1"/>
    </xf>
    <xf numFmtId="0" fontId="7" fillId="21" borderId="3" xfId="0" applyFont="1" applyFill="1" applyBorder="1" applyAlignment="1">
      <alignment horizontal="left" vertical="center" wrapText="1"/>
    </xf>
    <xf numFmtId="0" fontId="7" fillId="21" borderId="1" xfId="0" applyFont="1" applyFill="1" applyBorder="1" applyAlignment="1">
      <alignment horizontal="center" vertical="center" wrapText="1"/>
    </xf>
    <xf numFmtId="0" fontId="7" fillId="21" borderId="8" xfId="0" applyFont="1" applyFill="1" applyBorder="1" applyAlignment="1">
      <alignment horizontal="center" vertical="center" wrapText="1"/>
    </xf>
    <xf numFmtId="0" fontId="117" fillId="11" borderId="1" xfId="0" applyFont="1" applyFill="1" applyBorder="1" applyAlignment="1">
      <alignment vertical="top" wrapText="1"/>
    </xf>
    <xf numFmtId="0" fontId="16" fillId="0" borderId="3" xfId="0" applyFont="1" applyBorder="1" applyAlignment="1">
      <alignment horizontal="left" vertical="top" wrapText="1"/>
    </xf>
    <xf numFmtId="0" fontId="7" fillId="0" borderId="8" xfId="0" applyFont="1" applyBorder="1" applyAlignment="1">
      <alignment horizontal="center" vertical="center" textRotation="255" wrapText="1"/>
    </xf>
    <xf numFmtId="0" fontId="25" fillId="15" borderId="3" xfId="0" applyFont="1" applyFill="1" applyBorder="1" applyAlignment="1">
      <alignment horizontal="left" vertical="center" wrapText="1"/>
    </xf>
    <xf numFmtId="0" fontId="25" fillId="14" borderId="8" xfId="0" applyFont="1" applyFill="1" applyBorder="1" applyAlignment="1">
      <alignment horizontal="center" vertical="center" wrapText="1"/>
    </xf>
    <xf numFmtId="0" fontId="25" fillId="14" borderId="3" xfId="0" applyFont="1" applyFill="1" applyBorder="1" applyAlignment="1">
      <alignment horizontal="center" vertical="center" wrapText="1"/>
    </xf>
    <xf numFmtId="14" fontId="25" fillId="0" borderId="3" xfId="0" applyNumberFormat="1" applyFont="1" applyBorder="1" applyAlignment="1">
      <alignment horizontal="left" vertical="top" wrapText="1"/>
    </xf>
    <xf numFmtId="0" fontId="46" fillId="0" borderId="3" xfId="0" applyFont="1" applyBorder="1" applyAlignment="1">
      <alignment horizontal="left" vertical="top" wrapText="1"/>
    </xf>
    <xf numFmtId="0" fontId="50" fillId="0" borderId="1" xfId="0" applyFont="1" applyBorder="1" applyAlignment="1">
      <alignment wrapText="1"/>
    </xf>
    <xf numFmtId="0" fontId="79" fillId="0" borderId="2" xfId="0" applyFont="1" applyBorder="1" applyAlignment="1">
      <alignment horizontal="left" vertical="top" wrapText="1"/>
    </xf>
    <xf numFmtId="0" fontId="26" fillId="9" borderId="3" xfId="0" applyFont="1" applyFill="1" applyBorder="1" applyAlignment="1">
      <alignment horizontal="left" vertical="top" wrapText="1"/>
    </xf>
    <xf numFmtId="14" fontId="5" fillId="0" borderId="10" xfId="0" applyNumberFormat="1" applyFont="1" applyBorder="1" applyAlignment="1">
      <alignment vertical="center"/>
    </xf>
    <xf numFmtId="49" fontId="11" fillId="7" borderId="3" xfId="0" applyNumberFormat="1" applyFont="1" applyFill="1" applyBorder="1" applyAlignment="1">
      <alignment horizontal="center" vertical="center" textRotation="90" wrapText="1"/>
    </xf>
    <xf numFmtId="0" fontId="27" fillId="0" borderId="1" xfId="0" applyFont="1" applyBorder="1" applyAlignment="1">
      <alignment horizontal="center" vertical="top" wrapText="1"/>
    </xf>
    <xf numFmtId="0" fontId="50" fillId="0" borderId="1" xfId="0" applyFont="1" applyBorder="1"/>
    <xf numFmtId="14" fontId="5" fillId="0" borderId="1" xfId="0" applyNumberFormat="1" applyFont="1" applyBorder="1" applyAlignment="1">
      <alignment vertical="center"/>
    </xf>
    <xf numFmtId="0" fontId="85" fillId="7" borderId="3" xfId="0" applyFont="1" applyFill="1" applyBorder="1" applyAlignment="1">
      <alignment horizontal="center" vertical="top" wrapText="1"/>
    </xf>
    <xf numFmtId="0" fontId="119" fillId="0" borderId="1" xfId="0" applyFont="1" applyBorder="1" applyAlignment="1">
      <alignment horizontal="left" vertical="top" wrapText="1"/>
    </xf>
    <xf numFmtId="0" fontId="115" fillId="0" borderId="3" xfId="0" applyFont="1" applyBorder="1" applyAlignment="1">
      <alignment vertical="top" wrapText="1"/>
    </xf>
    <xf numFmtId="0" fontId="115" fillId="0" borderId="3" xfId="0" applyFont="1" applyBorder="1" applyAlignment="1">
      <alignment horizontal="left" vertical="top" wrapText="1"/>
    </xf>
    <xf numFmtId="0" fontId="116" fillId="0" borderId="3" xfId="0" applyFont="1" applyBorder="1" applyAlignment="1">
      <alignment horizontal="center" vertical="center" wrapText="1"/>
    </xf>
    <xf numFmtId="0" fontId="115" fillId="0" borderId="3" xfId="0" applyFont="1" applyBorder="1" applyAlignment="1">
      <alignment horizontal="center" vertical="center" textRotation="90" wrapText="1"/>
    </xf>
    <xf numFmtId="0" fontId="115" fillId="0" borderId="8" xfId="0" applyFont="1" applyBorder="1" applyAlignment="1">
      <alignment horizontal="center" vertical="center" textRotation="90" wrapText="1"/>
    </xf>
    <xf numFmtId="0" fontId="120" fillId="14" borderId="1" xfId="0" applyFont="1" applyFill="1" applyBorder="1" applyAlignment="1">
      <alignment horizontal="center" vertical="center" wrapText="1"/>
    </xf>
    <xf numFmtId="0" fontId="120" fillId="0" borderId="2" xfId="0" applyFont="1" applyBorder="1" applyAlignment="1">
      <alignment horizontal="center" vertical="center" wrapText="1"/>
    </xf>
    <xf numFmtId="0" fontId="120" fillId="0" borderId="3" xfId="0" applyFont="1" applyBorder="1" applyAlignment="1">
      <alignment horizontal="center" vertical="center" wrapText="1"/>
    </xf>
    <xf numFmtId="0" fontId="115" fillId="7" borderId="3" xfId="0" applyFont="1" applyFill="1" applyBorder="1" applyAlignment="1">
      <alignment horizontal="center" vertical="top" wrapText="1"/>
    </xf>
    <xf numFmtId="0" fontId="115" fillId="0" borderId="1" xfId="0" applyFont="1" applyBorder="1" applyAlignment="1">
      <alignment horizontal="left" vertical="center" wrapText="1"/>
    </xf>
    <xf numFmtId="0" fontId="115" fillId="0" borderId="2" xfId="0" applyFont="1" applyBorder="1" applyAlignment="1">
      <alignment horizontal="left" vertical="center" wrapText="1"/>
    </xf>
    <xf numFmtId="0" fontId="121" fillId="0" borderId="7" xfId="0" applyFont="1" applyBorder="1" applyAlignment="1">
      <alignment vertical="top"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164" fontId="5" fillId="0" borderId="5" xfId="0" applyNumberFormat="1" applyFont="1" applyBorder="1" applyAlignment="1">
      <alignment horizontal="left" vertical="top" wrapText="1"/>
    </xf>
    <xf numFmtId="0" fontId="5" fillId="0" borderId="1" xfId="0" applyFont="1" applyBorder="1" applyAlignment="1">
      <alignment horizontal="left" vertical="top" wrapText="1"/>
    </xf>
    <xf numFmtId="0" fontId="8" fillId="22" borderId="3" xfId="0" applyFont="1" applyFill="1" applyBorder="1" applyAlignment="1">
      <alignment horizontal="left" vertical="top" wrapText="1"/>
    </xf>
    <xf numFmtId="0" fontId="7" fillId="22" borderId="3" xfId="0" applyFont="1" applyFill="1" applyBorder="1" applyAlignment="1">
      <alignment horizontal="left" vertical="top" wrapText="1"/>
    </xf>
    <xf numFmtId="0" fontId="7" fillId="22" borderId="3" xfId="0" applyFont="1" applyFill="1" applyBorder="1" applyAlignment="1">
      <alignment horizontal="center" vertical="center" wrapText="1"/>
    </xf>
    <xf numFmtId="0" fontId="11" fillId="22" borderId="3" xfId="0" applyFont="1" applyFill="1" applyBorder="1" applyAlignment="1">
      <alignment horizontal="left" vertical="top" textRotation="90" wrapText="1"/>
    </xf>
    <xf numFmtId="0" fontId="4" fillId="22" borderId="8" xfId="0" applyFont="1" applyFill="1" applyBorder="1" applyAlignment="1">
      <alignment horizontal="center" vertical="center" wrapText="1"/>
    </xf>
    <xf numFmtId="0" fontId="22" fillId="22" borderId="1" xfId="0" applyFont="1" applyFill="1" applyBorder="1" applyAlignment="1">
      <alignment horizontal="center" vertical="center" wrapText="1"/>
    </xf>
    <xf numFmtId="0" fontId="7" fillId="22" borderId="9" xfId="0" applyFont="1" applyFill="1" applyBorder="1" applyAlignment="1">
      <alignment horizontal="center" vertical="center" wrapText="1"/>
    </xf>
    <xf numFmtId="0" fontId="7" fillId="22" borderId="3" xfId="0" applyFont="1" applyFill="1" applyBorder="1" applyAlignment="1">
      <alignment horizontal="center" vertical="top" wrapText="1"/>
    </xf>
    <xf numFmtId="0" fontId="7" fillId="22" borderId="3" xfId="0" applyFont="1" applyFill="1" applyBorder="1" applyAlignment="1">
      <alignment horizontal="left" vertical="center" wrapText="1"/>
    </xf>
    <xf numFmtId="0" fontId="7" fillId="22" borderId="1" xfId="0" applyFont="1" applyFill="1" applyBorder="1" applyAlignment="1">
      <alignment horizontal="center" vertical="center" wrapText="1"/>
    </xf>
    <xf numFmtId="0" fontId="122" fillId="0" borderId="1" xfId="0" applyFont="1" applyBorder="1" applyAlignment="1">
      <alignment horizontal="left" vertical="top" wrapText="1"/>
    </xf>
    <xf numFmtId="0" fontId="101" fillId="0" borderId="3" xfId="0" applyFont="1" applyBorder="1" applyAlignment="1">
      <alignment horizontal="left" vertical="top" wrapText="1"/>
    </xf>
    <xf numFmtId="0" fontId="123" fillId="0" borderId="3" xfId="0" applyFont="1" applyBorder="1" applyAlignment="1">
      <alignment horizontal="left" vertical="top" wrapText="1"/>
    </xf>
    <xf numFmtId="0" fontId="125" fillId="0" borderId="3" xfId="0" applyFont="1" applyBorder="1" applyAlignment="1">
      <alignment horizontal="center" vertical="center" textRotation="90" wrapText="1"/>
    </xf>
    <xf numFmtId="0" fontId="126" fillId="14" borderId="1" xfId="0" applyFont="1" applyFill="1" applyBorder="1" applyAlignment="1">
      <alignment horizontal="center" vertical="center" wrapText="1"/>
    </xf>
    <xf numFmtId="0" fontId="127" fillId="7" borderId="3" xfId="0" applyFont="1" applyFill="1" applyBorder="1" applyAlignment="1">
      <alignment horizontal="center" vertical="top" wrapText="1"/>
    </xf>
    <xf numFmtId="49" fontId="43" fillId="10" borderId="1" xfId="0" applyNumberFormat="1" applyFont="1" applyFill="1" applyBorder="1" applyAlignment="1">
      <alignment horizontal="left" vertical="top" wrapText="1"/>
    </xf>
    <xf numFmtId="0" fontId="43" fillId="10" borderId="2" xfId="0" applyFont="1" applyFill="1" applyBorder="1" applyAlignment="1">
      <alignment horizontal="left" vertical="top"/>
    </xf>
    <xf numFmtId="0" fontId="93" fillId="7" borderId="3" xfId="0" applyFont="1" applyFill="1" applyBorder="1" applyAlignment="1">
      <alignment horizontal="center" vertical="top" wrapText="1"/>
    </xf>
    <xf numFmtId="0" fontId="8" fillId="0" borderId="0" xfId="0" applyFont="1" applyAlignment="1">
      <alignment vertical="top" wrapText="1"/>
    </xf>
    <xf numFmtId="0" fontId="101" fillId="0" borderId="1" xfId="0" applyFont="1" applyBorder="1" applyAlignment="1">
      <alignment horizontal="left" vertical="top" wrapText="1"/>
    </xf>
    <xf numFmtId="0" fontId="122" fillId="0" borderId="3" xfId="0" applyFont="1" applyBorder="1" applyAlignment="1">
      <alignment horizontal="left" vertical="top" wrapText="1"/>
    </xf>
    <xf numFmtId="0" fontId="101" fillId="0" borderId="3" xfId="0" applyFont="1" applyBorder="1" applyAlignment="1">
      <alignment horizontal="center" vertical="center" wrapText="1"/>
    </xf>
    <xf numFmtId="0" fontId="87" fillId="0" borderId="3" xfId="0" applyFont="1" applyBorder="1" applyAlignment="1">
      <alignment horizontal="center" vertical="center" textRotation="90" wrapText="1"/>
    </xf>
    <xf numFmtId="0" fontId="126" fillId="0" borderId="8" xfId="0" applyFont="1" applyBorder="1" applyAlignment="1">
      <alignment horizontal="center" vertical="center" wrapText="1"/>
    </xf>
    <xf numFmtId="0" fontId="126" fillId="0" borderId="1" xfId="0" applyFont="1" applyBorder="1" applyAlignment="1">
      <alignment horizontal="center" vertical="center" wrapText="1"/>
    </xf>
    <xf numFmtId="0" fontId="101" fillId="10" borderId="9" xfId="0" applyFont="1" applyFill="1" applyBorder="1" applyAlignment="1">
      <alignment horizontal="center" vertical="center" wrapText="1"/>
    </xf>
    <xf numFmtId="0" fontId="131" fillId="7" borderId="3" xfId="0" applyFont="1" applyFill="1" applyBorder="1" applyAlignment="1">
      <alignment horizontal="center" vertical="top" wrapText="1"/>
    </xf>
    <xf numFmtId="0" fontId="101" fillId="10" borderId="1" xfId="0" applyFont="1" applyFill="1" applyBorder="1" applyAlignment="1">
      <alignment horizontal="center" vertical="center" wrapText="1"/>
    </xf>
    <xf numFmtId="0" fontId="101" fillId="10" borderId="3" xfId="0" applyFont="1" applyFill="1" applyBorder="1" applyAlignment="1">
      <alignment horizontal="center" vertical="center" wrapText="1"/>
    </xf>
    <xf numFmtId="0" fontId="101" fillId="10" borderId="8" xfId="0" applyFont="1" applyFill="1" applyBorder="1" applyAlignment="1">
      <alignment horizontal="center" vertical="center" wrapText="1"/>
    </xf>
    <xf numFmtId="0" fontId="135" fillId="10" borderId="3" xfId="0" applyFont="1" applyFill="1" applyBorder="1" applyAlignment="1">
      <alignment horizontal="left" vertical="top" wrapText="1"/>
    </xf>
    <xf numFmtId="0" fontId="50" fillId="10" borderId="2" xfId="0" applyFont="1" applyFill="1" applyBorder="1" applyAlignment="1">
      <alignment horizontal="left" vertical="top" wrapText="1"/>
    </xf>
    <xf numFmtId="49" fontId="50" fillId="10" borderId="3" xfId="0" applyNumberFormat="1" applyFont="1" applyFill="1" applyBorder="1" applyAlignment="1">
      <alignment horizontal="left" vertical="top" wrapText="1"/>
    </xf>
    <xf numFmtId="0" fontId="50" fillId="10" borderId="3" xfId="0" applyFont="1" applyFill="1" applyBorder="1" applyAlignment="1">
      <alignment horizontal="left" vertical="top"/>
    </xf>
    <xf numFmtId="0" fontId="120" fillId="0" borderId="8" xfId="0" applyFont="1" applyBorder="1" applyAlignment="1">
      <alignment horizontal="center" vertical="center" wrapText="1"/>
    </xf>
    <xf numFmtId="0" fontId="115" fillId="10" borderId="3" xfId="0" applyFont="1" applyFill="1" applyBorder="1" applyAlignment="1">
      <alignment horizontal="left" vertical="center" wrapText="1"/>
    </xf>
    <xf numFmtId="0" fontId="89" fillId="19" borderId="3" xfId="0" applyFont="1" applyFill="1" applyBorder="1" applyAlignment="1">
      <alignment horizontal="left" vertical="top" wrapText="1"/>
    </xf>
    <xf numFmtId="0" fontId="90" fillId="19" borderId="3" xfId="0" applyFont="1" applyFill="1" applyBorder="1" applyAlignment="1">
      <alignment horizontal="left" vertical="top" textRotation="90" wrapText="1"/>
    </xf>
    <xf numFmtId="0" fontId="27" fillId="19" borderId="1" xfId="0" applyFont="1" applyFill="1" applyBorder="1" applyAlignment="1">
      <alignment horizontal="center" vertical="center" wrapText="1"/>
    </xf>
    <xf numFmtId="0" fontId="25" fillId="19" borderId="3" xfId="0" applyFont="1" applyFill="1" applyBorder="1" applyAlignment="1">
      <alignment horizontal="center" vertical="top" wrapText="1"/>
    </xf>
    <xf numFmtId="0" fontId="138" fillId="11" borderId="1" xfId="0" applyFont="1" applyFill="1" applyBorder="1" applyAlignment="1">
      <alignment vertical="top" wrapText="1"/>
    </xf>
    <xf numFmtId="0" fontId="88" fillId="15" borderId="3" xfId="0" applyFont="1" applyFill="1" applyBorder="1" applyAlignment="1">
      <alignment horizontal="center" vertical="top" wrapText="1"/>
    </xf>
    <xf numFmtId="0" fontId="7" fillId="23" borderId="3" xfId="0" applyFont="1" applyFill="1" applyBorder="1" applyAlignment="1">
      <alignment horizontal="left" vertical="top" wrapText="1"/>
    </xf>
    <xf numFmtId="0" fontId="4" fillId="0" borderId="8" xfId="0" quotePrefix="1" applyFont="1" applyBorder="1" applyAlignment="1">
      <alignment horizontal="center" vertical="center" wrapText="1"/>
    </xf>
    <xf numFmtId="0" fontId="101" fillId="14" borderId="8" xfId="0" applyFont="1" applyFill="1" applyBorder="1" applyAlignment="1">
      <alignment horizontal="center" vertical="center" wrapText="1"/>
    </xf>
    <xf numFmtId="0" fontId="101" fillId="10" borderId="3" xfId="0" applyFont="1" applyFill="1" applyBorder="1" applyAlignment="1">
      <alignment horizontal="left" vertical="top"/>
    </xf>
    <xf numFmtId="0" fontId="7" fillId="23" borderId="9" xfId="0" applyFont="1" applyFill="1" applyBorder="1" applyAlignment="1">
      <alignment horizontal="center" vertical="center" wrapText="1"/>
    </xf>
    <xf numFmtId="0" fontId="112" fillId="0" borderId="0" xfId="0" applyFont="1" applyAlignment="1">
      <alignment wrapText="1"/>
    </xf>
    <xf numFmtId="0" fontId="141" fillId="0" borderId="3" xfId="0" applyFont="1" applyBorder="1" applyAlignment="1">
      <alignment horizontal="left" vertical="top" wrapText="1"/>
    </xf>
    <xf numFmtId="0" fontId="26" fillId="10" borderId="3" xfId="0" applyFont="1" applyFill="1" applyBorder="1" applyAlignment="1">
      <alignment horizontal="left" vertical="top" wrapText="1"/>
    </xf>
    <xf numFmtId="0" fontId="3" fillId="15" borderId="3" xfId="0" applyFont="1" applyFill="1" applyBorder="1" applyAlignment="1">
      <alignment horizontal="center" vertical="top" wrapText="1"/>
    </xf>
    <xf numFmtId="0" fontId="16" fillId="0" borderId="3" xfId="0" applyFont="1" applyBorder="1" applyAlignment="1">
      <alignment horizontal="center" vertical="center" textRotation="90" wrapText="1"/>
    </xf>
    <xf numFmtId="0" fontId="142" fillId="10" borderId="3" xfId="0" applyFont="1" applyFill="1" applyBorder="1" applyAlignment="1">
      <alignment horizontal="left" vertical="center" wrapText="1"/>
    </xf>
    <xf numFmtId="0" fontId="8" fillId="23" borderId="3" xfId="0" applyFont="1" applyFill="1" applyBorder="1" applyAlignment="1">
      <alignment horizontal="left" vertical="top" wrapText="1"/>
    </xf>
    <xf numFmtId="0" fontId="108" fillId="23" borderId="3" xfId="0" applyFont="1" applyFill="1" applyBorder="1" applyAlignment="1">
      <alignment horizontal="left" vertical="top" wrapText="1"/>
    </xf>
    <xf numFmtId="0" fontId="117" fillId="11" borderId="1" xfId="0" applyFont="1" applyFill="1" applyBorder="1" applyAlignment="1">
      <alignment horizontal="left" vertical="top" wrapText="1"/>
    </xf>
    <xf numFmtId="0" fontId="26" fillId="23" borderId="3" xfId="0" applyFont="1" applyFill="1" applyBorder="1" applyAlignment="1">
      <alignment horizontal="left" vertical="top" wrapText="1"/>
    </xf>
    <xf numFmtId="0" fontId="144" fillId="11" borderId="1" xfId="0" applyFont="1" applyFill="1" applyBorder="1" applyAlignment="1">
      <alignment horizontal="left" vertical="top" wrapText="1"/>
    </xf>
    <xf numFmtId="0" fontId="8" fillId="10" borderId="3" xfId="0" applyFont="1" applyFill="1" applyBorder="1" applyAlignment="1">
      <alignment horizontal="left" vertical="top" wrapText="1"/>
    </xf>
    <xf numFmtId="14" fontId="8" fillId="0" borderId="3" xfId="0" applyNumberFormat="1" applyFont="1" applyBorder="1" applyAlignment="1">
      <alignment horizontal="left" vertical="top" wrapText="1"/>
    </xf>
    <xf numFmtId="0" fontId="22" fillId="20" borderId="1" xfId="0" applyFont="1" applyFill="1" applyBorder="1" applyAlignment="1">
      <alignment horizontal="center" vertical="center" wrapText="1"/>
    </xf>
    <xf numFmtId="0" fontId="7" fillId="23" borderId="3" xfId="0" applyFont="1" applyFill="1" applyBorder="1" applyAlignment="1">
      <alignment horizontal="center" vertical="center" wrapText="1"/>
    </xf>
    <xf numFmtId="0" fontId="145" fillId="0" borderId="14" xfId="0" applyFont="1" applyBorder="1" applyAlignment="1">
      <alignment horizontal="left" vertical="top" wrapText="1"/>
    </xf>
    <xf numFmtId="0" fontId="145" fillId="9" borderId="14" xfId="0" applyFont="1" applyFill="1" applyBorder="1" applyAlignment="1">
      <alignment horizontal="left" vertical="top" wrapText="1"/>
    </xf>
    <xf numFmtId="0" fontId="119" fillId="0" borderId="14" xfId="0" applyFont="1" applyBorder="1" applyAlignment="1">
      <alignment horizontal="center" vertical="center" wrapText="1"/>
    </xf>
    <xf numFmtId="0" fontId="148" fillId="0" borderId="14" xfId="0" applyFont="1" applyBorder="1" applyAlignment="1">
      <alignment horizontal="center" vertical="center" textRotation="90" wrapText="1"/>
    </xf>
    <xf numFmtId="0" fontId="120" fillId="14" borderId="10" xfId="0" applyFont="1" applyFill="1" applyBorder="1" applyAlignment="1">
      <alignment horizontal="center" vertical="center" wrapText="1"/>
    </xf>
    <xf numFmtId="0" fontId="150" fillId="0" borderId="15" xfId="0" applyFont="1" applyBorder="1" applyAlignment="1">
      <alignment horizontal="center" vertical="center" wrapText="1"/>
    </xf>
    <xf numFmtId="0" fontId="150" fillId="0" borderId="10" xfId="0" applyFont="1" applyBorder="1" applyAlignment="1">
      <alignment horizontal="center" vertical="center" wrapText="1"/>
    </xf>
    <xf numFmtId="0" fontId="119" fillId="14" borderId="16" xfId="0" applyFont="1" applyFill="1" applyBorder="1" applyAlignment="1">
      <alignment horizontal="center" vertical="center" wrapText="1"/>
    </xf>
    <xf numFmtId="0" fontId="115" fillId="0" borderId="14" xfId="0" applyFont="1" applyBorder="1" applyAlignment="1">
      <alignment horizontal="center" vertical="center" wrapText="1"/>
    </xf>
    <xf numFmtId="0" fontId="119" fillId="7" borderId="14" xfId="0" applyFont="1" applyFill="1" applyBorder="1" applyAlignment="1">
      <alignment horizontal="center" vertical="top" wrapText="1"/>
    </xf>
    <xf numFmtId="0" fontId="115" fillId="10" borderId="14" xfId="0" applyFont="1" applyFill="1" applyBorder="1" applyAlignment="1">
      <alignment horizontal="left" vertical="center" wrapText="1"/>
    </xf>
    <xf numFmtId="0" fontId="151" fillId="10" borderId="10" xfId="0" applyFont="1" applyFill="1" applyBorder="1" applyAlignment="1">
      <alignment horizontal="center" vertical="center" wrapText="1"/>
    </xf>
    <xf numFmtId="0" fontId="151" fillId="10" borderId="14" xfId="0" applyFont="1" applyFill="1" applyBorder="1" applyAlignment="1">
      <alignment horizontal="center" vertical="center" wrapText="1"/>
    </xf>
    <xf numFmtId="0" fontId="151" fillId="14" borderId="15" xfId="0" applyFont="1" applyFill="1" applyBorder="1" applyAlignment="1">
      <alignment horizontal="center" vertical="center" wrapText="1"/>
    </xf>
    <xf numFmtId="0" fontId="101" fillId="10" borderId="14" xfId="0" applyFont="1" applyFill="1" applyBorder="1" applyAlignment="1">
      <alignment horizontal="center" vertical="center" wrapText="1"/>
    </xf>
    <xf numFmtId="0" fontId="135" fillId="10" borderId="14" xfId="0" applyFont="1" applyFill="1" applyBorder="1" applyAlignment="1">
      <alignment horizontal="left" vertical="top" wrapText="1"/>
    </xf>
    <xf numFmtId="0" fontId="50" fillId="0" borderId="10" xfId="0" applyFont="1" applyBorder="1"/>
    <xf numFmtId="0" fontId="50" fillId="10" borderId="17" xfId="0" applyFont="1" applyFill="1" applyBorder="1" applyAlignment="1">
      <alignment horizontal="left" vertical="top" wrapText="1"/>
    </xf>
    <xf numFmtId="49" fontId="50" fillId="10" borderId="14" xfId="0" applyNumberFormat="1" applyFont="1" applyFill="1" applyBorder="1" applyAlignment="1">
      <alignment horizontal="left" vertical="top" wrapText="1"/>
    </xf>
    <xf numFmtId="0" fontId="50" fillId="10" borderId="14" xfId="0" applyFont="1" applyFill="1" applyBorder="1" applyAlignment="1">
      <alignment horizontal="left" vertical="top"/>
    </xf>
    <xf numFmtId="0" fontId="122" fillId="22" borderId="27" xfId="0" applyFont="1" applyFill="1" applyBorder="1" applyAlignment="1">
      <alignment horizontal="left" vertical="top" wrapText="1"/>
    </xf>
    <xf numFmtId="0" fontId="101" fillId="22" borderId="1" xfId="0" applyFont="1" applyFill="1" applyBorder="1" applyAlignment="1">
      <alignment horizontal="left" vertical="top" wrapText="1"/>
    </xf>
    <xf numFmtId="0" fontId="16" fillId="22" borderId="3" xfId="0" applyFont="1" applyFill="1" applyBorder="1" applyAlignment="1">
      <alignment horizontal="left" vertical="top" wrapText="1"/>
    </xf>
    <xf numFmtId="0" fontId="87" fillId="22" borderId="1" xfId="0" applyFont="1" applyFill="1" applyBorder="1" applyAlignment="1">
      <alignment horizontal="center" vertical="center" textRotation="90" wrapText="1"/>
    </xf>
    <xf numFmtId="0" fontId="126" fillId="22"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0" fontId="101" fillId="22" borderId="1" xfId="0" applyFont="1" applyFill="1" applyBorder="1" applyAlignment="1">
      <alignment horizontal="center" vertical="center" wrapText="1"/>
    </xf>
    <xf numFmtId="0" fontId="7" fillId="22" borderId="2" xfId="0" applyFont="1" applyFill="1" applyBorder="1" applyAlignment="1">
      <alignment horizontal="center" vertical="center" wrapText="1"/>
    </xf>
    <xf numFmtId="0" fontId="151" fillId="22" borderId="3" xfId="0" applyFont="1" applyFill="1" applyBorder="1" applyAlignment="1">
      <alignment horizontal="center" vertical="top" wrapText="1"/>
    </xf>
    <xf numFmtId="0" fontId="101" fillId="22" borderId="3" xfId="0" applyFont="1" applyFill="1" applyBorder="1" applyAlignment="1">
      <alignment horizontal="center" vertical="center" wrapText="1"/>
    </xf>
    <xf numFmtId="0" fontId="101" fillId="22" borderId="8" xfId="0" applyFont="1" applyFill="1" applyBorder="1" applyAlignment="1">
      <alignment horizontal="center" vertical="center" wrapText="1"/>
    </xf>
    <xf numFmtId="0" fontId="126" fillId="22" borderId="0" xfId="0" applyFont="1" applyFill="1" applyAlignment="1">
      <alignment horizontal="center" vertical="center" wrapText="1"/>
    </xf>
    <xf numFmtId="0" fontId="101" fillId="22" borderId="3" xfId="0" applyFont="1" applyFill="1" applyBorder="1" applyAlignment="1">
      <alignment horizontal="center" vertical="top" wrapText="1"/>
    </xf>
    <xf numFmtId="0" fontId="7" fillId="15" borderId="14" xfId="0" applyFont="1" applyFill="1" applyBorder="1" applyAlignment="1">
      <alignment horizontal="center" vertical="center" wrapText="1"/>
    </xf>
    <xf numFmtId="0" fontId="101" fillId="0" borderId="0" xfId="0" applyFont="1" applyAlignment="1">
      <alignment wrapText="1"/>
    </xf>
    <xf numFmtId="0" fontId="101" fillId="0" borderId="10" xfId="0" applyFont="1" applyBorder="1" applyAlignment="1">
      <alignment horizontal="left" vertical="top" wrapText="1"/>
    </xf>
    <xf numFmtId="0" fontId="7" fillId="10" borderId="28" xfId="0" applyFont="1" applyFill="1" applyBorder="1" applyAlignment="1">
      <alignment horizontal="left" vertical="top" wrapText="1"/>
    </xf>
    <xf numFmtId="0" fontId="7" fillId="10" borderId="29" xfId="0" applyFont="1" applyFill="1" applyBorder="1" applyAlignment="1">
      <alignment horizontal="left" vertical="top" wrapText="1"/>
    </xf>
    <xf numFmtId="0" fontId="11" fillId="10" borderId="14" xfId="0" applyFont="1" applyFill="1" applyBorder="1" applyAlignment="1">
      <alignment horizontal="center" vertical="center" textRotation="90" wrapText="1"/>
    </xf>
    <xf numFmtId="0" fontId="4" fillId="10" borderId="15" xfId="0" applyFont="1" applyFill="1" applyBorder="1" applyAlignment="1">
      <alignment horizontal="center" vertical="center" wrapText="1"/>
    </xf>
    <xf numFmtId="0" fontId="4" fillId="10" borderId="10" xfId="0" applyFont="1" applyFill="1" applyBorder="1" applyAlignment="1">
      <alignment horizontal="center" vertical="center" wrapText="1"/>
    </xf>
    <xf numFmtId="0" fontId="153" fillId="7" borderId="14" xfId="0" applyFont="1" applyFill="1" applyBorder="1" applyAlignment="1">
      <alignment horizontal="center" vertical="top" wrapText="1"/>
    </xf>
    <xf numFmtId="0" fontId="154" fillId="7" borderId="3" xfId="0" applyFont="1" applyFill="1" applyBorder="1" applyAlignment="1">
      <alignment horizontal="center" vertical="top" wrapText="1"/>
    </xf>
    <xf numFmtId="0" fontId="43" fillId="0" borderId="3" xfId="0" applyFont="1" applyBorder="1" applyAlignment="1">
      <alignment horizontal="center" vertical="center" wrapText="1"/>
    </xf>
    <xf numFmtId="0" fontId="87" fillId="10" borderId="2" xfId="0" applyFont="1" applyFill="1" applyBorder="1" applyAlignment="1">
      <alignment horizontal="left" vertical="top"/>
    </xf>
    <xf numFmtId="0" fontId="50" fillId="10" borderId="3" xfId="0" applyFont="1" applyFill="1" applyBorder="1" applyAlignment="1">
      <alignment horizontal="left" vertical="top" wrapText="1"/>
    </xf>
    <xf numFmtId="0" fontId="50" fillId="0" borderId="0" xfId="0" applyFont="1" applyAlignment="1">
      <alignment vertical="top"/>
    </xf>
    <xf numFmtId="0" fontId="123" fillId="10" borderId="1" xfId="0" applyFont="1" applyFill="1" applyBorder="1" applyAlignment="1">
      <alignment horizontal="left" vertical="top" wrapText="1"/>
    </xf>
    <xf numFmtId="0" fontId="8" fillId="0" borderId="14" xfId="0" applyFont="1" applyBorder="1" applyAlignment="1">
      <alignment vertical="top" wrapText="1"/>
    </xf>
    <xf numFmtId="0" fontId="7" fillId="0" borderId="26" xfId="0" applyFont="1" applyBorder="1" applyAlignment="1">
      <alignment horizontal="center" vertical="center" wrapText="1"/>
    </xf>
    <xf numFmtId="0" fontId="7" fillId="0" borderId="14" xfId="0" applyFont="1" applyBorder="1" applyAlignment="1">
      <alignment horizontal="center" vertical="center" textRotation="90" wrapText="1"/>
    </xf>
    <xf numFmtId="49" fontId="11" fillId="7" borderId="14" xfId="0" applyNumberFormat="1" applyFont="1" applyFill="1" applyBorder="1" applyAlignment="1">
      <alignment horizontal="center" vertical="center" textRotation="90" wrapText="1"/>
    </xf>
    <xf numFmtId="0" fontId="4" fillId="0" borderId="17" xfId="0" applyFont="1" applyBorder="1" applyAlignment="1">
      <alignment horizontal="center" vertical="center" wrapText="1"/>
    </xf>
    <xf numFmtId="0" fontId="4" fillId="0" borderId="3" xfId="0" applyFont="1" applyBorder="1" applyAlignment="1">
      <alignment horizontal="center" vertical="center" wrapText="1"/>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xf numFmtId="0" fontId="41" fillId="0" borderId="1" xfId="0" applyFont="1" applyBorder="1" applyAlignment="1">
      <alignment vertical="top" wrapText="1"/>
    </xf>
    <xf numFmtId="0" fontId="43" fillId="0" borderId="2" xfId="0" applyFont="1" applyBorder="1" applyAlignment="1">
      <alignment horizontal="center" vertical="center" wrapText="1"/>
    </xf>
    <xf numFmtId="164" fontId="43" fillId="0" borderId="3" xfId="0" applyNumberFormat="1" applyFont="1" applyBorder="1" applyAlignment="1">
      <alignment horizontal="left" vertical="top" wrapText="1"/>
    </xf>
    <xf numFmtId="2" fontId="7" fillId="0" borderId="4" xfId="0" applyNumberFormat="1" applyFont="1" applyBorder="1" applyAlignment="1">
      <alignment horizontal="left" vertical="top" wrapText="1"/>
    </xf>
    <xf numFmtId="0" fontId="43" fillId="0" borderId="0" xfId="0" applyFont="1"/>
    <xf numFmtId="0" fontId="101" fillId="10" borderId="10" xfId="0" applyFont="1" applyFill="1" applyBorder="1" applyAlignment="1">
      <alignment horizontal="left" vertical="top" wrapText="1"/>
    </xf>
    <xf numFmtId="0" fontId="101" fillId="0" borderId="1" xfId="0" applyFont="1" applyBorder="1" applyAlignment="1">
      <alignment vertical="top" wrapText="1"/>
    </xf>
    <xf numFmtId="0" fontId="7" fillId="0" borderId="21" xfId="0" applyFont="1" applyBorder="1" applyAlignment="1">
      <alignment horizontal="left" vertical="top" wrapText="1"/>
    </xf>
    <xf numFmtId="0" fontId="101" fillId="10" borderId="21" xfId="0" applyFont="1" applyFill="1" applyBorder="1" applyAlignment="1">
      <alignment horizontal="center" vertical="center" wrapText="1"/>
    </xf>
    <xf numFmtId="0" fontId="87" fillId="0" borderId="19" xfId="0" applyFont="1" applyBorder="1" applyAlignment="1">
      <alignment horizontal="center" vertical="center" textRotation="90" wrapText="1"/>
    </xf>
    <xf numFmtId="0" fontId="126" fillId="0" borderId="20" xfId="0" applyFont="1" applyBorder="1" applyAlignment="1">
      <alignment horizontal="center" vertical="center" wrapText="1"/>
    </xf>
    <xf numFmtId="0" fontId="126" fillId="0" borderId="7" xfId="0" applyFont="1" applyBorder="1" applyAlignment="1">
      <alignment horizontal="center" vertical="center" wrapText="1"/>
    </xf>
    <xf numFmtId="0" fontId="101" fillId="10" borderId="12" xfId="0" applyFont="1" applyFill="1" applyBorder="1" applyAlignment="1">
      <alignment horizontal="center" vertical="center" wrapText="1"/>
    </xf>
    <xf numFmtId="2" fontId="101" fillId="10" borderId="3" xfId="0" applyNumberFormat="1" applyFont="1" applyFill="1" applyBorder="1" applyAlignment="1">
      <alignment horizontal="left" vertical="top"/>
    </xf>
    <xf numFmtId="0" fontId="157" fillId="0" borderId="3" xfId="0" applyFont="1" applyBorder="1" applyAlignment="1">
      <alignment horizontal="left" vertical="top" wrapText="1"/>
    </xf>
    <xf numFmtId="0" fontId="159" fillId="0" borderId="3" xfId="0" applyFont="1" applyBorder="1" applyAlignment="1">
      <alignment horizontal="left" vertical="top" textRotation="90" wrapText="1"/>
    </xf>
    <xf numFmtId="0" fontId="160" fillId="0" borderId="1" xfId="0" applyFont="1" applyBorder="1" applyAlignment="1">
      <alignment horizontal="center" vertical="center" wrapText="1"/>
    </xf>
    <xf numFmtId="0" fontId="101" fillId="0" borderId="9" xfId="0" applyFont="1" applyBorder="1" applyAlignment="1">
      <alignment horizontal="center" vertical="center" wrapText="1"/>
    </xf>
    <xf numFmtId="0" fontId="141" fillId="7" borderId="3" xfId="0" applyFont="1" applyFill="1" applyBorder="1" applyAlignment="1">
      <alignment horizontal="center" vertical="top" wrapText="1"/>
    </xf>
    <xf numFmtId="0" fontId="162" fillId="0" borderId="3" xfId="0" applyFont="1" applyBorder="1" applyAlignment="1">
      <alignment horizontal="left" vertical="top" wrapText="1"/>
    </xf>
    <xf numFmtId="0" fontId="163" fillId="0" borderId="3" xfId="0" applyFont="1" applyBorder="1" applyAlignment="1">
      <alignment horizontal="left" vertical="top" textRotation="90" wrapText="1"/>
    </xf>
    <xf numFmtId="16" fontId="50" fillId="0" borderId="0" xfId="0" applyNumberFormat="1" applyFont="1"/>
    <xf numFmtId="0" fontId="0" fillId="0" borderId="0" xfId="0" applyAlignment="1">
      <alignment vertical="top" wrapText="1"/>
    </xf>
    <xf numFmtId="16" fontId="8" fillId="15" borderId="3" xfId="0" applyNumberFormat="1" applyFont="1" applyFill="1" applyBorder="1" applyAlignment="1">
      <alignment horizontal="left" vertical="top" wrapText="1"/>
    </xf>
    <xf numFmtId="0" fontId="164" fillId="0" borderId="3" xfId="0" applyFont="1" applyBorder="1" applyAlignment="1">
      <alignment horizontal="left" vertical="top" wrapText="1"/>
    </xf>
    <xf numFmtId="0" fontId="11" fillId="0" borderId="3" xfId="0" applyFont="1" applyBorder="1" applyAlignment="1">
      <alignment horizontal="left" vertical="top" wrapText="1"/>
    </xf>
    <xf numFmtId="0" fontId="50" fillId="0" borderId="7" xfId="0" applyFont="1" applyBorder="1"/>
    <xf numFmtId="0" fontId="101" fillId="0" borderId="0" xfId="0" applyFont="1" applyAlignment="1">
      <alignment vertical="top" wrapText="1"/>
    </xf>
    <xf numFmtId="0" fontId="7" fillId="22" borderId="8" xfId="0" applyFont="1" applyFill="1" applyBorder="1" applyAlignment="1">
      <alignment horizontal="center" vertical="center" wrapText="1"/>
    </xf>
    <xf numFmtId="0" fontId="167" fillId="0" borderId="1" xfId="0" applyFont="1" applyBorder="1" applyAlignment="1">
      <alignment horizontal="left" vertical="top" wrapText="1"/>
    </xf>
    <xf numFmtId="0" fontId="101" fillId="0" borderId="1" xfId="0" applyFont="1" applyBorder="1" applyAlignment="1">
      <alignment horizontal="center" vertical="center" wrapText="1"/>
    </xf>
    <xf numFmtId="0" fontId="168" fillId="0" borderId="1" xfId="0" applyFont="1" applyBorder="1" applyAlignment="1">
      <alignment horizontal="center" vertical="center" textRotation="90" wrapText="1"/>
    </xf>
    <xf numFmtId="0" fontId="5" fillId="0" borderId="1" xfId="0" applyFont="1" applyBorder="1" applyAlignment="1">
      <alignment horizontal="center" vertical="center" wrapText="1"/>
    </xf>
    <xf numFmtId="49" fontId="50" fillId="10" borderId="1" xfId="0" applyNumberFormat="1" applyFont="1" applyFill="1" applyBorder="1" applyAlignment="1">
      <alignment horizontal="left" vertical="top" wrapText="1"/>
    </xf>
    <xf numFmtId="16" fontId="50" fillId="0" borderId="0" xfId="0" applyNumberFormat="1" applyFont="1" applyAlignment="1">
      <alignment horizontal="left" vertical="top" wrapText="1"/>
    </xf>
    <xf numFmtId="0" fontId="171" fillId="14" borderId="1" xfId="0" applyFont="1" applyFill="1" applyBorder="1" applyAlignment="1">
      <alignment horizontal="center" vertical="center" wrapText="1"/>
    </xf>
    <xf numFmtId="0" fontId="172" fillId="11" borderId="1" xfId="0" applyFont="1" applyFill="1" applyBorder="1" applyAlignment="1">
      <alignment horizontal="left" vertical="top" wrapText="1"/>
    </xf>
    <xf numFmtId="0" fontId="7" fillId="10" borderId="6" xfId="0" applyFont="1" applyFill="1" applyBorder="1" applyAlignment="1">
      <alignment horizontal="left" vertical="top" wrapText="1"/>
    </xf>
    <xf numFmtId="0" fontId="7" fillId="10" borderId="4" xfId="0" applyFont="1" applyFill="1" applyBorder="1" applyAlignment="1">
      <alignment horizontal="left" vertical="top" wrapText="1"/>
    </xf>
    <xf numFmtId="0" fontId="11" fillId="10" borderId="3" xfId="0" applyFont="1" applyFill="1" applyBorder="1" applyAlignment="1">
      <alignment horizontal="center" vertical="center" textRotation="90" wrapText="1"/>
    </xf>
    <xf numFmtId="0" fontId="153" fillId="7" borderId="3" xfId="0" applyFont="1" applyFill="1" applyBorder="1" applyAlignment="1">
      <alignment horizontal="center" vertical="top" wrapText="1"/>
    </xf>
    <xf numFmtId="0" fontId="161" fillId="0" borderId="3" xfId="0" applyFont="1" applyBorder="1" applyAlignment="1">
      <alignment horizontal="left" vertical="top" wrapText="1"/>
    </xf>
    <xf numFmtId="0" fontId="122" fillId="22" borderId="7" xfId="0" applyFont="1" applyFill="1" applyBorder="1" applyAlignment="1">
      <alignment horizontal="left" vertical="top" wrapText="1"/>
    </xf>
    <xf numFmtId="0" fontId="173" fillId="22" borderId="1" xfId="0" applyFont="1" applyFill="1" applyBorder="1" applyAlignment="1">
      <alignment horizontal="center" vertical="center" wrapText="1"/>
    </xf>
    <xf numFmtId="0" fontId="153" fillId="22" borderId="3" xfId="0" applyFont="1" applyFill="1" applyBorder="1" applyAlignment="1">
      <alignment horizontal="center" vertical="top" wrapText="1"/>
    </xf>
    <xf numFmtId="0" fontId="174" fillId="15" borderId="3" xfId="0" applyFont="1" applyFill="1" applyBorder="1" applyAlignment="1">
      <alignment horizontal="left" vertical="top" wrapText="1"/>
    </xf>
    <xf numFmtId="0" fontId="36" fillId="15" borderId="3" xfId="0" applyFont="1" applyFill="1" applyBorder="1" applyAlignment="1">
      <alignment horizontal="center" vertical="top" wrapText="1"/>
    </xf>
    <xf numFmtId="0" fontId="27" fillId="5" borderId="1" xfId="0" applyFont="1" applyFill="1" applyBorder="1" applyAlignment="1">
      <alignment horizontal="center" vertical="center" wrapText="1"/>
    </xf>
    <xf numFmtId="0" fontId="175" fillId="10" borderId="3" xfId="0" applyFont="1" applyFill="1" applyBorder="1" applyAlignment="1">
      <alignment horizontal="left" vertical="top" wrapText="1"/>
    </xf>
    <xf numFmtId="16" fontId="50" fillId="0" borderId="0" xfId="0" applyNumberFormat="1" applyFont="1" applyAlignment="1">
      <alignment horizontal="left" vertical="top"/>
    </xf>
    <xf numFmtId="0" fontId="176" fillId="22" borderId="3" xfId="0" applyFont="1" applyFill="1" applyBorder="1" applyAlignment="1">
      <alignment horizontal="left" vertical="top" wrapText="1"/>
    </xf>
    <xf numFmtId="0" fontId="27" fillId="22" borderId="1" xfId="0" applyFont="1" applyFill="1" applyBorder="1" applyAlignment="1">
      <alignment horizontal="center" vertical="center" wrapText="1"/>
    </xf>
    <xf numFmtId="0" fontId="176" fillId="22" borderId="3" xfId="0" applyFont="1" applyFill="1" applyBorder="1" applyAlignment="1">
      <alignment horizontal="center" vertical="top" wrapText="1"/>
    </xf>
    <xf numFmtId="0" fontId="79" fillId="22" borderId="3" xfId="0" applyFont="1" applyFill="1" applyBorder="1" applyAlignment="1">
      <alignment horizontal="left" vertical="top" wrapText="1"/>
    </xf>
    <xf numFmtId="0" fontId="105" fillId="22" borderId="3" xfId="0" applyFont="1" applyFill="1" applyBorder="1" applyAlignment="1">
      <alignment horizontal="lef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7" fillId="0" borderId="1" xfId="0" applyFont="1" applyBorder="1" applyAlignment="1">
      <alignment horizontal="center" vertical="center" textRotation="90"/>
    </xf>
    <xf numFmtId="0" fontId="4" fillId="0" borderId="27" xfId="0" applyFont="1" applyBorder="1" applyAlignment="1">
      <alignment horizontal="center" vertical="center"/>
    </xf>
    <xf numFmtId="0" fontId="7" fillId="0" borderId="27" xfId="0" applyFont="1" applyBorder="1" applyAlignment="1">
      <alignment horizontal="center" vertical="center" wrapText="1"/>
    </xf>
    <xf numFmtId="0" fontId="177" fillId="0" borderId="1" xfId="0" applyFont="1" applyBorder="1" applyAlignment="1">
      <alignment vertical="top" wrapText="1"/>
    </xf>
    <xf numFmtId="0" fontId="43" fillId="0" borderId="1" xfId="0" applyFont="1" applyBorder="1" applyAlignment="1">
      <alignment horizontal="center" vertical="center" wrapText="1"/>
    </xf>
    <xf numFmtId="0" fontId="43" fillId="0" borderId="1" xfId="0" applyFont="1" applyBorder="1" applyAlignment="1">
      <alignment vertical="top" wrapText="1"/>
    </xf>
    <xf numFmtId="164" fontId="43" fillId="0" borderId="1" xfId="0" applyNumberFormat="1" applyFont="1" applyBorder="1" applyAlignment="1">
      <alignment horizontal="left" vertical="top" wrapText="1"/>
    </xf>
    <xf numFmtId="0" fontId="43" fillId="0" borderId="1" xfId="0" applyFont="1" applyBorder="1" applyAlignment="1">
      <alignment horizontal="left" vertical="top" wrapText="1"/>
    </xf>
    <xf numFmtId="0" fontId="178" fillId="0" borderId="0" xfId="0" applyFont="1"/>
    <xf numFmtId="0" fontId="101" fillId="0" borderId="4" xfId="0" applyFont="1" applyBorder="1" applyAlignment="1">
      <alignment horizontal="center" vertical="center" wrapText="1"/>
    </xf>
    <xf numFmtId="0" fontId="7" fillId="22" borderId="6" xfId="0" applyFont="1" applyFill="1" applyBorder="1" applyAlignment="1">
      <alignment horizontal="left" vertical="top" wrapText="1"/>
    </xf>
    <xf numFmtId="0" fontId="8" fillId="5" borderId="3" xfId="0" applyFont="1" applyFill="1" applyBorder="1" applyAlignment="1">
      <alignment horizontal="left" vertical="top" wrapText="1"/>
    </xf>
    <xf numFmtId="0" fontId="179" fillId="5" borderId="3" xfId="0" applyFont="1" applyFill="1" applyBorder="1" applyAlignment="1">
      <alignment horizontal="left" vertical="top" wrapText="1"/>
    </xf>
    <xf numFmtId="0" fontId="11" fillId="5" borderId="3" xfId="0" applyFont="1" applyFill="1" applyBorder="1" applyAlignment="1">
      <alignment horizontal="center" vertical="center" textRotation="90" wrapText="1"/>
    </xf>
    <xf numFmtId="0" fontId="176" fillId="5" borderId="9" xfId="0" applyFont="1" applyFill="1" applyBorder="1" applyAlignment="1">
      <alignment horizontal="center" vertical="center" wrapText="1"/>
    </xf>
    <xf numFmtId="0" fontId="115" fillId="5" borderId="3" xfId="0" applyFont="1" applyFill="1" applyBorder="1" applyAlignment="1">
      <alignment horizontal="center" vertical="center" wrapText="1"/>
    </xf>
    <xf numFmtId="0" fontId="181" fillId="0" borderId="0" xfId="0" applyFont="1"/>
    <xf numFmtId="0" fontId="182" fillId="22" borderId="3" xfId="0" applyFont="1" applyFill="1" applyBorder="1" applyAlignment="1">
      <alignment horizontal="center" vertical="top" wrapText="1"/>
    </xf>
    <xf numFmtId="0" fontId="27" fillId="0" borderId="8" xfId="0" quotePrefix="1" applyFont="1" applyBorder="1" applyAlignment="1">
      <alignment horizontal="center" vertical="center" wrapText="1"/>
    </xf>
    <xf numFmtId="0" fontId="184" fillId="22" borderId="2" xfId="0" applyFont="1" applyFill="1" applyBorder="1" applyAlignment="1">
      <alignment horizontal="left" vertical="top" wrapText="1"/>
    </xf>
    <xf numFmtId="0" fontId="163" fillId="22" borderId="3" xfId="0" applyFont="1" applyFill="1" applyBorder="1" applyAlignment="1">
      <alignment horizontal="center" vertical="center" textRotation="90" wrapText="1"/>
    </xf>
    <xf numFmtId="0" fontId="179" fillId="0" borderId="3" xfId="0" applyFont="1" applyBorder="1" applyAlignment="1">
      <alignment horizontal="left" vertical="top" wrapText="1"/>
    </xf>
    <xf numFmtId="0" fontId="176" fillId="5" borderId="3" xfId="0" applyFont="1" applyFill="1" applyBorder="1" applyAlignment="1">
      <alignment horizontal="center" vertical="top" wrapText="1"/>
    </xf>
    <xf numFmtId="0" fontId="50" fillId="0" borderId="1" xfId="0" applyFont="1" applyBorder="1" applyAlignment="1">
      <alignment vertical="top"/>
    </xf>
    <xf numFmtId="0" fontId="7" fillId="24" borderId="3" xfId="0" applyFont="1" applyFill="1" applyBorder="1" applyAlignment="1">
      <alignment horizontal="left" vertical="top" wrapText="1"/>
    </xf>
    <xf numFmtId="0" fontId="7" fillId="24" borderId="3" xfId="0" applyFont="1" applyFill="1" applyBorder="1" applyAlignment="1">
      <alignment horizontal="center" vertical="center" wrapText="1"/>
    </xf>
    <xf numFmtId="0" fontId="11" fillId="24" borderId="3" xfId="0" applyFont="1" applyFill="1" applyBorder="1" applyAlignment="1">
      <alignment horizontal="left" vertical="top" textRotation="90" wrapText="1"/>
    </xf>
    <xf numFmtId="0" fontId="4" fillId="24" borderId="8" xfId="0" applyFont="1" applyFill="1" applyBorder="1" applyAlignment="1">
      <alignment horizontal="center" vertical="center" wrapText="1"/>
    </xf>
    <xf numFmtId="0" fontId="22" fillId="24" borderId="1" xfId="0" applyFont="1" applyFill="1" applyBorder="1" applyAlignment="1">
      <alignment horizontal="center" vertical="center" wrapText="1"/>
    </xf>
    <xf numFmtId="0" fontId="7" fillId="24" borderId="9" xfId="0" applyFont="1" applyFill="1" applyBorder="1" applyAlignment="1">
      <alignment horizontal="center" vertical="center" wrapText="1"/>
    </xf>
    <xf numFmtId="0" fontId="7" fillId="24" borderId="3" xfId="0" applyFont="1" applyFill="1" applyBorder="1" applyAlignment="1">
      <alignment horizontal="center" vertical="top" wrapText="1"/>
    </xf>
    <xf numFmtId="0" fontId="7" fillId="24" borderId="3" xfId="0" applyFont="1" applyFill="1" applyBorder="1" applyAlignment="1">
      <alignment horizontal="left" vertical="center" wrapText="1"/>
    </xf>
    <xf numFmtId="0" fontId="7" fillId="24" borderId="1" xfId="0" applyFont="1" applyFill="1" applyBorder="1" applyAlignment="1">
      <alignment horizontal="center" vertical="center" wrapText="1"/>
    </xf>
    <xf numFmtId="0" fontId="7" fillId="24" borderId="8" xfId="0" applyFont="1" applyFill="1" applyBorder="1" applyAlignment="1">
      <alignment horizontal="center" vertical="center" wrapText="1"/>
    </xf>
    <xf numFmtId="0" fontId="101" fillId="0" borderId="4" xfId="0" applyFont="1" applyBorder="1" applyAlignment="1">
      <alignment horizontal="left" vertical="top" wrapText="1"/>
    </xf>
    <xf numFmtId="0" fontId="87" fillId="0" borderId="4" xfId="0" applyFont="1" applyBorder="1" applyAlignment="1">
      <alignment horizontal="center" vertical="center" textRotation="90" wrapText="1"/>
    </xf>
    <xf numFmtId="0" fontId="126" fillId="0" borderId="5" xfId="0" applyFont="1" applyBorder="1" applyAlignment="1">
      <alignment horizontal="center" vertical="center" wrapText="1"/>
    </xf>
    <xf numFmtId="0" fontId="101" fillId="7" borderId="4" xfId="0" applyFont="1" applyFill="1" applyBorder="1" applyAlignment="1">
      <alignment horizontal="center" vertical="top" wrapText="1"/>
    </xf>
    <xf numFmtId="0" fontId="185" fillId="11" borderId="2" xfId="0" applyFont="1" applyFill="1" applyBorder="1" applyAlignment="1">
      <alignment horizontal="left" vertical="top" wrapText="1"/>
    </xf>
    <xf numFmtId="0" fontId="186" fillId="0" borderId="3" xfId="0" applyFont="1" applyBorder="1" applyAlignment="1">
      <alignment horizontal="left" vertical="top" wrapText="1"/>
    </xf>
    <xf numFmtId="0" fontId="7" fillId="5" borderId="4" xfId="0" applyFont="1" applyFill="1" applyBorder="1" applyAlignment="1">
      <alignment horizontal="center" vertical="center" wrapText="1"/>
    </xf>
    <xf numFmtId="0" fontId="79" fillId="5" borderId="3" xfId="0" applyFont="1" applyFill="1" applyBorder="1" applyAlignment="1">
      <alignment horizontal="left" vertical="top" wrapText="1"/>
    </xf>
    <xf numFmtId="0" fontId="163" fillId="20" borderId="3" xfId="0" applyFont="1" applyFill="1" applyBorder="1" applyAlignment="1">
      <alignment horizontal="left" vertical="top" textRotation="90" wrapText="1"/>
    </xf>
    <xf numFmtId="0" fontId="176" fillId="20" borderId="9" xfId="0" applyFont="1" applyFill="1" applyBorder="1" applyAlignment="1">
      <alignment horizontal="center" vertical="center" wrapText="1"/>
    </xf>
    <xf numFmtId="0" fontId="176" fillId="20" borderId="3" xfId="0" applyFont="1" applyFill="1" applyBorder="1" applyAlignment="1">
      <alignment horizontal="left" vertical="center" wrapText="1"/>
    </xf>
    <xf numFmtId="0" fontId="125" fillId="22" borderId="3" xfId="0" applyFont="1" applyFill="1" applyBorder="1" applyAlignment="1">
      <alignment horizontal="left" vertical="top" textRotation="90" wrapText="1"/>
    </xf>
    <xf numFmtId="0" fontId="8" fillId="0" borderId="8" xfId="0" applyFont="1" applyBorder="1" applyAlignment="1">
      <alignment horizontal="left" vertical="top" wrapText="1"/>
    </xf>
    <xf numFmtId="0" fontId="11" fillId="0" borderId="1" xfId="0" applyFont="1" applyBorder="1" applyAlignment="1">
      <alignment horizontal="center" vertical="center" textRotation="90" wrapText="1"/>
    </xf>
    <xf numFmtId="0" fontId="4" fillId="0" borderId="9" xfId="0" applyFont="1" applyBorder="1" applyAlignment="1">
      <alignment horizontal="center" vertical="center" wrapText="1"/>
    </xf>
    <xf numFmtId="0" fontId="187" fillId="11" borderId="2" xfId="0" applyFont="1" applyFill="1" applyBorder="1" applyAlignment="1">
      <alignment horizontal="left" vertical="top" wrapText="1"/>
    </xf>
    <xf numFmtId="0" fontId="27" fillId="22" borderId="3" xfId="0" applyFont="1" applyFill="1" applyBorder="1" applyAlignment="1">
      <alignment horizontal="left" vertical="top" wrapText="1"/>
    </xf>
    <xf numFmtId="0" fontId="11" fillId="22" borderId="3" xfId="0" applyFont="1" applyFill="1" applyBorder="1" applyAlignment="1">
      <alignment horizontal="center" vertical="center" textRotation="90" wrapText="1"/>
    </xf>
    <xf numFmtId="0" fontId="179" fillId="25" borderId="3" xfId="0" applyFont="1" applyFill="1" applyBorder="1" applyAlignment="1">
      <alignment horizontal="center" vertical="center" wrapText="1"/>
    </xf>
    <xf numFmtId="16" fontId="7" fillId="22" borderId="3" xfId="0" applyNumberFormat="1" applyFont="1" applyFill="1" applyBorder="1" applyAlignment="1">
      <alignment horizontal="left" vertical="top" wrapText="1"/>
    </xf>
    <xf numFmtId="0" fontId="188" fillId="22" borderId="1" xfId="0" applyFont="1" applyFill="1" applyBorder="1" applyAlignment="1">
      <alignment horizontal="center" vertical="center" wrapText="1"/>
    </xf>
    <xf numFmtId="0" fontId="25" fillId="22" borderId="9" xfId="0" applyFont="1" applyFill="1" applyBorder="1" applyAlignment="1">
      <alignment horizontal="center" vertical="center" wrapText="1"/>
    </xf>
    <xf numFmtId="0" fontId="189" fillId="0" borderId="0" xfId="0" applyFont="1" applyAlignment="1">
      <alignment horizontal="left" vertical="top" wrapText="1"/>
    </xf>
    <xf numFmtId="0" fontId="101" fillId="0" borderId="7" xfId="0" applyFont="1" applyBorder="1" applyAlignment="1">
      <alignment vertical="top" wrapText="1"/>
    </xf>
    <xf numFmtId="0" fontId="101" fillId="0" borderId="2" xfId="0" applyFont="1" applyBorder="1" applyAlignment="1">
      <alignment horizontal="left" vertical="top" wrapText="1"/>
    </xf>
    <xf numFmtId="0" fontId="4" fillId="24" borderId="1" xfId="0" applyFont="1" applyFill="1" applyBorder="1" applyAlignment="1">
      <alignment horizontal="center" vertical="center" wrapText="1"/>
    </xf>
    <xf numFmtId="0" fontId="20" fillId="0" borderId="3" xfId="0" applyFont="1" applyBorder="1" applyAlignment="1">
      <alignment vertical="top" wrapText="1"/>
    </xf>
    <xf numFmtId="0" fontId="20" fillId="0" borderId="3" xfId="0" applyFont="1" applyBorder="1" applyAlignment="1">
      <alignment horizontal="left" vertical="center" wrapText="1"/>
    </xf>
    <xf numFmtId="0" fontId="20" fillId="0" borderId="3" xfId="0" applyFont="1" applyBorder="1" applyAlignment="1">
      <alignment horizontal="center" vertical="center" textRotation="90" wrapText="1"/>
    </xf>
    <xf numFmtId="0" fontId="20" fillId="7" borderId="3" xfId="0" applyFont="1" applyFill="1" applyBorder="1" applyAlignment="1">
      <alignment horizontal="center" vertical="center" textRotation="90" wrapText="1"/>
    </xf>
    <xf numFmtId="0" fontId="31" fillId="14" borderId="3" xfId="0" applyFont="1" applyFill="1" applyBorder="1" applyAlignment="1">
      <alignment horizontal="center" vertical="center" wrapText="1"/>
    </xf>
    <xf numFmtId="0" fontId="31" fillId="0" borderId="3" xfId="0" applyFont="1" applyBorder="1" applyAlignment="1">
      <alignment horizontal="center" vertical="center" wrapText="1"/>
    </xf>
    <xf numFmtId="0" fontId="7" fillId="0" borderId="2" xfId="0" applyFont="1" applyBorder="1" applyAlignment="1">
      <alignment vertical="center" wrapText="1"/>
    </xf>
    <xf numFmtId="0" fontId="190" fillId="0" borderId="1" xfId="0" applyFont="1" applyBorder="1" applyAlignment="1">
      <alignment vertical="top" wrapText="1"/>
    </xf>
    <xf numFmtId="0" fontId="5" fillId="0" borderId="3" xfId="0" applyFont="1" applyBorder="1" applyAlignment="1">
      <alignment horizontal="center" vertical="center" wrapText="1"/>
    </xf>
    <xf numFmtId="0" fontId="5" fillId="0" borderId="1" xfId="0" applyFont="1" applyBorder="1" applyAlignment="1">
      <alignment vertical="top" wrapText="1"/>
    </xf>
    <xf numFmtId="164" fontId="5" fillId="0" borderId="3" xfId="0" applyNumberFormat="1" applyFont="1" applyBorder="1" applyAlignment="1">
      <alignment horizontal="left" vertical="top" wrapText="1"/>
    </xf>
    <xf numFmtId="0" fontId="27" fillId="7" borderId="3" xfId="0" applyFont="1" applyFill="1" applyBorder="1" applyAlignment="1">
      <alignment horizontal="center" vertical="top" wrapText="1"/>
    </xf>
    <xf numFmtId="0" fontId="101" fillId="0" borderId="14" xfId="0" applyFont="1" applyBorder="1" applyAlignment="1">
      <alignment horizontal="left" vertical="top" wrapText="1"/>
    </xf>
    <xf numFmtId="0" fontId="101" fillId="0" borderId="0" xfId="0" applyFont="1" applyAlignment="1">
      <alignment horizontal="left" vertical="top" wrapText="1"/>
    </xf>
    <xf numFmtId="0" fontId="101" fillId="10" borderId="1" xfId="0" applyFont="1" applyFill="1" applyBorder="1" applyAlignment="1">
      <alignment horizontal="center" vertical="center" textRotation="90"/>
    </xf>
    <xf numFmtId="0" fontId="135" fillId="10" borderId="1" xfId="0" applyFont="1" applyFill="1" applyBorder="1" applyAlignment="1">
      <alignment horizontal="left" vertical="top" wrapText="1"/>
    </xf>
    <xf numFmtId="0" fontId="50" fillId="10" borderId="1" xfId="0" applyFont="1" applyFill="1" applyBorder="1" applyAlignment="1">
      <alignment horizontal="left" vertical="top" wrapText="1"/>
    </xf>
    <xf numFmtId="0" fontId="50" fillId="10" borderId="1" xfId="0" applyFont="1" applyFill="1" applyBorder="1" applyAlignment="1">
      <alignment horizontal="left" vertical="top"/>
    </xf>
    <xf numFmtId="0" fontId="16" fillId="10" borderId="8" xfId="0" applyFont="1" applyFill="1" applyBorder="1" applyAlignment="1">
      <alignment horizontal="center" vertical="center" wrapText="1"/>
    </xf>
    <xf numFmtId="0" fontId="7" fillId="22" borderId="2" xfId="0" applyFont="1" applyFill="1" applyBorder="1" applyAlignment="1">
      <alignment horizontal="left" vertical="top" wrapText="1"/>
    </xf>
    <xf numFmtId="0" fontId="7" fillId="26" borderId="3" xfId="0" applyFont="1" applyFill="1" applyBorder="1" applyAlignment="1">
      <alignment horizontal="center" vertical="center" wrapText="1"/>
    </xf>
    <xf numFmtId="0" fontId="8" fillId="22" borderId="14" xfId="0" applyFont="1" applyFill="1" applyBorder="1" applyAlignment="1">
      <alignment horizontal="left" vertical="top" wrapText="1"/>
    </xf>
    <xf numFmtId="0" fontId="8" fillId="22" borderId="2" xfId="0" applyFont="1" applyFill="1" applyBorder="1" applyAlignment="1">
      <alignment horizontal="left" vertical="top" wrapText="1"/>
    </xf>
    <xf numFmtId="0" fontId="8" fillId="0" borderId="1" xfId="0" applyFont="1" applyBorder="1" applyAlignment="1">
      <alignment horizontal="left" vertical="top" wrapText="1"/>
    </xf>
    <xf numFmtId="0" fontId="153" fillId="22" borderId="9" xfId="0" applyFont="1" applyFill="1" applyBorder="1" applyAlignment="1">
      <alignment horizontal="center" vertical="center" wrapText="1"/>
    </xf>
    <xf numFmtId="0" fontId="7" fillId="10" borderId="14" xfId="0" applyFont="1" applyFill="1" applyBorder="1" applyAlignment="1">
      <alignment horizontal="left" vertical="top" wrapText="1"/>
    </xf>
    <xf numFmtId="0" fontId="184" fillId="0" borderId="17" xfId="0" applyFont="1" applyBorder="1" applyAlignment="1">
      <alignment horizontal="left" vertical="top" wrapText="1"/>
    </xf>
    <xf numFmtId="0" fontId="153" fillId="22" borderId="3" xfId="0" applyFont="1" applyFill="1" applyBorder="1" applyAlignment="1">
      <alignment horizontal="left" vertical="center" wrapText="1"/>
    </xf>
    <xf numFmtId="0" fontId="122" fillId="0" borderId="27" xfId="0" applyFont="1" applyBorder="1" applyAlignment="1">
      <alignment horizontal="left" vertical="top" wrapText="1"/>
    </xf>
    <xf numFmtId="0" fontId="192" fillId="0" borderId="2" xfId="0" applyFont="1" applyBorder="1" applyAlignment="1">
      <alignment horizontal="left" vertical="top" wrapText="1"/>
    </xf>
    <xf numFmtId="0" fontId="87" fillId="0" borderId="3" xfId="0" applyFont="1" applyBorder="1" applyAlignment="1">
      <alignment horizontal="left" vertical="top" textRotation="90" wrapText="1"/>
    </xf>
    <xf numFmtId="0" fontId="193" fillId="0" borderId="3" xfId="0" applyFont="1" applyBorder="1" applyAlignment="1">
      <alignment horizontal="left" vertical="top" wrapText="1"/>
    </xf>
    <xf numFmtId="0" fontId="87" fillId="22" borderId="3" xfId="0" applyFont="1" applyFill="1" applyBorder="1" applyAlignment="1">
      <alignment horizontal="left" vertical="top" textRotation="90" wrapText="1"/>
    </xf>
    <xf numFmtId="0" fontId="169" fillId="22" borderId="8" xfId="0" applyFont="1" applyFill="1" applyBorder="1" applyAlignment="1">
      <alignment horizontal="center" vertical="center" wrapText="1"/>
    </xf>
    <xf numFmtId="0" fontId="101" fillId="22" borderId="9" xfId="0" applyFont="1" applyFill="1" applyBorder="1" applyAlignment="1">
      <alignment horizontal="center" vertical="center" wrapText="1"/>
    </xf>
    <xf numFmtId="0" fontId="144" fillId="11" borderId="1" xfId="0" applyFont="1" applyFill="1" applyBorder="1" applyAlignment="1">
      <alignment horizontal="left" vertical="top"/>
    </xf>
    <xf numFmtId="0" fontId="7" fillId="10" borderId="1" xfId="0" applyFont="1" applyFill="1" applyBorder="1" applyAlignment="1">
      <alignment horizontal="center" vertical="center" textRotation="90"/>
    </xf>
    <xf numFmtId="0" fontId="7" fillId="0" borderId="2" xfId="0" applyFont="1" applyBorder="1" applyAlignment="1">
      <alignment horizontal="left" vertical="top" wrapText="1"/>
    </xf>
    <xf numFmtId="0" fontId="194" fillId="0" borderId="2" xfId="0" applyFont="1" applyBorder="1" applyAlignment="1">
      <alignment horizontal="left" vertical="top" wrapText="1"/>
    </xf>
    <xf numFmtId="0" fontId="196" fillId="0" borderId="3" xfId="0" applyFont="1" applyBorder="1" applyAlignment="1">
      <alignment horizontal="center" vertical="center" textRotation="90" wrapText="1"/>
    </xf>
    <xf numFmtId="0" fontId="169" fillId="0" borderId="1" xfId="0" applyFont="1" applyBorder="1" applyAlignment="1">
      <alignment horizontal="center" vertical="center" wrapText="1"/>
    </xf>
    <xf numFmtId="0" fontId="151" fillId="7" borderId="3" xfId="0" applyFont="1" applyFill="1" applyBorder="1" applyAlignment="1">
      <alignment horizontal="center" vertical="top" wrapText="1"/>
    </xf>
    <xf numFmtId="0" fontId="50" fillId="10" borderId="3" xfId="0" applyFont="1" applyFill="1" applyBorder="1" applyAlignment="1">
      <alignment vertical="top"/>
    </xf>
    <xf numFmtId="0" fontId="103" fillId="0" borderId="3" xfId="0" applyFont="1" applyBorder="1" applyAlignment="1">
      <alignment horizontal="left" vertical="top" wrapText="1"/>
    </xf>
    <xf numFmtId="0" fontId="11" fillId="10" borderId="2" xfId="0" applyFont="1" applyFill="1" applyBorder="1" applyAlignment="1">
      <alignment horizontal="left" vertical="top"/>
    </xf>
    <xf numFmtId="0" fontId="101" fillId="22" borderId="3" xfId="0" applyFont="1" applyFill="1" applyBorder="1" applyAlignment="1">
      <alignment horizontal="left" vertical="top" wrapText="1"/>
    </xf>
    <xf numFmtId="0" fontId="87" fillId="22" borderId="3" xfId="0" applyFont="1" applyFill="1" applyBorder="1" applyAlignment="1">
      <alignment horizontal="center" vertical="center" textRotation="90" wrapText="1"/>
    </xf>
    <xf numFmtId="0" fontId="126" fillId="22" borderId="8" xfId="0" applyFont="1" applyFill="1" applyBorder="1" applyAlignment="1">
      <alignment horizontal="center" vertical="center" wrapText="1"/>
    </xf>
    <xf numFmtId="0" fontId="197" fillId="22" borderId="7" xfId="0" applyFont="1" applyFill="1" applyBorder="1" applyAlignment="1">
      <alignment horizontal="center" vertical="center" wrapText="1"/>
    </xf>
    <xf numFmtId="0" fontId="200" fillId="11" borderId="2" xfId="0" applyFont="1" applyFill="1" applyBorder="1" applyAlignment="1">
      <alignment horizontal="left" vertical="top" wrapText="1"/>
    </xf>
    <xf numFmtId="0" fontId="153" fillId="10" borderId="3" xfId="0" applyFont="1" applyFill="1" applyBorder="1" applyAlignment="1">
      <alignment horizontal="left" vertical="center" wrapText="1"/>
    </xf>
    <xf numFmtId="0" fontId="50" fillId="0" borderId="7" xfId="0" applyFont="1" applyBorder="1" applyAlignment="1">
      <alignment vertical="top" wrapText="1"/>
    </xf>
    <xf numFmtId="0" fontId="101" fillId="0" borderId="2" xfId="0" applyFont="1" applyBorder="1" applyAlignment="1">
      <alignment horizontal="center" vertical="center" wrapText="1"/>
    </xf>
    <xf numFmtId="0" fontId="201" fillId="10" borderId="4" xfId="0" applyFont="1" applyFill="1" applyBorder="1" applyAlignment="1">
      <alignment horizontal="left" vertical="top" wrapText="1"/>
    </xf>
    <xf numFmtId="0" fontId="201" fillId="10" borderId="3" xfId="0" applyFont="1" applyFill="1" applyBorder="1" applyAlignment="1">
      <alignment horizontal="center" vertical="center" wrapText="1"/>
    </xf>
    <xf numFmtId="0" fontId="203" fillId="10" borderId="3" xfId="0" applyFont="1" applyFill="1" applyBorder="1" applyAlignment="1">
      <alignment horizontal="center" vertical="center" textRotation="90" wrapText="1"/>
    </xf>
    <xf numFmtId="0" fontId="203" fillId="7" borderId="3" xfId="0" applyFont="1" applyFill="1" applyBorder="1" applyAlignment="1">
      <alignment horizontal="center" vertical="center" textRotation="90" wrapText="1"/>
    </xf>
    <xf numFmtId="0" fontId="204" fillId="14" borderId="1" xfId="0" applyFont="1" applyFill="1" applyBorder="1" applyAlignment="1">
      <alignment horizontal="center" vertical="center" wrapText="1"/>
    </xf>
    <xf numFmtId="0" fontId="204" fillId="10" borderId="8" xfId="0" applyFont="1" applyFill="1" applyBorder="1" applyAlignment="1">
      <alignment horizontal="center" vertical="center" wrapText="1"/>
    </xf>
    <xf numFmtId="0" fontId="204" fillId="10" borderId="1" xfId="0" applyFont="1" applyFill="1" applyBorder="1" applyAlignment="1">
      <alignment horizontal="center" vertical="center" wrapText="1"/>
    </xf>
    <xf numFmtId="0" fontId="201" fillId="10" borderId="9" xfId="0" applyFont="1" applyFill="1" applyBorder="1" applyAlignment="1">
      <alignment horizontal="center" vertical="center" wrapText="1"/>
    </xf>
    <xf numFmtId="0" fontId="205" fillId="0" borderId="3" xfId="0" applyFont="1" applyBorder="1" applyAlignment="1">
      <alignment horizontal="center" vertical="center" textRotation="90" wrapText="1"/>
    </xf>
    <xf numFmtId="0" fontId="127" fillId="0" borderId="3" xfId="0" applyFont="1" applyBorder="1" applyAlignment="1">
      <alignment horizontal="left" vertical="top" wrapText="1"/>
    </xf>
    <xf numFmtId="14" fontId="5" fillId="0" borderId="0" xfId="0" applyNumberFormat="1" applyFont="1" applyAlignment="1">
      <alignment vertical="center"/>
    </xf>
    <xf numFmtId="0" fontId="112" fillId="7" borderId="0" xfId="0" applyFont="1" applyFill="1" applyAlignment="1">
      <alignment horizontal="center" vertical="center" wrapText="1"/>
    </xf>
    <xf numFmtId="0" fontId="144" fillId="11" borderId="1" xfId="0" applyFont="1" applyFill="1" applyBorder="1" applyAlignment="1">
      <alignment vertical="top" wrapText="1"/>
    </xf>
    <xf numFmtId="0" fontId="7" fillId="26" borderId="3" xfId="0" applyFont="1" applyFill="1" applyBorder="1" applyAlignment="1">
      <alignment horizontal="left" vertical="top" wrapText="1"/>
    </xf>
    <xf numFmtId="0" fontId="11" fillId="26" borderId="3" xfId="0" applyFont="1" applyFill="1" applyBorder="1" applyAlignment="1">
      <alignment horizontal="center" vertical="center" textRotation="90" wrapText="1"/>
    </xf>
    <xf numFmtId="0" fontId="4" fillId="26" borderId="8" xfId="0" applyFont="1" applyFill="1" applyBorder="1" applyAlignment="1">
      <alignment horizontal="center" vertical="center" wrapText="1"/>
    </xf>
    <xf numFmtId="0" fontId="22" fillId="26" borderId="1" xfId="0" applyFont="1" applyFill="1" applyBorder="1" applyAlignment="1">
      <alignment horizontal="center" vertical="center" wrapText="1"/>
    </xf>
    <xf numFmtId="0" fontId="7" fillId="26" borderId="9" xfId="0" applyFont="1" applyFill="1" applyBorder="1" applyAlignment="1">
      <alignment horizontal="center" vertical="center" wrapText="1"/>
    </xf>
    <xf numFmtId="0" fontId="7" fillId="26" borderId="3" xfId="0" applyFont="1" applyFill="1" applyBorder="1" applyAlignment="1">
      <alignment horizontal="center" vertical="top" wrapText="1"/>
    </xf>
    <xf numFmtId="0" fontId="7" fillId="26" borderId="3" xfId="0" applyFont="1" applyFill="1" applyBorder="1" applyAlignment="1">
      <alignment horizontal="left" vertical="center" wrapText="1"/>
    </xf>
    <xf numFmtId="0" fontId="7" fillId="26" borderId="1" xfId="0" applyFont="1" applyFill="1" applyBorder="1" applyAlignment="1">
      <alignment horizontal="center" vertical="center" wrapText="1"/>
    </xf>
    <xf numFmtId="0" fontId="7" fillId="26" borderId="8" xfId="0" applyFont="1" applyFill="1" applyBorder="1" applyAlignment="1">
      <alignment horizontal="center" vertical="center" wrapText="1"/>
    </xf>
    <xf numFmtId="0" fontId="7" fillId="0" borderId="2" xfId="0" applyFont="1" applyBorder="1" applyAlignment="1">
      <alignment horizontal="center" vertical="center" wrapText="1"/>
    </xf>
    <xf numFmtId="0" fontId="142" fillId="7" borderId="3" xfId="0" applyFont="1" applyFill="1" applyBorder="1" applyAlignment="1">
      <alignment horizontal="center" vertical="top" wrapText="1"/>
    </xf>
    <xf numFmtId="0" fontId="207" fillId="0" borderId="0" xfId="0" applyFont="1"/>
    <xf numFmtId="0" fontId="101" fillId="14" borderId="3" xfId="0" applyFont="1" applyFill="1" applyBorder="1" applyAlignment="1">
      <alignment horizontal="left" vertical="top" wrapText="1"/>
    </xf>
    <xf numFmtId="0" fontId="16" fillId="22" borderId="3" xfId="0" applyFont="1" applyFill="1" applyBorder="1" applyAlignment="1">
      <alignment horizontal="center" vertical="center" textRotation="90" wrapText="1"/>
    </xf>
    <xf numFmtId="0" fontId="7" fillId="22" borderId="4" xfId="0" applyFont="1" applyFill="1" applyBorder="1" applyAlignment="1">
      <alignment horizontal="left" vertical="top" wrapText="1"/>
    </xf>
    <xf numFmtId="0" fontId="26" fillId="22" borderId="4" xfId="0" applyFont="1" applyFill="1" applyBorder="1" applyAlignment="1">
      <alignment horizontal="left" vertical="top" wrapText="1"/>
    </xf>
    <xf numFmtId="0" fontId="101" fillId="0" borderId="9" xfId="0" applyFont="1" applyBorder="1" applyAlignment="1">
      <alignment horizontal="left" vertical="top" wrapText="1"/>
    </xf>
    <xf numFmtId="0" fontId="122" fillId="10" borderId="3" xfId="0" applyFont="1" applyFill="1" applyBorder="1" applyAlignment="1">
      <alignment horizontal="center" vertical="center" wrapText="1"/>
    </xf>
    <xf numFmtId="0" fontId="7" fillId="7" borderId="3" xfId="0" applyFont="1" applyFill="1" applyBorder="1" applyAlignment="1">
      <alignment horizontal="center" vertical="center" textRotation="90" wrapText="1"/>
    </xf>
    <xf numFmtId="0" fontId="7" fillId="10" borderId="3" xfId="0" applyFont="1" applyFill="1" applyBorder="1" applyAlignment="1">
      <alignment vertical="center" wrapText="1"/>
    </xf>
    <xf numFmtId="0" fontId="50" fillId="10" borderId="6" xfId="0" applyFont="1" applyFill="1" applyBorder="1" applyAlignment="1">
      <alignment horizontal="left" vertical="top" wrapText="1"/>
    </xf>
    <xf numFmtId="49" fontId="50" fillId="10" borderId="4" xfId="0" applyNumberFormat="1" applyFont="1" applyFill="1" applyBorder="1" applyAlignment="1">
      <alignment horizontal="left" vertical="top" wrapText="1"/>
    </xf>
    <xf numFmtId="0" fontId="144" fillId="11" borderId="1" xfId="0" applyFont="1" applyFill="1" applyBorder="1" applyAlignment="1">
      <alignment wrapText="1"/>
    </xf>
    <xf numFmtId="0" fontId="153" fillId="22" borderId="3" xfId="0" applyFont="1" applyFill="1" applyBorder="1" applyAlignment="1">
      <alignment horizontal="left" vertical="top" wrapText="1"/>
    </xf>
    <xf numFmtId="0" fontId="153" fillId="22" borderId="3" xfId="0" applyFont="1" applyFill="1" applyBorder="1" applyAlignment="1">
      <alignment horizontal="center" vertical="center" wrapText="1"/>
    </xf>
    <xf numFmtId="0" fontId="125" fillId="22" borderId="3" xfId="0" applyFont="1" applyFill="1" applyBorder="1" applyAlignment="1">
      <alignment horizontal="center" vertical="center" textRotation="90" wrapText="1"/>
    </xf>
    <xf numFmtId="0" fontId="173" fillId="14" borderId="1" xfId="0" applyFont="1" applyFill="1" applyBorder="1" applyAlignment="1">
      <alignment horizontal="center" vertical="center" wrapText="1"/>
    </xf>
    <xf numFmtId="0" fontId="173" fillId="22" borderId="8" xfId="0" applyFont="1" applyFill="1" applyBorder="1" applyAlignment="1">
      <alignment horizontal="center" vertical="center" wrapText="1"/>
    </xf>
    <xf numFmtId="0" fontId="212" fillId="22" borderId="3" xfId="0" applyFont="1" applyFill="1" applyBorder="1" applyAlignment="1">
      <alignment horizontal="center" vertical="center" textRotation="90" wrapText="1"/>
    </xf>
    <xf numFmtId="0" fontId="101" fillId="22" borderId="0" xfId="0" applyFont="1" applyFill="1" applyAlignment="1">
      <alignment vertical="top" wrapText="1"/>
    </xf>
    <xf numFmtId="0" fontId="7" fillId="22" borderId="1" xfId="0" applyFont="1" applyFill="1" applyBorder="1" applyAlignment="1">
      <alignment horizontal="center" vertical="center" textRotation="90"/>
    </xf>
    <xf numFmtId="0" fontId="7" fillId="22" borderId="1" xfId="0" applyFont="1" applyFill="1" applyBorder="1" applyAlignment="1">
      <alignment horizontal="left" vertical="center" wrapText="1"/>
    </xf>
    <xf numFmtId="0" fontId="43" fillId="10" borderId="3" xfId="0" applyFont="1" applyFill="1" applyBorder="1" applyAlignment="1">
      <alignment vertical="top" wrapText="1"/>
    </xf>
    <xf numFmtId="164" fontId="43" fillId="10" borderId="27" xfId="0" applyNumberFormat="1" applyFont="1" applyFill="1" applyBorder="1" applyAlignment="1">
      <alignment horizontal="left" vertical="top" wrapText="1"/>
    </xf>
    <xf numFmtId="0" fontId="7" fillId="10" borderId="1" xfId="0" applyFont="1" applyFill="1" applyBorder="1" applyAlignment="1">
      <alignment horizontal="left" vertical="top"/>
    </xf>
    <xf numFmtId="0" fontId="213" fillId="22" borderId="1" xfId="0" applyFont="1" applyFill="1" applyBorder="1" applyAlignment="1">
      <alignment horizontal="center" vertical="center" wrapText="1"/>
    </xf>
    <xf numFmtId="0" fontId="101" fillId="22" borderId="1" xfId="0" applyFont="1" applyFill="1" applyBorder="1" applyAlignment="1">
      <alignment horizontal="center" vertical="center" textRotation="90"/>
    </xf>
    <xf numFmtId="0" fontId="50" fillId="10" borderId="3" xfId="0" applyFont="1" applyFill="1" applyBorder="1" applyAlignment="1">
      <alignment vertical="top" wrapText="1"/>
    </xf>
    <xf numFmtId="164" fontId="50" fillId="10" borderId="27" xfId="0" applyNumberFormat="1" applyFont="1" applyFill="1" applyBorder="1" applyAlignment="1">
      <alignment horizontal="center" vertical="center" wrapText="1"/>
    </xf>
    <xf numFmtId="0" fontId="101" fillId="10" borderId="1" xfId="0" applyFont="1" applyFill="1" applyBorder="1" applyAlignment="1">
      <alignment horizontal="left" vertical="top"/>
    </xf>
    <xf numFmtId="0" fontId="87" fillId="0" borderId="3" xfId="0" applyFont="1" applyBorder="1" applyAlignment="1">
      <alignment horizontal="left" vertical="center" textRotation="90" wrapText="1"/>
    </xf>
    <xf numFmtId="0" fontId="126" fillId="0" borderId="13" xfId="0" applyFont="1" applyBorder="1" applyAlignment="1">
      <alignment horizontal="center" vertical="center" wrapText="1"/>
    </xf>
    <xf numFmtId="0" fontId="126" fillId="0" borderId="10" xfId="0" applyFont="1" applyBorder="1" applyAlignment="1">
      <alignment horizontal="center" vertical="center" wrapText="1"/>
    </xf>
    <xf numFmtId="0" fontId="102" fillId="7" borderId="3" xfId="0" applyFont="1" applyFill="1" applyBorder="1" applyAlignment="1">
      <alignment horizontal="center" vertical="top" wrapText="1"/>
    </xf>
    <xf numFmtId="0" fontId="142" fillId="0" borderId="1" xfId="0" applyFont="1" applyBorder="1" applyAlignment="1">
      <alignment horizontal="left" vertical="center" wrapText="1"/>
    </xf>
    <xf numFmtId="0" fontId="50" fillId="10" borderId="3" xfId="0" applyFont="1" applyFill="1" applyBorder="1" applyAlignment="1">
      <alignment horizontal="center" vertical="center"/>
    </xf>
    <xf numFmtId="0" fontId="200" fillId="11" borderId="2" xfId="0" applyFont="1" applyFill="1" applyBorder="1" applyAlignment="1">
      <alignment vertical="top" wrapText="1"/>
    </xf>
    <xf numFmtId="0" fontId="50" fillId="10" borderId="14" xfId="0" applyFont="1" applyFill="1" applyBorder="1" applyAlignment="1">
      <alignment horizontal="left" vertical="top" wrapText="1"/>
    </xf>
    <xf numFmtId="49" fontId="50" fillId="10" borderId="14" xfId="0" applyNumberFormat="1" applyFont="1" applyFill="1" applyBorder="1" applyAlignment="1">
      <alignment horizontal="center" vertical="center" wrapText="1"/>
    </xf>
    <xf numFmtId="0" fontId="197" fillId="22" borderId="1" xfId="0" applyFont="1" applyFill="1" applyBorder="1" applyAlignment="1">
      <alignment horizontal="center" vertical="center" wrapText="1"/>
    </xf>
    <xf numFmtId="0" fontId="112" fillId="22" borderId="0" xfId="0" applyFont="1" applyFill="1" applyAlignment="1">
      <alignment horizontal="center" vertical="center" wrapText="1"/>
    </xf>
    <xf numFmtId="49" fontId="50" fillId="10" borderId="3" xfId="0" applyNumberFormat="1" applyFont="1" applyFill="1" applyBorder="1" applyAlignment="1">
      <alignment horizontal="center" vertical="center" wrapText="1"/>
    </xf>
    <xf numFmtId="0" fontId="215" fillId="20" borderId="1" xfId="0" applyFont="1" applyFill="1" applyBorder="1" applyAlignment="1">
      <alignment horizontal="center" vertical="center" wrapText="1"/>
    </xf>
    <xf numFmtId="0" fontId="153" fillId="20" borderId="3" xfId="0" applyFont="1" applyFill="1" applyBorder="1" applyAlignment="1">
      <alignment horizontal="center" vertical="top" wrapText="1"/>
    </xf>
    <xf numFmtId="0" fontId="153" fillId="20" borderId="3" xfId="0" applyFont="1" applyFill="1" applyBorder="1" applyAlignment="1">
      <alignment horizontal="center" vertical="center" wrapText="1"/>
    </xf>
    <xf numFmtId="0" fontId="101" fillId="22" borderId="2" xfId="0" applyFont="1" applyFill="1" applyBorder="1" applyAlignment="1">
      <alignment horizontal="left" vertical="top" wrapText="1"/>
    </xf>
    <xf numFmtId="0" fontId="0" fillId="22" borderId="1" xfId="0" applyFill="1" applyBorder="1" applyAlignment="1">
      <alignment horizontal="center" vertical="center" wrapText="1"/>
    </xf>
    <xf numFmtId="0" fontId="142" fillId="22" borderId="3" xfId="0" applyFont="1" applyFill="1" applyBorder="1" applyAlignment="1">
      <alignment horizontal="left" vertical="center" wrapText="1"/>
    </xf>
    <xf numFmtId="0" fontId="50" fillId="10" borderId="9" xfId="0" applyFont="1" applyFill="1" applyBorder="1" applyAlignment="1">
      <alignment horizontal="left" vertical="top" wrapText="1"/>
    </xf>
    <xf numFmtId="0" fontId="50" fillId="10" borderId="2" xfId="0" applyFont="1" applyFill="1" applyBorder="1" applyAlignment="1">
      <alignment horizontal="left" vertical="top"/>
    </xf>
    <xf numFmtId="0" fontId="127" fillId="22" borderId="3" xfId="0" applyFont="1" applyFill="1" applyBorder="1" applyAlignment="1">
      <alignment horizontal="left" vertical="top" wrapText="1"/>
    </xf>
    <xf numFmtId="0" fontId="101" fillId="22" borderId="17" xfId="0" applyFont="1" applyFill="1" applyBorder="1" applyAlignment="1">
      <alignment horizontal="left" vertical="top" wrapText="1"/>
    </xf>
    <xf numFmtId="0" fontId="128" fillId="22" borderId="3" xfId="0" applyFont="1" applyFill="1" applyBorder="1" applyAlignment="1">
      <alignment horizontal="left" vertical="top" wrapText="1"/>
    </xf>
    <xf numFmtId="0" fontId="196" fillId="22" borderId="3" xfId="0" applyFont="1" applyFill="1" applyBorder="1" applyAlignment="1">
      <alignment horizontal="center" vertical="center" textRotation="90" wrapText="1"/>
    </xf>
    <xf numFmtId="0" fontId="133" fillId="22" borderId="1" xfId="0" applyFont="1" applyFill="1" applyBorder="1" applyAlignment="1">
      <alignment horizontal="center" vertical="center" wrapText="1"/>
    </xf>
    <xf numFmtId="0" fontId="7" fillId="0" borderId="3" xfId="0" applyFont="1" applyBorder="1" applyAlignment="1">
      <alignment vertical="top" wrapText="1"/>
    </xf>
    <xf numFmtId="0" fontId="7" fillId="0" borderId="3" xfId="0" applyFont="1" applyBorder="1" applyAlignment="1">
      <alignment horizontal="center" vertical="center" textRotation="90" wrapText="1"/>
    </xf>
    <xf numFmtId="0" fontId="7" fillId="0" borderId="8" xfId="0" applyFont="1" applyBorder="1" applyAlignment="1">
      <alignment horizontal="center" vertical="center" textRotation="90" wrapText="1"/>
    </xf>
    <xf numFmtId="0" fontId="4" fillId="0" borderId="2" xfId="0" applyFont="1" applyBorder="1" applyAlignment="1">
      <alignment horizontal="center" vertical="center" wrapText="1"/>
    </xf>
    <xf numFmtId="0" fontId="121" fillId="0" borderId="1" xfId="0" applyFont="1" applyBorder="1" applyAlignment="1">
      <alignment vertical="top" wrapText="1"/>
    </xf>
    <xf numFmtId="164" fontId="5" fillId="0" borderId="3" xfId="0" applyNumberFormat="1" applyFont="1" applyBorder="1" applyAlignment="1">
      <alignment horizontal="center" vertical="center" wrapText="1"/>
    </xf>
    <xf numFmtId="0" fontId="5" fillId="0" borderId="3" xfId="0" applyFont="1" applyBorder="1" applyAlignment="1">
      <alignment vertical="center" wrapText="1"/>
    </xf>
    <xf numFmtId="0" fontId="11" fillId="24" borderId="3" xfId="0" applyFont="1" applyFill="1" applyBorder="1" applyAlignment="1">
      <alignment horizontal="center" vertical="center" textRotation="90" wrapText="1"/>
    </xf>
    <xf numFmtId="0" fontId="173" fillId="24" borderId="1" xfId="0" applyFont="1" applyFill="1" applyBorder="1" applyAlignment="1">
      <alignment horizontal="center" vertical="center" wrapText="1"/>
    </xf>
    <xf numFmtId="0" fontId="20" fillId="0" borderId="14" xfId="0" applyFont="1" applyBorder="1" applyAlignment="1">
      <alignment horizontal="left" vertical="center" wrapText="1"/>
    </xf>
    <xf numFmtId="0" fontId="153" fillId="0" borderId="14" xfId="0" applyFont="1" applyBorder="1" applyAlignment="1">
      <alignment horizontal="left" vertical="center" wrapText="1"/>
    </xf>
    <xf numFmtId="0" fontId="20" fillId="0" borderId="3" xfId="0" applyFont="1" applyBorder="1" applyAlignment="1">
      <alignment vertical="center" wrapText="1"/>
    </xf>
    <xf numFmtId="0" fontId="50" fillId="10" borderId="1" xfId="0" applyFont="1" applyFill="1" applyBorder="1" applyAlignment="1">
      <alignment vertical="top" wrapText="1"/>
    </xf>
    <xf numFmtId="49" fontId="50" fillId="10" borderId="27" xfId="0" applyNumberFormat="1" applyFont="1" applyFill="1" applyBorder="1" applyAlignment="1">
      <alignment horizontal="center" vertical="center" wrapText="1"/>
    </xf>
    <xf numFmtId="0" fontId="189" fillId="22" borderId="3" xfId="0" applyFont="1" applyFill="1" applyBorder="1" applyAlignment="1">
      <alignment horizontal="left" vertical="top" wrapText="1"/>
    </xf>
    <xf numFmtId="0" fontId="218" fillId="22" borderId="1" xfId="0" applyFont="1" applyFill="1" applyBorder="1" applyAlignment="1">
      <alignment horizontal="center" vertical="center" wrapText="1"/>
    </xf>
    <xf numFmtId="0" fontId="219" fillId="11" borderId="1" xfId="0" applyFont="1" applyFill="1" applyBorder="1" applyAlignment="1">
      <alignment vertical="top" wrapText="1"/>
    </xf>
    <xf numFmtId="0" fontId="7" fillId="22" borderId="3" xfId="0" applyFont="1" applyFill="1" applyBorder="1" applyAlignment="1">
      <alignment vertical="center" wrapText="1"/>
    </xf>
    <xf numFmtId="0" fontId="144" fillId="11" borderId="3" xfId="0" applyFont="1" applyFill="1" applyBorder="1" applyAlignment="1">
      <alignment vertical="top" wrapText="1"/>
    </xf>
    <xf numFmtId="0" fontId="220" fillId="22" borderId="3" xfId="0" applyFont="1" applyFill="1" applyBorder="1" applyAlignment="1">
      <alignment horizontal="left" vertical="top" wrapText="1"/>
    </xf>
    <xf numFmtId="0" fontId="112" fillId="22" borderId="0" xfId="0" applyFont="1" applyFill="1" applyAlignment="1">
      <alignment horizontal="center" vertical="top" wrapText="1"/>
    </xf>
    <xf numFmtId="0" fontId="142" fillId="22" borderId="3" xfId="0" applyFont="1" applyFill="1" applyBorder="1" applyAlignment="1">
      <alignment horizontal="center" vertical="center" wrapText="1"/>
    </xf>
    <xf numFmtId="0" fontId="221" fillId="22" borderId="1" xfId="0" applyFont="1" applyFill="1" applyBorder="1" applyAlignment="1">
      <alignment horizontal="center" vertical="center" wrapText="1"/>
    </xf>
    <xf numFmtId="0" fontId="221" fillId="22" borderId="3" xfId="0" applyFont="1" applyFill="1" applyBorder="1" applyAlignment="1">
      <alignment horizontal="center" vertical="center" wrapText="1"/>
    </xf>
    <xf numFmtId="0" fontId="221" fillId="22" borderId="8" xfId="0" applyFont="1" applyFill="1" applyBorder="1" applyAlignment="1">
      <alignment horizontal="center" vertical="center" wrapText="1"/>
    </xf>
    <xf numFmtId="0" fontId="142" fillId="10" borderId="3" xfId="0" applyFont="1" applyFill="1" applyBorder="1" applyAlignment="1">
      <alignment horizontal="center" vertical="center" wrapText="1"/>
    </xf>
    <xf numFmtId="0" fontId="50" fillId="22" borderId="0" xfId="0" applyFont="1" applyFill="1" applyAlignment="1">
      <alignment vertical="top" wrapText="1"/>
    </xf>
    <xf numFmtId="0" fontId="7" fillId="22" borderId="1" xfId="0" applyFont="1" applyFill="1" applyBorder="1" applyAlignment="1">
      <alignment vertical="center" wrapText="1"/>
    </xf>
    <xf numFmtId="0" fontId="142" fillId="22" borderId="1" xfId="0" applyFont="1" applyFill="1" applyBorder="1" applyAlignment="1">
      <alignment vertical="center" wrapText="1"/>
    </xf>
    <xf numFmtId="0" fontId="101" fillId="22" borderId="0" xfId="0" applyFont="1" applyFill="1" applyAlignment="1">
      <alignment wrapText="1"/>
    </xf>
    <xf numFmtId="0" fontId="142" fillId="0" borderId="1" xfId="0" applyFont="1" applyBorder="1" applyAlignment="1">
      <alignment vertical="center" wrapText="1"/>
    </xf>
    <xf numFmtId="0" fontId="50" fillId="10" borderId="1" xfId="0" applyFont="1" applyFill="1" applyBorder="1" applyAlignment="1">
      <alignment horizontal="center" vertical="center"/>
    </xf>
    <xf numFmtId="0" fontId="87" fillId="10" borderId="27" xfId="0" applyFont="1" applyFill="1" applyBorder="1" applyAlignment="1">
      <alignment vertical="top" wrapText="1"/>
    </xf>
    <xf numFmtId="49" fontId="50" fillId="10" borderId="30" xfId="0" applyNumberFormat="1" applyFont="1" applyFill="1" applyBorder="1" applyAlignment="1">
      <alignment horizontal="center" vertical="center" wrapText="1"/>
    </xf>
    <xf numFmtId="0" fontId="50" fillId="10" borderId="1" xfId="0" applyFont="1" applyFill="1" applyBorder="1" applyAlignment="1">
      <alignment vertical="top"/>
    </xf>
    <xf numFmtId="0" fontId="144" fillId="11" borderId="1" xfId="0" applyFont="1" applyFill="1" applyBorder="1" applyAlignment="1">
      <alignment horizontal="left" wrapText="1"/>
    </xf>
    <xf numFmtId="0" fontId="133" fillId="22" borderId="3" xfId="0" applyFont="1" applyFill="1" applyBorder="1" applyAlignment="1">
      <alignment horizontal="left" vertical="top" wrapText="1"/>
    </xf>
    <xf numFmtId="0" fontId="153" fillId="22" borderId="1" xfId="0" applyFont="1" applyFill="1" applyBorder="1" applyAlignment="1">
      <alignment horizontal="center" vertical="center" wrapText="1"/>
    </xf>
    <xf numFmtId="49" fontId="50" fillId="10" borderId="8" xfId="0" applyNumberFormat="1" applyFont="1" applyFill="1" applyBorder="1" applyAlignment="1">
      <alignment horizontal="center" vertical="center" wrapText="1"/>
    </xf>
    <xf numFmtId="0" fontId="209" fillId="22" borderId="8" xfId="0" applyFont="1" applyFill="1" applyBorder="1" applyAlignment="1">
      <alignment horizontal="center" vertical="center" wrapText="1"/>
    </xf>
    <xf numFmtId="0" fontId="209" fillId="22" borderId="1" xfId="0" applyFont="1" applyFill="1" applyBorder="1" applyAlignment="1">
      <alignment horizontal="center" vertical="center" wrapText="1"/>
    </xf>
    <xf numFmtId="0" fontId="7" fillId="0" borderId="14" xfId="0" applyFont="1" applyBorder="1" applyAlignment="1">
      <alignment vertical="top" wrapText="1"/>
    </xf>
    <xf numFmtId="0" fontId="7" fillId="0" borderId="14" xfId="0" applyFont="1" applyBorder="1" applyAlignment="1">
      <alignment horizontal="left" vertical="center" wrapText="1"/>
    </xf>
    <xf numFmtId="0" fontId="4" fillId="14" borderId="14" xfId="0" applyFont="1" applyFill="1" applyBorder="1" applyAlignment="1">
      <alignment horizontal="center" vertical="center" wrapText="1"/>
    </xf>
    <xf numFmtId="0" fontId="4"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0" xfId="0" applyFont="1" applyBorder="1" applyAlignment="1">
      <alignment horizontal="left" vertical="center" wrapText="1"/>
    </xf>
    <xf numFmtId="0" fontId="7" fillId="0" borderId="17" xfId="0" applyFont="1" applyBorder="1" applyAlignment="1">
      <alignment horizontal="left" vertical="center" wrapText="1"/>
    </xf>
    <xf numFmtId="0" fontId="177" fillId="0" borderId="10" xfId="0" applyFont="1" applyBorder="1" applyAlignment="1">
      <alignment vertical="top" wrapText="1"/>
    </xf>
    <xf numFmtId="0" fontId="43" fillId="0" borderId="14" xfId="0" applyFont="1" applyBorder="1" applyAlignment="1">
      <alignment horizontal="center" vertical="center" wrapText="1"/>
    </xf>
    <xf numFmtId="164" fontId="43" fillId="0" borderId="3" xfId="0" applyNumberFormat="1" applyFont="1" applyBorder="1" applyAlignment="1">
      <alignment horizontal="center" vertical="center" wrapText="1"/>
    </xf>
    <xf numFmtId="0" fontId="7" fillId="0" borderId="3" xfId="0" applyFont="1" applyBorder="1" applyAlignment="1">
      <alignment vertical="center" wrapText="1"/>
    </xf>
    <xf numFmtId="0" fontId="87" fillId="7" borderId="3" xfId="0" applyFont="1" applyFill="1" applyBorder="1" applyAlignment="1">
      <alignment horizontal="center" vertical="center" textRotation="90" wrapText="1"/>
    </xf>
    <xf numFmtId="0" fontId="87" fillId="10" borderId="2" xfId="0" applyFont="1" applyFill="1" applyBorder="1" applyAlignment="1">
      <alignment vertical="top"/>
    </xf>
    <xf numFmtId="0" fontId="43" fillId="0" borderId="17" xfId="0" applyFont="1" applyBorder="1" applyAlignment="1">
      <alignment horizontal="center" vertical="center" wrapText="1"/>
    </xf>
    <xf numFmtId="0" fontId="11" fillId="0" borderId="3" xfId="0" applyFont="1" applyBorder="1" applyAlignment="1">
      <alignment horizontal="left" vertical="center" textRotation="90" wrapText="1"/>
    </xf>
    <xf numFmtId="0" fontId="11" fillId="0" borderId="8" xfId="0" applyFont="1" applyBorder="1" applyAlignment="1">
      <alignment horizontal="left" vertical="center" textRotation="90" wrapText="1"/>
    </xf>
    <xf numFmtId="0" fontId="8" fillId="0" borderId="1" xfId="0" applyFont="1" applyBorder="1" applyAlignment="1">
      <alignment horizontal="left" vertical="center" wrapText="1"/>
    </xf>
    <xf numFmtId="0" fontId="43" fillId="10" borderId="2" xfId="0" applyFont="1" applyFill="1" applyBorder="1" applyAlignment="1">
      <alignment horizontal="center" vertical="center"/>
    </xf>
    <xf numFmtId="0" fontId="11" fillId="10" borderId="13" xfId="0" applyFont="1" applyFill="1" applyBorder="1" applyAlignment="1">
      <alignment vertical="top"/>
    </xf>
    <xf numFmtId="0" fontId="43" fillId="10" borderId="1" xfId="0" applyFont="1" applyFill="1" applyBorder="1" applyAlignment="1">
      <alignment horizontal="left" vertical="center" wrapText="1"/>
    </xf>
    <xf numFmtId="49" fontId="43" fillId="10" borderId="1" xfId="0" applyNumberFormat="1" applyFont="1" applyFill="1" applyBorder="1" applyAlignment="1">
      <alignment horizontal="center" vertical="center" wrapText="1"/>
    </xf>
    <xf numFmtId="0" fontId="7" fillId="10" borderId="2" xfId="0" applyFont="1" applyFill="1" applyBorder="1" applyAlignment="1">
      <alignment vertical="center"/>
    </xf>
    <xf numFmtId="0" fontId="142" fillId="10" borderId="3" xfId="0" applyFont="1" applyFill="1" applyBorder="1" applyAlignment="1">
      <alignment vertical="center" wrapText="1"/>
    </xf>
    <xf numFmtId="0" fontId="101" fillId="27" borderId="3" xfId="0" applyFont="1" applyFill="1" applyBorder="1" applyAlignment="1">
      <alignment horizontal="left" vertical="top" wrapText="1"/>
    </xf>
    <xf numFmtId="0" fontId="101" fillId="27" borderId="3" xfId="0" applyFont="1" applyFill="1" applyBorder="1" applyAlignment="1">
      <alignment horizontal="center" vertical="center" wrapText="1"/>
    </xf>
    <xf numFmtId="0" fontId="87" fillId="27" borderId="3" xfId="0" applyFont="1" applyFill="1" applyBorder="1" applyAlignment="1">
      <alignment horizontal="center" vertical="center" textRotation="90" wrapText="1"/>
    </xf>
    <xf numFmtId="0" fontId="101" fillId="27" borderId="8" xfId="0" applyFont="1" applyFill="1" applyBorder="1" applyAlignment="1">
      <alignment horizontal="center" vertical="center" wrapText="1"/>
    </xf>
    <xf numFmtId="0" fontId="27" fillId="27" borderId="1" xfId="0" applyFont="1" applyFill="1" applyBorder="1" applyAlignment="1">
      <alignment horizontal="center" vertical="center" wrapText="1"/>
    </xf>
    <xf numFmtId="0" fontId="101" fillId="27" borderId="9" xfId="0" applyFont="1" applyFill="1" applyBorder="1" applyAlignment="1">
      <alignment horizontal="center" vertical="center" wrapText="1"/>
    </xf>
    <xf numFmtId="0" fontId="7" fillId="27" borderId="3" xfId="0" applyFont="1" applyFill="1" applyBorder="1" applyAlignment="1">
      <alignment horizontal="center" vertical="center" wrapText="1"/>
    </xf>
    <xf numFmtId="0" fontId="101" fillId="27" borderId="3" xfId="0" applyFont="1" applyFill="1" applyBorder="1" applyAlignment="1">
      <alignment horizontal="center" vertical="top" wrapText="1"/>
    </xf>
    <xf numFmtId="0" fontId="7" fillId="27" borderId="3" xfId="0" applyFont="1" applyFill="1" applyBorder="1" applyAlignment="1">
      <alignment horizontal="center" vertical="center"/>
    </xf>
    <xf numFmtId="0" fontId="222" fillId="27" borderId="3" xfId="0" applyFont="1" applyFill="1" applyBorder="1" applyAlignment="1">
      <alignment vertical="center"/>
    </xf>
    <xf numFmtId="0" fontId="101" fillId="27" borderId="1" xfId="0" applyFont="1" applyFill="1" applyBorder="1" applyAlignment="1">
      <alignment horizontal="center" vertical="center"/>
    </xf>
    <xf numFmtId="0" fontId="101" fillId="27" borderId="3" xfId="0" applyFont="1" applyFill="1" applyBorder="1" applyAlignment="1">
      <alignment horizontal="center" vertical="center"/>
    </xf>
    <xf numFmtId="0" fontId="20" fillId="0" borderId="8" xfId="0" applyFont="1" applyBorder="1" applyAlignment="1">
      <alignment horizontal="center" vertical="center" textRotation="90" wrapText="1"/>
    </xf>
    <xf numFmtId="0" fontId="20" fillId="7" borderId="3" xfId="0" applyFont="1" applyFill="1" applyBorder="1" applyAlignment="1">
      <alignment horizontal="center" vertical="top" wrapText="1"/>
    </xf>
    <xf numFmtId="0" fontId="20" fillId="0" borderId="2" xfId="0" applyFont="1" applyBorder="1" applyAlignment="1">
      <alignment horizontal="left" vertical="center" wrapText="1"/>
    </xf>
    <xf numFmtId="0" fontId="5" fillId="0" borderId="27" xfId="0" applyFont="1" applyBorder="1" applyAlignment="1">
      <alignment vertical="top" wrapText="1"/>
    </xf>
    <xf numFmtId="0" fontId="5" fillId="0" borderId="7" xfId="0" applyFont="1" applyBorder="1" applyAlignment="1">
      <alignment horizontal="center" vertical="center" wrapText="1"/>
    </xf>
    <xf numFmtId="164" fontId="5" fillId="0" borderId="1" xfId="0" applyNumberFormat="1" applyFont="1" applyBorder="1" applyAlignment="1">
      <alignment horizontal="center" vertical="center" wrapText="1"/>
    </xf>
    <xf numFmtId="0" fontId="5" fillId="0" borderId="1" xfId="0" applyFont="1" applyBorder="1" applyAlignment="1">
      <alignment vertical="center" wrapText="1"/>
    </xf>
    <xf numFmtId="0" fontId="31" fillId="14" borderId="1" xfId="0" applyFont="1" applyFill="1" applyBorder="1" applyAlignment="1">
      <alignment horizontal="center" vertical="center" wrapText="1"/>
    </xf>
    <xf numFmtId="0" fontId="153" fillId="0" borderId="1" xfId="0" applyFont="1" applyBorder="1" applyAlignment="1">
      <alignment horizontal="left" vertical="center" wrapText="1"/>
    </xf>
    <xf numFmtId="0" fontId="5" fillId="0" borderId="6" xfId="0" applyFont="1" applyBorder="1" applyAlignment="1">
      <alignment horizontal="center" vertical="center" wrapText="1"/>
    </xf>
    <xf numFmtId="164" fontId="5" fillId="0" borderId="4" xfId="0" applyNumberFormat="1" applyFont="1" applyBorder="1" applyAlignment="1">
      <alignment horizontal="center" vertical="center" wrapText="1"/>
    </xf>
    <xf numFmtId="0" fontId="20" fillId="0" borderId="4" xfId="0" applyFont="1" applyBorder="1" applyAlignment="1">
      <alignment vertical="center" wrapText="1"/>
    </xf>
    <xf numFmtId="0" fontId="29" fillId="7" borderId="3" xfId="0" applyFont="1" applyFill="1" applyBorder="1" applyAlignment="1">
      <alignment horizontal="center" vertical="center" textRotation="90" wrapText="1"/>
    </xf>
    <xf numFmtId="0" fontId="31" fillId="0" borderId="2" xfId="0" applyFont="1" applyBorder="1" applyAlignment="1">
      <alignment horizontal="center" vertical="center" wrapText="1"/>
    </xf>
    <xf numFmtId="0" fontId="153" fillId="0" borderId="1" xfId="0" applyFont="1" applyBorder="1" applyAlignment="1">
      <alignment vertical="center" wrapText="1"/>
    </xf>
    <xf numFmtId="0" fontId="101" fillId="14" borderId="3" xfId="0" applyFont="1" applyFill="1" applyBorder="1" applyAlignment="1">
      <alignment horizontal="center" vertical="center" wrapText="1"/>
    </xf>
    <xf numFmtId="0" fontId="115" fillId="10" borderId="3" xfId="0" applyFont="1" applyFill="1" applyBorder="1" applyAlignment="1">
      <alignment vertical="center" wrapText="1"/>
    </xf>
    <xf numFmtId="0" fontId="101" fillId="10" borderId="1" xfId="0" applyFont="1" applyFill="1" applyBorder="1" applyAlignment="1">
      <alignment horizontal="center" vertical="center"/>
    </xf>
    <xf numFmtId="0" fontId="101" fillId="10" borderId="3" xfId="0" applyFont="1" applyFill="1" applyBorder="1" applyAlignment="1">
      <alignment horizontal="center" vertical="top" wrapText="1"/>
    </xf>
    <xf numFmtId="0" fontId="50" fillId="0" borderId="1" xfId="0" applyFont="1" applyBorder="1" applyAlignment="1">
      <alignment vertical="top" wrapText="1"/>
    </xf>
    <xf numFmtId="0" fontId="77" fillId="0" borderId="1" xfId="0" applyFont="1" applyBorder="1" applyAlignment="1">
      <alignment horizontal="left" vertical="center"/>
    </xf>
    <xf numFmtId="0" fontId="7" fillId="10" borderId="1" xfId="0" applyFont="1" applyFill="1" applyBorder="1" applyAlignment="1">
      <alignment horizontal="center" vertical="center"/>
    </xf>
    <xf numFmtId="0" fontId="7" fillId="10" borderId="9" xfId="0" applyFont="1" applyFill="1" applyBorder="1" applyAlignment="1">
      <alignment horizontal="center" vertical="center"/>
    </xf>
    <xf numFmtId="0" fontId="7" fillId="10" borderId="3" xfId="0" applyFont="1" applyFill="1" applyBorder="1" applyAlignment="1">
      <alignment vertical="center"/>
    </xf>
    <xf numFmtId="0" fontId="7" fillId="10" borderId="3" xfId="0" applyFont="1" applyFill="1" applyBorder="1" applyAlignment="1">
      <alignment horizontal="center" vertical="center"/>
    </xf>
    <xf numFmtId="0" fontId="0" fillId="0" borderId="1" xfId="0" applyBorder="1" applyAlignment="1">
      <alignment vertical="top"/>
    </xf>
    <xf numFmtId="0" fontId="151" fillId="0" borderId="3" xfId="0" applyFont="1" applyBorder="1" applyAlignment="1">
      <alignment horizontal="center" vertical="center" wrapText="1"/>
    </xf>
    <xf numFmtId="0" fontId="7" fillId="10" borderId="1" xfId="0" applyFont="1" applyFill="1" applyBorder="1" applyAlignment="1">
      <alignment horizontal="center" vertical="center" textRotation="90" wrapText="1"/>
    </xf>
    <xf numFmtId="0" fontId="115" fillId="0" borderId="1" xfId="0" applyFont="1" applyBorder="1" applyAlignment="1">
      <alignment horizontal="left" vertical="center"/>
    </xf>
    <xf numFmtId="0" fontId="87" fillId="10" borderId="13" xfId="0" applyFont="1" applyFill="1" applyBorder="1" applyAlignment="1">
      <alignment vertical="top"/>
    </xf>
    <xf numFmtId="49" fontId="50" fillId="10" borderId="1" xfId="0" applyNumberFormat="1" applyFont="1" applyFill="1" applyBorder="1" applyAlignment="1">
      <alignment horizontal="center" vertical="center" wrapText="1"/>
    </xf>
    <xf numFmtId="0" fontId="223" fillId="22" borderId="3" xfId="0" applyFont="1" applyFill="1" applyBorder="1" applyAlignment="1">
      <alignment vertical="top" wrapText="1"/>
    </xf>
    <xf numFmtId="0" fontId="201" fillId="22" borderId="3" xfId="0" applyFont="1" applyFill="1" applyBorder="1" applyAlignment="1">
      <alignment horizontal="left" vertical="top" wrapText="1"/>
    </xf>
    <xf numFmtId="0" fontId="201" fillId="22" borderId="3" xfId="0" applyFont="1" applyFill="1" applyBorder="1" applyAlignment="1">
      <alignment horizontal="center" vertical="center" wrapText="1"/>
    </xf>
    <xf numFmtId="0" fontId="201" fillId="22" borderId="3" xfId="0" applyFont="1" applyFill="1" applyBorder="1" applyAlignment="1">
      <alignment horizontal="center" vertical="center" textRotation="90" wrapText="1"/>
    </xf>
    <xf numFmtId="0" fontId="201" fillId="22" borderId="8" xfId="0" applyFont="1" applyFill="1" applyBorder="1" applyAlignment="1">
      <alignment horizontal="center" vertical="center" textRotation="90" wrapText="1"/>
    </xf>
    <xf numFmtId="0" fontId="204" fillId="22" borderId="2" xfId="0" applyFont="1" applyFill="1" applyBorder="1" applyAlignment="1">
      <alignment horizontal="center" vertical="center" wrapText="1"/>
    </xf>
    <xf numFmtId="0" fontId="204" fillId="22" borderId="3" xfId="0" applyFont="1" applyFill="1" applyBorder="1" applyAlignment="1">
      <alignment horizontal="center" vertical="center" wrapText="1"/>
    </xf>
    <xf numFmtId="0" fontId="201" fillId="22" borderId="3" xfId="0" applyFont="1" applyFill="1" applyBorder="1" applyAlignment="1">
      <alignment horizontal="center" vertical="top" wrapText="1"/>
    </xf>
    <xf numFmtId="0" fontId="201" fillId="22" borderId="1" xfId="0" applyFont="1" applyFill="1" applyBorder="1" applyAlignment="1">
      <alignment vertical="center"/>
    </xf>
    <xf numFmtId="0" fontId="201" fillId="22" borderId="2" xfId="0" applyFont="1" applyFill="1" applyBorder="1" applyAlignment="1">
      <alignment horizontal="left" vertical="center" wrapText="1"/>
    </xf>
    <xf numFmtId="0" fontId="201" fillId="22" borderId="8" xfId="0" applyFont="1" applyFill="1" applyBorder="1" applyAlignment="1">
      <alignment horizontal="center" vertical="center" wrapText="1"/>
    </xf>
    <xf numFmtId="0" fontId="8" fillId="22" borderId="3" xfId="0" applyFont="1" applyFill="1" applyBorder="1" applyAlignment="1">
      <alignment vertical="top" wrapText="1"/>
    </xf>
    <xf numFmtId="0" fontId="7" fillId="22" borderId="3" xfId="0" applyFont="1" applyFill="1" applyBorder="1" applyAlignment="1">
      <alignment horizontal="center" vertical="center" textRotation="90" wrapText="1"/>
    </xf>
    <xf numFmtId="0" fontId="7" fillId="22" borderId="8" xfId="0" applyFont="1" applyFill="1" applyBorder="1" applyAlignment="1">
      <alignment horizontal="center" vertical="center" textRotation="90" wrapText="1"/>
    </xf>
    <xf numFmtId="0" fontId="4" fillId="22" borderId="2" xfId="0" applyFont="1" applyFill="1" applyBorder="1" applyAlignment="1">
      <alignment horizontal="center" vertical="center" wrapText="1"/>
    </xf>
    <xf numFmtId="0" fontId="173" fillId="22" borderId="3" xfId="0" applyFont="1" applyFill="1" applyBorder="1" applyAlignment="1">
      <alignment horizontal="center" vertical="center" wrapText="1"/>
    </xf>
    <xf numFmtId="0" fontId="20" fillId="22" borderId="3" xfId="0" applyFont="1" applyFill="1" applyBorder="1" applyAlignment="1">
      <alignment horizontal="center" vertical="top" wrapText="1"/>
    </xf>
    <xf numFmtId="0" fontId="153" fillId="22" borderId="1" xfId="0" applyFont="1" applyFill="1" applyBorder="1" applyAlignment="1">
      <alignment horizontal="left" vertical="center" wrapText="1"/>
    </xf>
    <xf numFmtId="0" fontId="153" fillId="22" borderId="1" xfId="0" applyFont="1" applyFill="1" applyBorder="1" applyAlignment="1">
      <alignment horizontal="left" vertical="center"/>
    </xf>
    <xf numFmtId="0" fontId="20" fillId="22" borderId="2" xfId="0" applyFont="1" applyFill="1" applyBorder="1" applyAlignment="1">
      <alignment horizontal="left" vertical="center" wrapText="1"/>
    </xf>
    <xf numFmtId="0" fontId="20" fillId="22" borderId="8" xfId="0" applyFont="1" applyFill="1" applyBorder="1" applyAlignment="1">
      <alignment horizontal="center" vertical="center" wrapText="1"/>
    </xf>
    <xf numFmtId="0" fontId="7" fillId="10" borderId="3" xfId="0" applyFont="1" applyFill="1" applyBorder="1" applyAlignment="1">
      <alignment horizontal="left" vertical="center"/>
    </xf>
    <xf numFmtId="0" fontId="101" fillId="10" borderId="3" xfId="0" applyFont="1" applyFill="1" applyBorder="1" applyAlignment="1">
      <alignment horizontal="center" vertical="center"/>
    </xf>
    <xf numFmtId="0" fontId="7" fillId="22" borderId="3" xfId="0" applyFont="1" applyFill="1" applyBorder="1" applyAlignment="1">
      <alignment horizontal="center" vertical="center"/>
    </xf>
    <xf numFmtId="0" fontId="101" fillId="22" borderId="1" xfId="0" applyFont="1" applyFill="1" applyBorder="1" applyAlignment="1">
      <alignment horizontal="center" vertical="center"/>
    </xf>
    <xf numFmtId="0" fontId="101" fillId="22" borderId="3" xfId="0" applyFont="1" applyFill="1" applyBorder="1" applyAlignment="1">
      <alignment horizontal="center" vertical="center"/>
    </xf>
    <xf numFmtId="0" fontId="101" fillId="15" borderId="3" xfId="0" applyFont="1" applyFill="1" applyBorder="1" applyAlignment="1">
      <alignment horizontal="left" vertical="top" wrapText="1"/>
    </xf>
    <xf numFmtId="0" fontId="101" fillId="15" borderId="3" xfId="0" applyFont="1" applyFill="1" applyBorder="1" applyAlignment="1">
      <alignment horizontal="center" vertical="center" wrapText="1"/>
    </xf>
    <xf numFmtId="0" fontId="87" fillId="15" borderId="3" xfId="0" applyFont="1" applyFill="1" applyBorder="1" applyAlignment="1">
      <alignment horizontal="center" vertical="center" textRotation="90" wrapText="1"/>
    </xf>
    <xf numFmtId="0" fontId="126" fillId="15" borderId="8" xfId="0" applyFont="1" applyFill="1" applyBorder="1" applyAlignment="1">
      <alignment horizontal="center" vertical="center" wrapText="1"/>
    </xf>
    <xf numFmtId="0" fontId="226" fillId="15" borderId="1" xfId="0" applyFont="1" applyFill="1" applyBorder="1" applyAlignment="1">
      <alignment horizontal="center" vertical="center" wrapText="1"/>
    </xf>
    <xf numFmtId="0" fontId="101" fillId="15" borderId="9" xfId="0" applyFont="1" applyFill="1" applyBorder="1" applyAlignment="1">
      <alignment horizontal="center" vertical="center" wrapText="1"/>
    </xf>
    <xf numFmtId="0" fontId="101" fillId="15" borderId="1" xfId="0" applyFont="1" applyFill="1" applyBorder="1" applyAlignment="1">
      <alignment horizontal="center" vertical="center" textRotation="90"/>
    </xf>
    <xf numFmtId="0" fontId="101" fillId="15" borderId="3" xfId="0" applyFont="1" applyFill="1" applyBorder="1" applyAlignment="1">
      <alignment horizontal="center" vertical="top" wrapText="1"/>
    </xf>
    <xf numFmtId="0" fontId="7" fillId="15" borderId="1" xfId="0" applyFont="1" applyFill="1" applyBorder="1" applyAlignment="1">
      <alignment vertical="center" wrapText="1"/>
    </xf>
    <xf numFmtId="0" fontId="115" fillId="15" borderId="1" xfId="0" applyFont="1" applyFill="1" applyBorder="1" applyAlignment="1">
      <alignment horizontal="left" vertical="center"/>
    </xf>
    <xf numFmtId="0" fontId="7" fillId="15" borderId="10" xfId="0" applyFont="1" applyFill="1" applyBorder="1" applyAlignment="1">
      <alignment horizontal="center" vertical="center" wrapText="1"/>
    </xf>
    <xf numFmtId="0" fontId="101" fillId="15" borderId="10" xfId="0" applyFont="1" applyFill="1" applyBorder="1" applyAlignment="1">
      <alignment horizontal="center" vertical="center"/>
    </xf>
    <xf numFmtId="0" fontId="101" fillId="15" borderId="1" xfId="0" applyFont="1" applyFill="1" applyBorder="1" applyAlignment="1">
      <alignment horizontal="center" vertical="center"/>
    </xf>
    <xf numFmtId="0" fontId="101" fillId="15" borderId="8" xfId="0" applyFont="1" applyFill="1" applyBorder="1" applyAlignment="1">
      <alignment horizontal="center" vertical="center" wrapText="1"/>
    </xf>
    <xf numFmtId="0" fontId="135" fillId="0" borderId="3" xfId="0" applyFont="1" applyBorder="1" applyAlignment="1">
      <alignment horizontal="left" vertical="top" wrapText="1"/>
    </xf>
    <xf numFmtId="0" fontId="50" fillId="0" borderId="3" xfId="0" applyFont="1" applyBorder="1" applyAlignment="1">
      <alignment horizontal="center" vertical="top"/>
    </xf>
    <xf numFmtId="0" fontId="50" fillId="0" borderId="3" xfId="0" applyFont="1" applyBorder="1" applyAlignment="1">
      <alignment vertical="top"/>
    </xf>
    <xf numFmtId="0" fontId="87" fillId="0" borderId="8" xfId="0" applyFont="1" applyBorder="1" applyAlignment="1">
      <alignment horizontal="center" vertical="center" textRotation="90" wrapText="1"/>
    </xf>
    <xf numFmtId="0" fontId="102" fillId="10" borderId="1" xfId="0" applyFont="1" applyFill="1" applyBorder="1" applyAlignment="1">
      <alignment horizontal="center" vertical="center" textRotation="90"/>
    </xf>
    <xf numFmtId="0" fontId="8" fillId="0" borderId="1" xfId="0" applyFont="1" applyBorder="1" applyAlignment="1">
      <alignment horizontal="left" vertical="center"/>
    </xf>
    <xf numFmtId="0" fontId="8" fillId="0" borderId="3" xfId="0" applyFont="1" applyBorder="1" applyAlignment="1">
      <alignment vertical="top" wrapText="1"/>
    </xf>
    <xf numFmtId="0" fontId="229" fillId="0" borderId="8" xfId="0" applyFont="1" applyBorder="1" applyAlignment="1">
      <alignment horizontal="center" vertical="center" wrapText="1"/>
    </xf>
    <xf numFmtId="164" fontId="5" fillId="0" borderId="14" xfId="0" applyNumberFormat="1" applyFont="1" applyBorder="1" applyAlignment="1">
      <alignment horizontal="center" vertical="center" wrapText="1"/>
    </xf>
    <xf numFmtId="0" fontId="87" fillId="0" borderId="8" xfId="0" applyFont="1" applyBorder="1" applyAlignment="1">
      <alignment horizontal="left" vertical="center" textRotation="90" wrapText="1"/>
    </xf>
    <xf numFmtId="0" fontId="101" fillId="10" borderId="9" xfId="0" applyFont="1" applyFill="1" applyBorder="1" applyAlignment="1">
      <alignment horizontal="center" vertical="center"/>
    </xf>
    <xf numFmtId="0" fontId="50" fillId="10" borderId="2" xfId="0" applyFont="1" applyFill="1" applyBorder="1" applyAlignment="1">
      <alignment horizontal="center" vertical="center"/>
    </xf>
    <xf numFmtId="0" fontId="50" fillId="10" borderId="1" xfId="0" applyFont="1" applyFill="1" applyBorder="1" applyAlignment="1">
      <alignment horizontal="left" vertical="center" wrapText="1"/>
    </xf>
    <xf numFmtId="0" fontId="101" fillId="10" borderId="2" xfId="0" applyFont="1" applyFill="1" applyBorder="1" applyAlignment="1">
      <alignment vertical="center"/>
    </xf>
    <xf numFmtId="0" fontId="112" fillId="22" borderId="3" xfId="0" applyFont="1" applyFill="1" applyBorder="1" applyAlignment="1">
      <alignment horizontal="left" vertical="top" wrapText="1"/>
    </xf>
    <xf numFmtId="0" fontId="115" fillId="22" borderId="3" xfId="0" applyFont="1" applyFill="1" applyBorder="1" applyAlignment="1">
      <alignment horizontal="center" vertical="center" wrapText="1"/>
    </xf>
    <xf numFmtId="0" fontId="230" fillId="22" borderId="3" xfId="0" applyFont="1" applyFill="1" applyBorder="1" applyAlignment="1">
      <alignment horizontal="center" vertical="center" textRotation="90" wrapText="1"/>
    </xf>
    <xf numFmtId="0" fontId="218" fillId="14" borderId="1" xfId="0" applyFont="1" applyFill="1" applyBorder="1" applyAlignment="1">
      <alignment horizontal="center" vertical="center" wrapText="1"/>
    </xf>
    <xf numFmtId="0" fontId="218" fillId="22" borderId="8" xfId="0" applyFont="1" applyFill="1" applyBorder="1" applyAlignment="1">
      <alignment horizontal="center" vertical="center" wrapText="1"/>
    </xf>
    <xf numFmtId="0" fontId="112" fillId="22" borderId="9" xfId="0" applyFont="1" applyFill="1" applyBorder="1" applyAlignment="1">
      <alignment horizontal="center" vertical="center" wrapText="1"/>
    </xf>
    <xf numFmtId="0" fontId="112" fillId="22" borderId="1" xfId="0" applyFont="1" applyFill="1" applyBorder="1" applyAlignment="1">
      <alignment horizontal="center" vertical="center" textRotation="90"/>
    </xf>
    <xf numFmtId="0" fontId="112" fillId="22" borderId="3" xfId="0" applyFont="1" applyFill="1" applyBorder="1" applyAlignment="1">
      <alignment horizontal="center" vertical="top" wrapText="1"/>
    </xf>
    <xf numFmtId="0" fontId="20" fillId="22" borderId="1" xfId="0" applyFont="1" applyFill="1" applyBorder="1" applyAlignment="1">
      <alignment horizontal="left" vertical="center" wrapText="1"/>
    </xf>
    <xf numFmtId="0" fontId="20" fillId="22" borderId="1" xfId="0" applyFont="1" applyFill="1" applyBorder="1" applyAlignment="1">
      <alignment horizontal="left" vertical="center"/>
    </xf>
    <xf numFmtId="0" fontId="20" fillId="22" borderId="1" xfId="0" applyFont="1" applyFill="1" applyBorder="1" applyAlignment="1">
      <alignment horizontal="center" vertical="center" wrapText="1"/>
    </xf>
    <xf numFmtId="0" fontId="112" fillId="22" borderId="1" xfId="0" applyFont="1" applyFill="1" applyBorder="1" applyAlignment="1">
      <alignment horizontal="center" vertical="center"/>
    </xf>
    <xf numFmtId="0" fontId="112" fillId="22" borderId="3" xfId="0" applyFont="1" applyFill="1" applyBorder="1" applyAlignment="1">
      <alignment horizontal="center" vertical="center" wrapText="1"/>
    </xf>
    <xf numFmtId="0" fontId="112" fillId="22" borderId="8" xfId="0" applyFont="1" applyFill="1" applyBorder="1" applyAlignment="1">
      <alignment horizontal="center" vertical="center" wrapText="1"/>
    </xf>
    <xf numFmtId="0" fontId="50" fillId="10" borderId="27" xfId="0" applyFont="1" applyFill="1" applyBorder="1" applyAlignment="1">
      <alignment vertical="top"/>
    </xf>
    <xf numFmtId="14" fontId="5" fillId="0" borderId="1" xfId="0" applyNumberFormat="1" applyFont="1" applyBorder="1" applyAlignment="1">
      <alignment horizontal="center" vertical="center" wrapText="1"/>
    </xf>
    <xf numFmtId="0" fontId="20" fillId="0" borderId="14" xfId="0" applyFont="1" applyBorder="1" applyAlignment="1">
      <alignment horizontal="center" vertical="center" wrapText="1"/>
    </xf>
    <xf numFmtId="0" fontId="20" fillId="0" borderId="14" xfId="0" applyFont="1" applyBorder="1" applyAlignment="1">
      <alignment horizontal="center" vertical="center" textRotation="90" wrapText="1"/>
    </xf>
    <xf numFmtId="0" fontId="7" fillId="7" borderId="15" xfId="0" applyFont="1" applyFill="1" applyBorder="1" applyAlignment="1">
      <alignment horizontal="center" vertical="center" textRotation="90" wrapText="1"/>
    </xf>
    <xf numFmtId="0" fontId="26" fillId="7" borderId="14" xfId="0" applyFont="1" applyFill="1" applyBorder="1" applyAlignment="1">
      <alignment horizontal="center" vertical="top" wrapText="1"/>
    </xf>
    <xf numFmtId="0" fontId="8" fillId="0" borderId="31" xfId="0" applyFont="1" applyBorder="1" applyAlignment="1">
      <alignment horizontal="left" vertical="center" wrapText="1"/>
    </xf>
    <xf numFmtId="0" fontId="115" fillId="0" borderId="10" xfId="0" applyFont="1" applyBorder="1" applyAlignment="1">
      <alignment horizontal="left" vertical="center" wrapText="1"/>
    </xf>
    <xf numFmtId="0" fontId="7" fillId="0" borderId="10" xfId="0" applyFont="1" applyBorder="1" applyAlignment="1">
      <alignment horizontal="center" vertical="center" wrapText="1"/>
    </xf>
    <xf numFmtId="0" fontId="7" fillId="0" borderId="17" xfId="0" applyFont="1" applyBorder="1" applyAlignment="1">
      <alignment horizontal="center" vertical="center" wrapText="1"/>
    </xf>
    <xf numFmtId="0" fontId="121" fillId="0" borderId="10" xfId="0" applyFont="1" applyBorder="1" applyAlignment="1">
      <alignment vertical="top" wrapText="1"/>
    </xf>
    <xf numFmtId="0" fontId="5" fillId="0" borderId="14"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4" xfId="0" applyFont="1" applyBorder="1" applyAlignment="1">
      <alignment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0" fontId="7" fillId="7" borderId="1" xfId="0" applyFont="1" applyFill="1" applyBorder="1" applyAlignment="1">
      <alignment horizontal="center" vertical="center" textRotation="90" wrapText="1"/>
    </xf>
    <xf numFmtId="0" fontId="20" fillId="0" borderId="1" xfId="0" applyFont="1" applyBorder="1" applyAlignment="1">
      <alignment horizontal="center" vertical="center" textRotation="90" wrapText="1"/>
    </xf>
    <xf numFmtId="0" fontId="20" fillId="7" borderId="1" xfId="0" applyFont="1" applyFill="1" applyBorder="1" applyAlignment="1">
      <alignment horizontal="center" vertical="top" wrapText="1"/>
    </xf>
    <xf numFmtId="0" fontId="77" fillId="0" borderId="1" xfId="0" applyFont="1" applyBorder="1" applyAlignment="1">
      <alignment horizontal="left" vertical="center" wrapText="1"/>
    </xf>
    <xf numFmtId="0" fontId="8" fillId="0" borderId="27" xfId="0" applyFont="1" applyBorder="1" applyAlignment="1">
      <alignment horizontal="left" vertical="center" wrapText="1"/>
    </xf>
    <xf numFmtId="0" fontId="8" fillId="10" borderId="1" xfId="0" applyFont="1" applyFill="1" applyBorder="1" applyAlignment="1">
      <alignment horizontal="center" vertical="center"/>
    </xf>
    <xf numFmtId="0" fontId="77" fillId="10" borderId="1" xfId="0" applyFont="1" applyFill="1" applyBorder="1" applyAlignment="1">
      <alignment horizontal="center" vertical="center" wrapText="1"/>
    </xf>
    <xf numFmtId="0" fontId="77" fillId="0" borderId="2" xfId="0" applyFont="1" applyBorder="1" applyAlignment="1">
      <alignment horizontal="left" vertical="center" wrapText="1"/>
    </xf>
    <xf numFmtId="0" fontId="20" fillId="7" borderId="8" xfId="0" applyFont="1" applyFill="1" applyBorder="1" applyAlignment="1">
      <alignment horizontal="center" vertical="top" wrapText="1"/>
    </xf>
    <xf numFmtId="0" fontId="20" fillId="0" borderId="2" xfId="0" applyFont="1" applyBorder="1" applyAlignment="1">
      <alignment horizontal="center" vertical="center" wrapText="1"/>
    </xf>
    <xf numFmtId="0" fontId="153" fillId="10" borderId="1" xfId="0" applyFont="1" applyFill="1" applyBorder="1" applyAlignment="1">
      <alignment horizontal="center" vertical="center" wrapText="1"/>
    </xf>
    <xf numFmtId="0" fontId="173" fillId="0" borderId="3" xfId="0" applyFont="1" applyBorder="1" applyAlignment="1">
      <alignment horizontal="center" vertical="center" wrapText="1"/>
    </xf>
    <xf numFmtId="0" fontId="153" fillId="0" borderId="3" xfId="0" applyFont="1" applyBorder="1" applyAlignment="1">
      <alignment horizontal="center" vertical="center" wrapText="1"/>
    </xf>
    <xf numFmtId="0" fontId="231" fillId="0" borderId="10" xfId="0" applyFont="1" applyBorder="1" applyAlignment="1">
      <alignment horizontal="left" vertical="center" wrapText="1"/>
    </xf>
    <xf numFmtId="0" fontId="7" fillId="28" borderId="3" xfId="0" applyFont="1" applyFill="1" applyBorder="1" applyAlignment="1">
      <alignment vertical="top" wrapText="1"/>
    </xf>
    <xf numFmtId="0" fontId="20" fillId="28" borderId="3" xfId="0" applyFont="1" applyFill="1" applyBorder="1" applyAlignment="1">
      <alignment horizontal="left" vertical="center" wrapText="1"/>
    </xf>
    <xf numFmtId="0" fontId="20" fillId="28" borderId="3" xfId="0" applyFont="1" applyFill="1" applyBorder="1" applyAlignment="1">
      <alignment horizontal="center" vertical="center" wrapText="1"/>
    </xf>
    <xf numFmtId="0" fontId="20" fillId="28" borderId="3" xfId="0" applyFont="1" applyFill="1" applyBorder="1" applyAlignment="1">
      <alignment horizontal="center" vertical="center" textRotation="90" wrapText="1"/>
    </xf>
    <xf numFmtId="0" fontId="31" fillId="28" borderId="3" xfId="0" applyFont="1" applyFill="1" applyBorder="1" applyAlignment="1">
      <alignment horizontal="center" vertical="center" wrapText="1"/>
    </xf>
    <xf numFmtId="0" fontId="4" fillId="28" borderId="3" xfId="0" applyFont="1" applyFill="1" applyBorder="1" applyAlignment="1">
      <alignment horizontal="center" vertical="center" wrapText="1"/>
    </xf>
    <xf numFmtId="0" fontId="20" fillId="28" borderId="3" xfId="0" applyFont="1" applyFill="1" applyBorder="1" applyAlignment="1">
      <alignment horizontal="center" vertical="top" wrapText="1"/>
    </xf>
    <xf numFmtId="0" fontId="8" fillId="28" borderId="3" xfId="0" applyFont="1" applyFill="1" applyBorder="1" applyAlignment="1">
      <alignment vertical="center" wrapText="1"/>
    </xf>
    <xf numFmtId="0" fontId="153" fillId="28" borderId="3" xfId="0" applyFont="1" applyFill="1" applyBorder="1" applyAlignment="1">
      <alignment vertical="center" wrapText="1"/>
    </xf>
    <xf numFmtId="0" fontId="20" fillId="28" borderId="8" xfId="0" applyFont="1" applyFill="1" applyBorder="1" applyAlignment="1">
      <alignment horizontal="center" vertical="center" wrapText="1"/>
    </xf>
    <xf numFmtId="0" fontId="153" fillId="0" borderId="27" xfId="0" applyFont="1" applyBorder="1" applyAlignment="1">
      <alignment horizontal="left" vertical="center" wrapText="1"/>
    </xf>
    <xf numFmtId="0" fontId="79" fillId="0" borderId="2" xfId="0" applyFont="1" applyBorder="1" applyAlignment="1">
      <alignment horizontal="left" vertical="center" wrapText="1"/>
    </xf>
    <xf numFmtId="0" fontId="127" fillId="28" borderId="3" xfId="0" applyFont="1" applyFill="1" applyBorder="1" applyAlignment="1">
      <alignment horizontal="left" vertical="top" wrapText="1"/>
    </xf>
    <xf numFmtId="0" fontId="101" fillId="28" borderId="3" xfId="0" applyFont="1" applyFill="1" applyBorder="1" applyAlignment="1">
      <alignment horizontal="left" vertical="top" wrapText="1"/>
    </xf>
    <xf numFmtId="0" fontId="101" fillId="28" borderId="3" xfId="0" applyFont="1" applyFill="1" applyBorder="1" applyAlignment="1">
      <alignment horizontal="left" vertical="center" wrapText="1"/>
    </xf>
    <xf numFmtId="0" fontId="87" fillId="28" borderId="3" xfId="0" applyFont="1" applyFill="1" applyBorder="1" applyAlignment="1">
      <alignment horizontal="center" vertical="center" textRotation="90" wrapText="1"/>
    </xf>
    <xf numFmtId="0" fontId="7" fillId="7" borderId="8" xfId="0" applyFont="1" applyFill="1" applyBorder="1" applyAlignment="1">
      <alignment horizontal="center" vertical="center" textRotation="90" wrapText="1"/>
    </xf>
    <xf numFmtId="0" fontId="126" fillId="14" borderId="1" xfId="0" applyFont="1" applyFill="1" applyBorder="1" applyAlignment="1">
      <alignment horizontal="center" vertical="center"/>
    </xf>
    <xf numFmtId="0" fontId="126" fillId="28" borderId="13" xfId="0" applyFont="1" applyFill="1" applyBorder="1" applyAlignment="1">
      <alignment horizontal="center" vertical="center" wrapText="1"/>
    </xf>
    <xf numFmtId="0" fontId="126" fillId="28" borderId="1" xfId="0" applyFont="1" applyFill="1" applyBorder="1" applyAlignment="1">
      <alignment horizontal="center" vertical="center" wrapText="1"/>
    </xf>
    <xf numFmtId="0" fontId="101" fillId="28" borderId="9" xfId="0" applyFont="1" applyFill="1" applyBorder="1" applyAlignment="1">
      <alignment horizontal="center" vertical="center" wrapText="1"/>
    </xf>
    <xf numFmtId="0" fontId="101" fillId="28" borderId="1" xfId="0" applyFont="1" applyFill="1" applyBorder="1" applyAlignment="1">
      <alignment horizontal="center" vertical="center" textRotation="90"/>
    </xf>
    <xf numFmtId="0" fontId="101" fillId="28" borderId="3" xfId="0" applyFont="1" applyFill="1" applyBorder="1" applyAlignment="1">
      <alignment horizontal="center" vertical="top" wrapText="1"/>
    </xf>
    <xf numFmtId="0" fontId="25" fillId="28" borderId="3" xfId="0" applyFont="1" applyFill="1" applyBorder="1" applyAlignment="1">
      <alignment horizontal="left" vertical="center" wrapText="1"/>
    </xf>
    <xf numFmtId="0" fontId="8" fillId="28" borderId="3" xfId="0" applyFont="1" applyFill="1" applyBorder="1" applyAlignment="1">
      <alignment horizontal="left" vertical="center" wrapText="1"/>
    </xf>
    <xf numFmtId="0" fontId="101" fillId="28" borderId="1" xfId="0" applyFont="1" applyFill="1" applyBorder="1" applyAlignment="1">
      <alignment horizontal="center" vertical="center"/>
    </xf>
    <xf numFmtId="0" fontId="101" fillId="28" borderId="3" xfId="0" applyFont="1" applyFill="1" applyBorder="1" applyAlignment="1">
      <alignment horizontal="center" vertical="center" wrapText="1"/>
    </xf>
    <xf numFmtId="0" fontId="101" fillId="28" borderId="8" xfId="0" applyFont="1" applyFill="1" applyBorder="1" applyAlignment="1">
      <alignment horizontal="center" vertical="center" wrapText="1"/>
    </xf>
    <xf numFmtId="0" fontId="87" fillId="28" borderId="8" xfId="0" applyFont="1" applyFill="1" applyBorder="1" applyAlignment="1">
      <alignment horizontal="center" vertical="center" textRotation="90" wrapText="1"/>
    </xf>
    <xf numFmtId="0" fontId="213" fillId="28" borderId="1" xfId="0" applyFont="1" applyFill="1" applyBorder="1" applyAlignment="1">
      <alignment horizontal="center" vertical="center" wrapText="1"/>
    </xf>
    <xf numFmtId="0" fontId="77" fillId="28" borderId="3" xfId="0" applyFont="1" applyFill="1" applyBorder="1" applyAlignment="1">
      <alignment horizontal="left" vertical="center" wrapText="1"/>
    </xf>
    <xf numFmtId="0" fontId="122" fillId="28" borderId="3" xfId="0" applyFont="1" applyFill="1" applyBorder="1" applyAlignment="1">
      <alignment horizontal="left" vertical="top" wrapText="1"/>
    </xf>
    <xf numFmtId="0" fontId="7" fillId="28" borderId="3" xfId="0" applyFont="1" applyFill="1" applyBorder="1" applyAlignment="1">
      <alignment horizontal="center" vertical="center" textRotation="90" wrapText="1"/>
    </xf>
    <xf numFmtId="0" fontId="7" fillId="28" borderId="8" xfId="0" applyFont="1" applyFill="1" applyBorder="1" applyAlignment="1">
      <alignment horizontal="center" vertical="center" textRotation="90" wrapText="1"/>
    </xf>
    <xf numFmtId="0" fontId="8" fillId="28" borderId="27" xfId="0" applyFont="1" applyFill="1" applyBorder="1" applyAlignment="1">
      <alignment horizontal="left" vertical="center" wrapText="1"/>
    </xf>
    <xf numFmtId="0" fontId="8" fillId="28" borderId="1" xfId="0" applyFont="1" applyFill="1" applyBorder="1" applyAlignment="1">
      <alignment horizontal="left" vertical="center" wrapText="1"/>
    </xf>
    <xf numFmtId="0" fontId="153" fillId="28" borderId="2" xfId="0" applyFont="1" applyFill="1" applyBorder="1" applyAlignment="1">
      <alignment horizontal="left" vertical="center" wrapText="1"/>
    </xf>
    <xf numFmtId="0" fontId="101" fillId="28" borderId="9" xfId="0" applyFont="1" applyFill="1" applyBorder="1" applyAlignment="1">
      <alignment horizontal="center" vertical="center"/>
    </xf>
    <xf numFmtId="0" fontId="101" fillId="28" borderId="3" xfId="0" applyFont="1" applyFill="1" applyBorder="1" applyAlignment="1">
      <alignment horizontal="center" vertical="center"/>
    </xf>
    <xf numFmtId="0" fontId="4" fillId="14" borderId="3" xfId="0" applyFont="1" applyFill="1" applyBorder="1" applyAlignment="1">
      <alignment horizontal="center" vertical="center" wrapText="1"/>
    </xf>
    <xf numFmtId="0" fontId="7" fillId="0" borderId="27" xfId="0" applyFont="1" applyBorder="1" applyAlignment="1">
      <alignment horizontal="left" vertical="center" wrapText="1"/>
    </xf>
    <xf numFmtId="0" fontId="79" fillId="0" borderId="1" xfId="0" applyFont="1" applyBorder="1" applyAlignment="1">
      <alignment horizontal="left" vertical="center" wrapText="1"/>
    </xf>
    <xf numFmtId="0" fontId="26" fillId="0" borderId="3" xfId="0" applyFont="1" applyBorder="1" applyAlignment="1">
      <alignment horizontal="center" vertical="center" textRotation="90" wrapText="1"/>
    </xf>
    <xf numFmtId="0" fontId="25" fillId="0" borderId="2" xfId="0" applyFont="1" applyBorder="1" applyAlignment="1">
      <alignment horizontal="left" vertical="center" wrapText="1"/>
    </xf>
    <xf numFmtId="0" fontId="8" fillId="29" borderId="3" xfId="0" applyFont="1" applyFill="1" applyBorder="1" applyAlignment="1">
      <alignment vertical="top" wrapText="1"/>
    </xf>
    <xf numFmtId="0" fontId="7" fillId="29" borderId="3" xfId="0" applyFont="1" applyFill="1" applyBorder="1" applyAlignment="1">
      <alignment horizontal="left" vertical="center" wrapText="1"/>
    </xf>
    <xf numFmtId="0" fontId="153" fillId="29" borderId="3" xfId="0" applyFont="1" applyFill="1" applyBorder="1" applyAlignment="1">
      <alignment vertical="center" wrapText="1"/>
    </xf>
    <xf numFmtId="0" fontId="153" fillId="29" borderId="3" xfId="0" applyFont="1" applyFill="1" applyBorder="1" applyAlignment="1">
      <alignment horizontal="center" vertical="center" textRotation="90" wrapText="1"/>
    </xf>
    <xf numFmtId="0" fontId="4" fillId="29" borderId="2" xfId="0" applyFont="1" applyFill="1" applyBorder="1" applyAlignment="1">
      <alignment horizontal="center" vertical="center" wrapText="1"/>
    </xf>
    <xf numFmtId="0" fontId="173" fillId="29" borderId="3" xfId="0" applyFont="1" applyFill="1" applyBorder="1" applyAlignment="1">
      <alignment horizontal="center" vertical="center" wrapText="1"/>
    </xf>
    <xf numFmtId="0" fontId="7" fillId="29" borderId="3" xfId="0" applyFont="1" applyFill="1" applyBorder="1" applyAlignment="1">
      <alignment horizontal="center" vertical="center" wrapText="1"/>
    </xf>
    <xf numFmtId="0" fontId="153" fillId="29" borderId="3" xfId="0" applyFont="1" applyFill="1" applyBorder="1" applyAlignment="1">
      <alignment horizontal="center" vertical="top" wrapText="1"/>
    </xf>
    <xf numFmtId="0" fontId="8" fillId="29" borderId="3" xfId="0" applyFont="1" applyFill="1" applyBorder="1" applyAlignment="1">
      <alignment horizontal="left" vertical="center" wrapText="1"/>
    </xf>
    <xf numFmtId="0" fontId="153" fillId="29" borderId="2" xfId="0" applyFont="1" applyFill="1" applyBorder="1" applyAlignment="1">
      <alignment horizontal="left" vertical="center" wrapText="1"/>
    </xf>
    <xf numFmtId="0" fontId="229" fillId="29" borderId="8" xfId="0" applyFont="1" applyFill="1" applyBorder="1" applyAlignment="1">
      <alignment horizontal="center" vertical="center" wrapText="1"/>
    </xf>
    <xf numFmtId="0" fontId="50" fillId="0" borderId="3" xfId="0" applyFont="1" applyBorder="1" applyAlignment="1">
      <alignment horizontal="left" vertical="top"/>
    </xf>
    <xf numFmtId="0" fontId="8" fillId="0" borderId="3" xfId="0" applyFont="1" applyBorder="1" applyAlignment="1">
      <alignment horizontal="left" vertical="center" wrapText="1"/>
    </xf>
    <xf numFmtId="0" fontId="8" fillId="0" borderId="14" xfId="0" applyFont="1" applyBorder="1" applyAlignment="1">
      <alignment horizontal="left" vertical="center" wrapText="1"/>
    </xf>
    <xf numFmtId="0" fontId="233" fillId="10" borderId="3" xfId="0" applyFont="1" applyFill="1" applyBorder="1" applyAlignment="1">
      <alignment horizontal="left" vertical="top"/>
    </xf>
    <xf numFmtId="0" fontId="8" fillId="0" borderId="8" xfId="0" applyFont="1" applyBorder="1" applyAlignment="1">
      <alignment horizontal="left" vertical="center" wrapText="1"/>
    </xf>
    <xf numFmtId="0" fontId="46" fillId="0" borderId="1" xfId="0" applyFont="1" applyBorder="1" applyAlignment="1">
      <alignment horizontal="left" vertical="center" wrapText="1"/>
    </xf>
    <xf numFmtId="0" fontId="20" fillId="0" borderId="2" xfId="0" applyFont="1" applyBorder="1" applyAlignment="1">
      <alignment vertical="top" wrapText="1"/>
    </xf>
    <xf numFmtId="0" fontId="31" fillId="18" borderId="3" xfId="0" applyFont="1" applyFill="1" applyBorder="1" applyAlignment="1">
      <alignment horizontal="center" vertical="center" wrapText="1"/>
    </xf>
    <xf numFmtId="0" fontId="8" fillId="0" borderId="3" xfId="0" applyFont="1" applyBorder="1" applyAlignment="1">
      <alignment vertical="center" wrapText="1"/>
    </xf>
    <xf numFmtId="0" fontId="153" fillId="0" borderId="3" xfId="0" applyFont="1" applyBorder="1" applyAlignment="1">
      <alignment vertical="center" wrapText="1"/>
    </xf>
    <xf numFmtId="0" fontId="0" fillId="0" borderId="0" xfId="0" applyAlignment="1">
      <alignment vertical="center"/>
    </xf>
    <xf numFmtId="0" fontId="2" fillId="2" borderId="1" xfId="0" applyFont="1" applyFill="1" applyBorder="1" applyAlignment="1">
      <alignment horizontal="center" vertical="center"/>
    </xf>
    <xf numFmtId="16" fontId="7" fillId="0" borderId="0" xfId="0" applyNumberFormat="1" applyFont="1"/>
    <xf numFmtId="0" fontId="7" fillId="0" borderId="1" xfId="0" applyFont="1" applyBorder="1"/>
    <xf numFmtId="0" fontId="7" fillId="0" borderId="32" xfId="0"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center" wrapText="1"/>
    </xf>
    <xf numFmtId="0" fontId="20" fillId="0" borderId="11" xfId="0" applyFont="1" applyBorder="1" applyAlignment="1">
      <alignment horizontal="center" textRotation="90" wrapText="1"/>
    </xf>
    <xf numFmtId="0" fontId="4" fillId="2" borderId="11" xfId="0" applyFont="1" applyFill="1" applyBorder="1" applyAlignment="1">
      <alignment horizontal="center" vertical="top" wrapText="1"/>
    </xf>
    <xf numFmtId="0" fontId="31" fillId="0" borderId="11" xfId="0" applyFont="1" applyBorder="1" applyAlignment="1">
      <alignment horizontal="center" vertical="center" wrapText="1" indent="1"/>
    </xf>
    <xf numFmtId="0" fontId="31" fillId="0" borderId="11" xfId="0" applyFont="1" applyBorder="1" applyAlignment="1">
      <alignment vertical="center" wrapText="1" indent="1"/>
    </xf>
    <xf numFmtId="0" fontId="31" fillId="7" borderId="28" xfId="0" applyFont="1" applyFill="1" applyBorder="1" applyAlignment="1">
      <alignment horizontal="center" vertical="center" wrapText="1" indent="1"/>
    </xf>
    <xf numFmtId="0" fontId="31" fillId="0" borderId="28" xfId="0" applyFont="1" applyBorder="1" applyAlignment="1">
      <alignment horizontal="center" wrapText="1" indent="1"/>
    </xf>
    <xf numFmtId="0" fontId="3" fillId="0" borderId="29" xfId="0" applyFont="1" applyBorder="1" applyAlignment="1">
      <alignment horizontal="center" textRotation="90" wrapText="1"/>
    </xf>
    <xf numFmtId="0" fontId="7" fillId="0" borderId="29" xfId="0" applyFont="1" applyBorder="1" applyAlignment="1">
      <alignment horizontal="center" textRotation="90" wrapText="1"/>
    </xf>
    <xf numFmtId="0" fontId="7" fillId="0" borderId="0" xfId="0" applyFont="1" applyAlignment="1">
      <alignment horizontal="center" textRotation="90" wrapText="1"/>
    </xf>
    <xf numFmtId="0" fontId="7" fillId="0" borderId="32" xfId="0" applyFont="1" applyBorder="1" applyAlignment="1">
      <alignment horizontal="center" vertical="center" wrapText="1"/>
    </xf>
    <xf numFmtId="0" fontId="41" fillId="2" borderId="11" xfId="0" applyFont="1" applyFill="1" applyBorder="1" applyAlignment="1">
      <alignment horizontal="left" vertical="top" wrapText="1"/>
    </xf>
    <xf numFmtId="0" fontId="7" fillId="10" borderId="11" xfId="0" applyFont="1" applyFill="1" applyBorder="1" applyAlignment="1">
      <alignment horizontal="left" vertical="top" wrapText="1"/>
    </xf>
    <xf numFmtId="16" fontId="7" fillId="10" borderId="11" xfId="0" applyNumberFormat="1" applyFont="1" applyFill="1" applyBorder="1" applyAlignment="1">
      <alignment horizontal="left" vertical="top" wrapText="1"/>
    </xf>
    <xf numFmtId="0" fontId="7" fillId="10" borderId="11" xfId="0" applyFont="1" applyFill="1" applyBorder="1" applyAlignment="1">
      <alignment horizontal="left" vertical="top"/>
    </xf>
    <xf numFmtId="0" fontId="20" fillId="0" borderId="33" xfId="0" applyFont="1" applyBorder="1"/>
    <xf numFmtId="16" fontId="7" fillId="0" borderId="1" xfId="0" applyNumberFormat="1" applyFont="1" applyBorder="1" applyAlignment="1">
      <alignment horizontal="left" vertical="top" wrapText="1"/>
    </xf>
    <xf numFmtId="0" fontId="7" fillId="0" borderId="27" xfId="0" applyFont="1" applyBorder="1" applyAlignment="1">
      <alignment horizontal="left" vertical="top" wrapText="1"/>
    </xf>
    <xf numFmtId="0" fontId="20" fillId="0" borderId="9" xfId="0" applyFont="1" applyBorder="1" applyAlignment="1">
      <alignment horizontal="center" textRotation="90" wrapText="1"/>
    </xf>
    <xf numFmtId="0" fontId="20" fillId="0" borderId="1" xfId="0" applyFont="1" applyBorder="1" applyAlignment="1">
      <alignment horizontal="center" textRotation="90" wrapText="1"/>
    </xf>
    <xf numFmtId="0" fontId="4" fillId="2" borderId="27" xfId="0" applyFont="1" applyFill="1" applyBorder="1" applyAlignment="1">
      <alignment horizontal="center" vertical="top" wrapText="1"/>
    </xf>
    <xf numFmtId="0" fontId="31" fillId="0" borderId="1" xfId="0" applyFont="1" applyBorder="1" applyAlignment="1">
      <alignment horizontal="center" vertical="center" wrapText="1" indent="1"/>
    </xf>
    <xf numFmtId="0" fontId="31" fillId="0" borderId="9" xfId="0" applyFont="1" applyBorder="1" applyAlignment="1">
      <alignment vertical="center" wrapText="1" indent="1"/>
    </xf>
    <xf numFmtId="0" fontId="31" fillId="7" borderId="1" xfId="0" applyFont="1" applyFill="1" applyBorder="1" applyAlignment="1">
      <alignment horizontal="center" vertical="center" wrapText="1" indent="1"/>
    </xf>
    <xf numFmtId="0" fontId="31" fillId="0" borderId="1" xfId="0" applyFont="1" applyBorder="1" applyAlignment="1">
      <alignment horizontal="center" wrapText="1" indent="1"/>
    </xf>
    <xf numFmtId="0" fontId="3" fillId="0" borderId="1" xfId="0" applyFont="1" applyBorder="1" applyAlignment="1">
      <alignment horizontal="center" textRotation="90" wrapText="1"/>
    </xf>
    <xf numFmtId="0" fontId="7" fillId="0" borderId="1" xfId="0" applyFont="1" applyBorder="1" applyAlignment="1">
      <alignment horizontal="center" textRotation="90" wrapText="1"/>
    </xf>
    <xf numFmtId="0" fontId="41" fillId="2" borderId="1" xfId="0" applyFont="1" applyFill="1" applyBorder="1" applyAlignment="1">
      <alignment horizontal="left" vertical="top" wrapText="1"/>
    </xf>
    <xf numFmtId="0" fontId="7" fillId="10" borderId="1" xfId="0" applyFont="1" applyFill="1" applyBorder="1" applyAlignment="1">
      <alignment horizontal="left" vertical="top" wrapText="1"/>
    </xf>
    <xf numFmtId="16" fontId="7" fillId="10" borderId="1" xfId="0" applyNumberFormat="1" applyFont="1" applyFill="1" applyBorder="1" applyAlignment="1">
      <alignment horizontal="left" vertical="top" wrapText="1"/>
    </xf>
    <xf numFmtId="0" fontId="7" fillId="0" borderId="34" xfId="0" applyFont="1" applyBorder="1" applyAlignment="1">
      <alignment horizontal="left" vertical="top" wrapText="1"/>
    </xf>
    <xf numFmtId="0" fontId="4" fillId="2" borderId="1" xfId="0" applyFont="1" applyFill="1" applyBorder="1" applyAlignment="1">
      <alignment horizontal="center" vertical="center" wrapText="1"/>
    </xf>
    <xf numFmtId="0" fontId="4" fillId="0" borderId="1" xfId="0" applyFont="1" applyBorder="1" applyAlignment="1">
      <alignment vertical="center" wrapText="1" indent="1"/>
    </xf>
    <xf numFmtId="0" fontId="7" fillId="0" borderId="35" xfId="0" applyFont="1" applyBorder="1" applyAlignment="1">
      <alignment horizontal="center" vertical="center" textRotation="255" wrapText="1"/>
    </xf>
    <xf numFmtId="0" fontId="31" fillId="7" borderId="30" xfId="0" applyFont="1" applyFill="1" applyBorder="1" applyAlignment="1">
      <alignment horizontal="center" vertical="center" wrapText="1" indent="1"/>
    </xf>
    <xf numFmtId="0" fontId="20" fillId="0" borderId="0" xfId="0" applyFont="1" applyAlignment="1">
      <alignment horizontal="center"/>
    </xf>
    <xf numFmtId="0" fontId="23" fillId="0" borderId="0" xfId="0" applyFont="1" applyAlignment="1">
      <alignment horizontal="center" wrapText="1"/>
    </xf>
    <xf numFmtId="0" fontId="16" fillId="2" borderId="3" xfId="0" applyFont="1" applyFill="1" applyBorder="1" applyAlignment="1">
      <alignment horizontal="left" vertical="top" wrapText="1"/>
    </xf>
    <xf numFmtId="0" fontId="7" fillId="2" borderId="3" xfId="0" applyFont="1" applyFill="1" applyBorder="1" applyAlignment="1">
      <alignment horizontal="left" vertical="top"/>
    </xf>
    <xf numFmtId="0" fontId="22" fillId="2" borderId="1" xfId="0" applyFont="1" applyFill="1" applyBorder="1" applyAlignment="1">
      <alignment horizontal="center" vertical="center" wrapText="1"/>
    </xf>
    <xf numFmtId="0" fontId="7" fillId="0" borderId="8" xfId="0" applyFont="1" applyBorder="1" applyAlignment="1">
      <alignment horizontal="left" vertical="top" wrapText="1"/>
    </xf>
    <xf numFmtId="0" fontId="31" fillId="0" borderId="1" xfId="0" applyFont="1" applyBorder="1" applyAlignment="1">
      <alignment vertical="center" wrapText="1" indent="1"/>
    </xf>
    <xf numFmtId="0" fontId="31" fillId="7" borderId="2" xfId="0" applyFont="1" applyFill="1" applyBorder="1" applyAlignment="1">
      <alignment horizontal="center" wrapText="1" indent="1"/>
    </xf>
    <xf numFmtId="0" fontId="3" fillId="0" borderId="3" xfId="0" applyFont="1" applyBorder="1" applyAlignment="1">
      <alignment horizontal="center" textRotation="90" wrapText="1"/>
    </xf>
    <xf numFmtId="0" fontId="7" fillId="0" borderId="3" xfId="0" applyFont="1" applyBorder="1" applyAlignment="1">
      <alignment horizontal="center" textRotation="90" wrapText="1"/>
    </xf>
    <xf numFmtId="0" fontId="7" fillId="0" borderId="8" xfId="0" applyFont="1" applyBorder="1" applyAlignment="1">
      <alignment horizontal="center" textRotation="90" wrapText="1"/>
    </xf>
    <xf numFmtId="0" fontId="7" fillId="0" borderId="8" xfId="0" applyFont="1" applyBorder="1" applyAlignment="1">
      <alignment horizontal="center" vertical="center" wrapText="1" indent="1"/>
    </xf>
    <xf numFmtId="0" fontId="41" fillId="2" borderId="3" xfId="0" applyFont="1" applyFill="1" applyBorder="1" applyAlignment="1">
      <alignment horizontal="left" vertical="top" wrapText="1"/>
    </xf>
    <xf numFmtId="0" fontId="20" fillId="0" borderId="8" xfId="0" applyFont="1" applyBorder="1" applyAlignment="1">
      <alignment horizontal="center" textRotation="90" wrapText="1"/>
    </xf>
    <xf numFmtId="0" fontId="20" fillId="0" borderId="2" xfId="0" applyFont="1" applyBorder="1" applyAlignment="1">
      <alignment horizontal="center" textRotation="90" wrapText="1"/>
    </xf>
    <xf numFmtId="164" fontId="20" fillId="9" borderId="3" xfId="0" applyNumberFormat="1" applyFont="1" applyFill="1" applyBorder="1" applyAlignment="1">
      <alignment horizontal="center" textRotation="90" wrapText="1"/>
    </xf>
    <xf numFmtId="0" fontId="20" fillId="2" borderId="3" xfId="0" applyFont="1" applyFill="1" applyBorder="1" applyAlignment="1">
      <alignment horizontal="center" textRotation="90" wrapText="1"/>
    </xf>
    <xf numFmtId="0" fontId="35" fillId="18" borderId="1" xfId="0" applyFont="1" applyFill="1" applyBorder="1" applyAlignment="1">
      <alignment horizontal="center" vertical="center" wrapText="1"/>
    </xf>
    <xf numFmtId="0" fontId="7" fillId="0" borderId="3" xfId="0" applyFont="1" applyBorder="1" applyAlignment="1">
      <alignment horizontal="left" vertical="top"/>
    </xf>
    <xf numFmtId="0" fontId="7" fillId="0" borderId="3" xfId="0" applyFont="1" applyBorder="1" applyAlignment="1">
      <alignment horizontal="center" vertical="center"/>
    </xf>
    <xf numFmtId="0" fontId="11" fillId="0" borderId="3" xfId="0" applyFont="1" applyBorder="1" applyAlignment="1">
      <alignment horizontal="left" vertical="top" textRotation="90"/>
    </xf>
    <xf numFmtId="0" fontId="4" fillId="0" borderId="1" xfId="0" applyFont="1" applyBorder="1" applyAlignment="1">
      <alignment horizontal="center" vertical="center"/>
    </xf>
    <xf numFmtId="0" fontId="7" fillId="10" borderId="8" xfId="0" applyFont="1" applyFill="1" applyBorder="1" applyAlignment="1">
      <alignment horizontal="center" vertical="center"/>
    </xf>
    <xf numFmtId="0" fontId="5" fillId="0" borderId="8" xfId="0" applyFont="1" applyBorder="1" applyAlignment="1">
      <alignment horizontal="center" vertical="center"/>
    </xf>
    <xf numFmtId="0" fontId="42" fillId="11" borderId="1" xfId="0" applyFont="1" applyFill="1" applyBorder="1" applyAlignment="1">
      <alignment horizontal="left" vertical="top"/>
    </xf>
    <xf numFmtId="0" fontId="44" fillId="10" borderId="0" xfId="0" applyFont="1" applyFill="1"/>
    <xf numFmtId="0" fontId="39" fillId="9" borderId="3" xfId="0" applyFont="1" applyFill="1" applyBorder="1" applyAlignment="1">
      <alignment horizontal="center" vertical="center" wrapText="1"/>
    </xf>
    <xf numFmtId="0" fontId="45" fillId="9" borderId="3" xfId="0" applyFont="1" applyFill="1" applyBorder="1" applyAlignment="1">
      <alignment horizontal="left" vertical="top" textRotation="90" wrapText="1"/>
    </xf>
    <xf numFmtId="0" fontId="37" fillId="18" borderId="1" xfId="0" applyFont="1" applyFill="1" applyBorder="1" applyAlignment="1">
      <alignment horizontal="center" vertical="center" wrapText="1"/>
    </xf>
    <xf numFmtId="0" fontId="30" fillId="9" borderId="8" xfId="0" applyFont="1" applyFill="1" applyBorder="1" applyAlignment="1">
      <alignment horizontal="center" vertical="center" wrapText="1"/>
    </xf>
    <xf numFmtId="0" fontId="39" fillId="9" borderId="1" xfId="0" applyFont="1" applyFill="1" applyBorder="1" applyAlignment="1">
      <alignment horizontal="center" vertical="center" wrapText="1"/>
    </xf>
    <xf numFmtId="0" fontId="39" fillId="9" borderId="8" xfId="0" applyFont="1" applyFill="1" applyBorder="1" applyAlignment="1">
      <alignment horizontal="center" vertical="center" wrapText="1"/>
    </xf>
    <xf numFmtId="0" fontId="4" fillId="18" borderId="1" xfId="0" applyFont="1" applyFill="1" applyBorder="1" applyAlignment="1">
      <alignment horizontal="center" vertical="top" wrapText="1"/>
    </xf>
    <xf numFmtId="0" fontId="7" fillId="10" borderId="3" xfId="0" applyFont="1" applyFill="1" applyBorder="1" applyAlignment="1">
      <alignment horizontal="center" vertical="top" wrapText="1"/>
    </xf>
    <xf numFmtId="0" fontId="22" fillId="19" borderId="1" xfId="0" applyFont="1" applyFill="1" applyBorder="1" applyAlignment="1">
      <alignment horizontal="center" vertical="top" wrapText="1"/>
    </xf>
    <xf numFmtId="0" fontId="11" fillId="7" borderId="22" xfId="0" applyFont="1" applyFill="1" applyBorder="1" applyAlignment="1">
      <alignment horizontal="center" vertical="center" textRotation="90" wrapText="1"/>
    </xf>
    <xf numFmtId="0" fontId="11" fillId="0" borderId="22" xfId="0" applyFont="1" applyBorder="1" applyAlignment="1">
      <alignment horizontal="left" vertical="center" textRotation="90" wrapText="1"/>
    </xf>
    <xf numFmtId="0" fontId="7" fillId="7" borderId="22" xfId="0" applyFont="1" applyFill="1" applyBorder="1" applyAlignment="1">
      <alignment horizontal="center" vertical="top" wrapText="1"/>
    </xf>
    <xf numFmtId="0" fontId="7" fillId="0" borderId="22" xfId="0" applyFont="1" applyBorder="1" applyAlignment="1">
      <alignment horizontal="left" vertical="center" wrapText="1"/>
    </xf>
    <xf numFmtId="0" fontId="7" fillId="10" borderId="23" xfId="0" applyFont="1" applyFill="1" applyBorder="1" applyAlignment="1">
      <alignment horizontal="center" vertical="center" wrapText="1"/>
    </xf>
    <xf numFmtId="0" fontId="43" fillId="10" borderId="23" xfId="0" applyFont="1" applyFill="1" applyBorder="1" applyAlignment="1">
      <alignment horizontal="center" vertical="top" wrapText="1"/>
    </xf>
    <xf numFmtId="0" fontId="7" fillId="0" borderId="22" xfId="0" applyFont="1" applyBorder="1" applyAlignment="1">
      <alignment horizontal="left" vertical="top"/>
    </xf>
    <xf numFmtId="0" fontId="11" fillId="0" borderId="1" xfId="0" applyFont="1" applyBorder="1" applyAlignment="1">
      <alignment horizontal="left" vertical="top" textRotation="90" wrapText="1"/>
    </xf>
    <xf numFmtId="0" fontId="7" fillId="10" borderId="1" xfId="0" applyFont="1" applyFill="1" applyBorder="1" applyAlignment="1">
      <alignment horizontal="left" vertical="center" wrapText="1"/>
    </xf>
    <xf numFmtId="0" fontId="41" fillId="10" borderId="1" xfId="0" applyFont="1" applyFill="1" applyBorder="1" applyAlignment="1">
      <alignment horizontal="left" vertical="top" wrapText="1"/>
    </xf>
    <xf numFmtId="0" fontId="43" fillId="10" borderId="1" xfId="0" applyFont="1" applyFill="1" applyBorder="1" applyAlignment="1">
      <alignment horizontal="left" vertical="top" wrapText="1"/>
    </xf>
    <xf numFmtId="0" fontId="43" fillId="10" borderId="1" xfId="0" applyFont="1" applyFill="1" applyBorder="1" applyAlignment="1">
      <alignment horizontal="left" vertical="top"/>
    </xf>
    <xf numFmtId="0" fontId="39" fillId="10" borderId="14" xfId="0" applyFont="1" applyFill="1" applyBorder="1" applyAlignment="1">
      <alignment horizontal="left" vertical="top" wrapText="1"/>
    </xf>
    <xf numFmtId="0" fontId="39" fillId="10" borderId="14" xfId="0" applyFont="1" applyFill="1" applyBorder="1" applyAlignment="1">
      <alignment horizontal="center" vertical="center" wrapText="1"/>
    </xf>
    <xf numFmtId="0" fontId="45" fillId="10" borderId="3" xfId="0" applyFont="1" applyFill="1" applyBorder="1" applyAlignment="1">
      <alignment horizontal="center" vertical="center" textRotation="90" wrapText="1"/>
    </xf>
    <xf numFmtId="0" fontId="45" fillId="10" borderId="14" xfId="0" applyFont="1" applyFill="1" applyBorder="1" applyAlignment="1">
      <alignment horizontal="left" vertical="top" textRotation="90" wrapText="1"/>
    </xf>
    <xf numFmtId="0" fontId="30" fillId="14" borderId="10" xfId="0" applyFont="1" applyFill="1" applyBorder="1" applyAlignment="1">
      <alignment horizontal="center" vertical="center" wrapText="1"/>
    </xf>
    <xf numFmtId="0" fontId="30" fillId="10" borderId="15" xfId="0" applyFont="1" applyFill="1" applyBorder="1" applyAlignment="1">
      <alignment horizontal="center" vertical="center" wrapText="1"/>
    </xf>
    <xf numFmtId="0" fontId="30" fillId="10" borderId="1" xfId="0" applyFont="1" applyFill="1" applyBorder="1" applyAlignment="1">
      <alignment horizontal="center" vertical="center" wrapText="1"/>
    </xf>
    <xf numFmtId="0" fontId="39" fillId="10" borderId="16" xfId="0" applyFont="1" applyFill="1" applyBorder="1" applyAlignment="1">
      <alignment horizontal="center" vertical="center" wrapText="1"/>
    </xf>
    <xf numFmtId="0" fontId="39" fillId="7" borderId="14" xfId="0" applyFont="1" applyFill="1" applyBorder="1" applyAlignment="1">
      <alignment horizontal="center" vertical="top" wrapText="1"/>
    </xf>
    <xf numFmtId="0" fontId="39" fillId="10" borderId="14" xfId="0" applyFont="1" applyFill="1" applyBorder="1" applyAlignment="1">
      <alignment horizontal="left" vertical="center" wrapText="1"/>
    </xf>
    <xf numFmtId="0" fontId="39" fillId="10" borderId="10" xfId="0" applyFont="1" applyFill="1" applyBorder="1" applyAlignment="1">
      <alignment horizontal="center" vertical="center" wrapText="1"/>
    </xf>
    <xf numFmtId="0" fontId="41" fillId="14" borderId="14" xfId="0" applyFont="1" applyFill="1" applyBorder="1" applyAlignment="1">
      <alignment horizontal="left" vertical="top" wrapText="1"/>
    </xf>
    <xf numFmtId="0" fontId="5" fillId="0" borderId="15" xfId="0" applyFont="1" applyBorder="1" applyAlignment="1">
      <alignment horizontal="center" vertical="center" wrapText="1"/>
    </xf>
    <xf numFmtId="16" fontId="43" fillId="10" borderId="17" xfId="0" applyNumberFormat="1" applyFont="1" applyFill="1" applyBorder="1" applyAlignment="1">
      <alignment horizontal="left" vertical="top" wrapText="1"/>
    </xf>
    <xf numFmtId="0" fontId="236" fillId="11" borderId="1" xfId="0" applyFont="1" applyFill="1" applyBorder="1" applyAlignment="1">
      <alignment horizontal="left" vertical="top" wrapText="1"/>
    </xf>
    <xf numFmtId="0" fontId="7" fillId="9" borderId="14" xfId="0" applyFont="1" applyFill="1" applyBorder="1" applyAlignment="1">
      <alignment horizontal="left" vertical="top" wrapText="1"/>
    </xf>
    <xf numFmtId="0" fontId="7" fillId="9" borderId="14" xfId="0" applyFont="1" applyFill="1" applyBorder="1" applyAlignment="1">
      <alignment horizontal="center" vertical="center" wrapText="1"/>
    </xf>
    <xf numFmtId="0" fontId="11" fillId="9" borderId="14" xfId="0" applyFont="1" applyFill="1" applyBorder="1" applyAlignment="1">
      <alignment horizontal="left" vertical="top" textRotation="90" wrapText="1"/>
    </xf>
    <xf numFmtId="0" fontId="4" fillId="9" borderId="15" xfId="0" applyFont="1" applyFill="1" applyBorder="1" applyAlignment="1">
      <alignment horizontal="center" vertical="center" wrapText="1"/>
    </xf>
    <xf numFmtId="0" fontId="4" fillId="9" borderId="10" xfId="0" applyFont="1" applyFill="1" applyBorder="1" applyAlignment="1">
      <alignment horizontal="center" vertical="center" wrapText="1"/>
    </xf>
    <xf numFmtId="0" fontId="7" fillId="9" borderId="16" xfId="0" applyFont="1" applyFill="1" applyBorder="1" applyAlignment="1">
      <alignment horizontal="center" vertical="center" wrapText="1"/>
    </xf>
    <xf numFmtId="0" fontId="39" fillId="9" borderId="14" xfId="0" applyFont="1" applyFill="1" applyBorder="1" applyAlignment="1">
      <alignment horizontal="center" vertical="top" wrapText="1"/>
    </xf>
    <xf numFmtId="0" fontId="7" fillId="9" borderId="14" xfId="0" applyFont="1" applyFill="1" applyBorder="1" applyAlignment="1">
      <alignment horizontal="left" vertical="center" wrapText="1"/>
    </xf>
    <xf numFmtId="0" fontId="7" fillId="9" borderId="10" xfId="0" applyFont="1" applyFill="1" applyBorder="1" applyAlignment="1">
      <alignment horizontal="center" vertical="center" wrapText="1"/>
    </xf>
    <xf numFmtId="0" fontId="7" fillId="9" borderId="15" xfId="0" applyFont="1" applyFill="1" applyBorder="1" applyAlignment="1">
      <alignment horizontal="center" vertical="center" wrapText="1"/>
    </xf>
    <xf numFmtId="0" fontId="8" fillId="9" borderId="3" xfId="0" applyFont="1" applyFill="1" applyBorder="1" applyAlignment="1">
      <alignment horizontal="left" vertical="top" wrapText="1"/>
    </xf>
    <xf numFmtId="0" fontId="7" fillId="9" borderId="3" xfId="0" applyFont="1" applyFill="1" applyBorder="1" applyAlignment="1">
      <alignment horizontal="center" vertical="center" textRotation="255" wrapText="1"/>
    </xf>
    <xf numFmtId="3" fontId="7" fillId="10" borderId="3" xfId="0" applyNumberFormat="1" applyFont="1" applyFill="1" applyBorder="1" applyAlignment="1">
      <alignment horizontal="left" vertical="top"/>
    </xf>
    <xf numFmtId="0" fontId="11" fillId="10" borderId="17" xfId="0" applyFont="1" applyFill="1" applyBorder="1" applyAlignment="1">
      <alignment horizontal="left" vertical="top"/>
    </xf>
    <xf numFmtId="0" fontId="3" fillId="14" borderId="1" xfId="0" applyFont="1" applyFill="1" applyBorder="1" applyAlignment="1">
      <alignment horizontal="center" vertical="center" wrapText="1"/>
    </xf>
    <xf numFmtId="0" fontId="7" fillId="30" borderId="1" xfId="0" applyFont="1" applyFill="1" applyBorder="1" applyAlignment="1">
      <alignment horizontal="center" vertical="center"/>
    </xf>
    <xf numFmtId="0" fontId="7" fillId="30" borderId="3" xfId="0" applyFont="1" applyFill="1" applyBorder="1" applyAlignment="1">
      <alignment horizontal="center" vertical="center"/>
    </xf>
    <xf numFmtId="0" fontId="4" fillId="14" borderId="27" xfId="0" applyFont="1" applyFill="1" applyBorder="1" applyAlignment="1">
      <alignment horizontal="center" vertical="center" wrapText="1"/>
    </xf>
    <xf numFmtId="0" fontId="237" fillId="7" borderId="3" xfId="0" applyFont="1" applyFill="1" applyBorder="1" applyAlignment="1">
      <alignment horizontal="center" vertical="top" wrapText="1"/>
    </xf>
    <xf numFmtId="0" fontId="9" fillId="0" borderId="3" xfId="0" applyFont="1" applyBorder="1" applyAlignment="1">
      <alignment horizontal="left" vertical="top" wrapText="1"/>
    </xf>
    <xf numFmtId="0" fontId="13" fillId="0" borderId="1" xfId="0" applyFont="1" applyBorder="1" applyAlignment="1">
      <alignment horizontal="center" vertical="center" wrapText="1"/>
    </xf>
    <xf numFmtId="0" fontId="18" fillId="14" borderId="0" xfId="0" applyFont="1" applyFill="1" applyAlignment="1">
      <alignment wrapText="1"/>
    </xf>
    <xf numFmtId="0" fontId="9" fillId="10" borderId="3" xfId="0" applyFont="1" applyFill="1" applyBorder="1" applyAlignment="1">
      <alignment horizontal="left" vertical="top" wrapText="1"/>
    </xf>
    <xf numFmtId="0" fontId="18" fillId="7" borderId="3" xfId="0" applyFont="1" applyFill="1" applyBorder="1" applyAlignment="1">
      <alignment horizontal="center" vertical="center" textRotation="90" wrapText="1"/>
    </xf>
    <xf numFmtId="0" fontId="25" fillId="0" borderId="0" xfId="0" applyFont="1"/>
    <xf numFmtId="0" fontId="25" fillId="0" borderId="34" xfId="0" applyFont="1" applyBorder="1" applyAlignment="1">
      <alignment horizontal="left" vertical="top" wrapText="1"/>
    </xf>
    <xf numFmtId="0" fontId="4" fillId="0" borderId="1" xfId="0" applyFont="1" applyBorder="1" applyAlignment="1">
      <alignment horizontal="center" vertical="center" wrapText="1" indent="1"/>
    </xf>
    <xf numFmtId="0" fontId="4" fillId="7" borderId="30" xfId="0" applyFont="1" applyFill="1" applyBorder="1" applyAlignment="1">
      <alignment horizontal="center" vertical="center" wrapText="1" indent="1"/>
    </xf>
    <xf numFmtId="0" fontId="4" fillId="0" borderId="1" xfId="0" applyFont="1" applyBorder="1" applyAlignment="1">
      <alignment horizontal="center" wrapText="1" indent="1"/>
    </xf>
    <xf numFmtId="0" fontId="25" fillId="0" borderId="1" xfId="0" applyFont="1" applyBorder="1" applyAlignment="1">
      <alignment horizontal="center" textRotation="90" wrapText="1"/>
    </xf>
    <xf numFmtId="0" fontId="25" fillId="10" borderId="2" xfId="0" applyFont="1" applyFill="1" applyBorder="1" applyAlignment="1">
      <alignment horizontal="left" vertical="top" wrapText="1"/>
    </xf>
    <xf numFmtId="14" fontId="7" fillId="10" borderId="2" xfId="0" applyNumberFormat="1" applyFont="1" applyFill="1" applyBorder="1" applyAlignment="1">
      <alignment horizontal="left" vertical="top" wrapText="1"/>
    </xf>
    <xf numFmtId="0" fontId="20" fillId="31" borderId="6" xfId="0" applyFont="1" applyFill="1" applyBorder="1" applyAlignment="1">
      <alignment horizontal="center" textRotation="90" wrapText="1"/>
    </xf>
    <xf numFmtId="0" fontId="25" fillId="10" borderId="3" xfId="0" applyFont="1" applyFill="1" applyBorder="1" applyAlignment="1">
      <alignment horizontal="left" vertical="top"/>
    </xf>
    <xf numFmtId="0" fontId="90" fillId="10" borderId="0" xfId="0" applyFont="1" applyFill="1" applyAlignment="1">
      <alignment wrapText="1"/>
    </xf>
    <xf numFmtId="0" fontId="90" fillId="0" borderId="0" xfId="0" applyFont="1" applyAlignment="1">
      <alignment wrapText="1"/>
    </xf>
    <xf numFmtId="0" fontId="9" fillId="0" borderId="1" xfId="0" applyFont="1" applyBorder="1" applyAlignment="1">
      <alignment horizontal="center" vertical="center" wrapText="1"/>
    </xf>
    <xf numFmtId="0" fontId="18" fillId="0" borderId="3" xfId="0" applyFont="1" applyBorder="1" applyAlignment="1">
      <alignment horizontal="left" vertical="top" textRotation="90" wrapText="1"/>
    </xf>
    <xf numFmtId="0" fontId="13" fillId="2" borderId="1" xfId="0" applyFont="1" applyFill="1" applyBorder="1" applyAlignment="1">
      <alignment horizontal="center" vertical="center" wrapText="1"/>
    </xf>
    <xf numFmtId="0" fontId="13" fillId="0" borderId="8" xfId="0" applyFont="1" applyBorder="1" applyAlignment="1">
      <alignment horizontal="center" vertical="center" wrapText="1"/>
    </xf>
    <xf numFmtId="16" fontId="13" fillId="0" borderId="1" xfId="0" applyNumberFormat="1" applyFont="1" applyBorder="1" applyAlignment="1">
      <alignment horizontal="center" vertical="center" wrapText="1"/>
    </xf>
    <xf numFmtId="0" fontId="9" fillId="10" borderId="9" xfId="0" applyFont="1" applyFill="1" applyBorder="1" applyAlignment="1">
      <alignment horizontal="center" vertical="center" wrapText="1"/>
    </xf>
    <xf numFmtId="0" fontId="9" fillId="0" borderId="3" xfId="0" applyFont="1" applyBorder="1" applyAlignment="1">
      <alignment horizontal="center" vertical="center" wrapText="1"/>
    </xf>
    <xf numFmtId="0" fontId="13" fillId="7" borderId="3" xfId="0" applyFont="1" applyFill="1" applyBorder="1" applyAlignment="1">
      <alignment horizontal="center" vertical="center" wrapText="1"/>
    </xf>
    <xf numFmtId="0" fontId="9" fillId="10" borderId="3" xfId="0" applyFont="1" applyFill="1" applyBorder="1" applyAlignment="1">
      <alignment horizontal="left" vertical="center" wrapText="1"/>
    </xf>
    <xf numFmtId="0" fontId="9" fillId="10" borderId="1" xfId="0" applyFont="1" applyFill="1" applyBorder="1" applyAlignment="1">
      <alignment horizontal="center" vertical="center" wrapText="1"/>
    </xf>
    <xf numFmtId="0" fontId="9" fillId="10" borderId="3" xfId="0" applyFont="1" applyFill="1" applyBorder="1" applyAlignment="1">
      <alignment horizontal="center" vertical="center" wrapText="1"/>
    </xf>
    <xf numFmtId="0" fontId="9" fillId="10" borderId="8" xfId="0" applyFont="1" applyFill="1" applyBorder="1" applyAlignment="1">
      <alignment horizontal="center" vertical="center" wrapText="1"/>
    </xf>
    <xf numFmtId="0" fontId="245" fillId="2" borderId="3" xfId="0" applyFont="1" applyFill="1" applyBorder="1" applyAlignment="1">
      <alignment horizontal="left" vertical="top" wrapText="1"/>
    </xf>
    <xf numFmtId="0" fontId="9" fillId="0" borderId="8" xfId="0" applyFont="1" applyBorder="1" applyAlignment="1">
      <alignment horizontal="center" vertical="center" wrapText="1"/>
    </xf>
    <xf numFmtId="0" fontId="9" fillId="0" borderId="1" xfId="0" applyFont="1" applyBorder="1"/>
    <xf numFmtId="16" fontId="9" fillId="10" borderId="2" xfId="0" applyNumberFormat="1" applyFont="1" applyFill="1" applyBorder="1" applyAlignment="1">
      <alignment horizontal="left" vertical="top" wrapText="1"/>
    </xf>
    <xf numFmtId="49" fontId="9" fillId="10" borderId="3" xfId="0" applyNumberFormat="1" applyFont="1" applyFill="1" applyBorder="1" applyAlignment="1">
      <alignment horizontal="left" vertical="top" wrapText="1"/>
    </xf>
    <xf numFmtId="0" fontId="9" fillId="10" borderId="3" xfId="0" applyFont="1" applyFill="1" applyBorder="1" applyAlignment="1">
      <alignment horizontal="left" vertical="top"/>
    </xf>
    <xf numFmtId="0" fontId="18" fillId="0" borderId="0" xfId="0" applyFont="1" applyAlignment="1">
      <alignment wrapText="1"/>
    </xf>
    <xf numFmtId="0" fontId="20" fillId="18" borderId="3" xfId="0" applyFont="1" applyFill="1" applyBorder="1" applyAlignment="1">
      <alignment horizontal="left" vertical="top" wrapText="1"/>
    </xf>
    <xf numFmtId="0" fontId="20" fillId="15" borderId="3" xfId="0" applyFont="1" applyFill="1" applyBorder="1" applyAlignment="1">
      <alignment horizontal="left" vertical="top" wrapText="1"/>
    </xf>
    <xf numFmtId="0" fontId="20" fillId="15" borderId="3" xfId="0" applyFont="1" applyFill="1" applyBorder="1" applyAlignment="1">
      <alignment horizontal="center" vertical="center" wrapText="1"/>
    </xf>
    <xf numFmtId="0" fontId="23" fillId="15" borderId="3" xfId="0" applyFont="1" applyFill="1" applyBorder="1" applyAlignment="1">
      <alignment horizontal="left" vertical="top" textRotation="90" wrapText="1"/>
    </xf>
    <xf numFmtId="0" fontId="31" fillId="15" borderId="8" xfId="0" applyFont="1" applyFill="1" applyBorder="1" applyAlignment="1">
      <alignment horizontal="center" vertical="center" wrapText="1"/>
    </xf>
    <xf numFmtId="0" fontId="20" fillId="15" borderId="9" xfId="0" applyFont="1" applyFill="1" applyBorder="1" applyAlignment="1">
      <alignment horizontal="center" vertical="center" wrapText="1"/>
    </xf>
    <xf numFmtId="0" fontId="20" fillId="15" borderId="3" xfId="0" applyFont="1" applyFill="1" applyBorder="1" applyAlignment="1">
      <alignment horizontal="left" vertical="center" wrapText="1"/>
    </xf>
    <xf numFmtId="0" fontId="20" fillId="15" borderId="1" xfId="0" applyFont="1" applyFill="1" applyBorder="1" applyAlignment="1">
      <alignment horizontal="center" vertical="center" wrapText="1"/>
    </xf>
    <xf numFmtId="0" fontId="20" fillId="14" borderId="8" xfId="0" applyFont="1" applyFill="1" applyBorder="1" applyAlignment="1">
      <alignment horizontal="center" vertical="center" wrapText="1"/>
    </xf>
    <xf numFmtId="0" fontId="247" fillId="15" borderId="3" xfId="0" applyFont="1" applyFill="1" applyBorder="1" applyAlignment="1">
      <alignment horizontal="left" vertical="top" wrapText="1"/>
    </xf>
    <xf numFmtId="0" fontId="9" fillId="14" borderId="3" xfId="0" applyFont="1" applyFill="1" applyBorder="1" applyAlignment="1">
      <alignment horizontal="left" vertical="top" wrapText="1"/>
    </xf>
    <xf numFmtId="0" fontId="25" fillId="9" borderId="9" xfId="0" applyFont="1" applyFill="1" applyBorder="1" applyAlignment="1">
      <alignment horizontal="center" vertical="center" wrapText="1"/>
    </xf>
    <xf numFmtId="0" fontId="248" fillId="11" borderId="1" xfId="0" applyFont="1" applyFill="1" applyBorder="1" applyAlignment="1">
      <alignment horizontal="left" vertical="top" wrapText="1"/>
    </xf>
    <xf numFmtId="0" fontId="11" fillId="7" borderId="3" xfId="0" applyFont="1" applyFill="1" applyBorder="1" applyAlignment="1">
      <alignment horizontal="center" vertical="center" textRotation="255" wrapText="1"/>
    </xf>
    <xf numFmtId="0" fontId="11" fillId="0" borderId="3" xfId="0" applyFont="1" applyBorder="1" applyAlignment="1">
      <alignment horizontal="left" vertical="top" textRotation="255" wrapText="1"/>
    </xf>
    <xf numFmtId="0" fontId="24" fillId="2" borderId="1" xfId="0" applyFont="1" applyFill="1" applyBorder="1" applyAlignment="1">
      <alignment horizontal="center" vertical="center" wrapText="1"/>
    </xf>
    <xf numFmtId="0" fontId="11" fillId="9" borderId="3" xfId="0" applyFont="1" applyFill="1" applyBorder="1" applyAlignment="1">
      <alignment horizontal="left" vertical="top" textRotation="255" wrapText="1"/>
    </xf>
    <xf numFmtId="0" fontId="11" fillId="9" borderId="3" xfId="0" applyFont="1" applyFill="1" applyBorder="1" applyAlignment="1">
      <alignment horizontal="left" vertical="center" textRotation="255" wrapText="1"/>
    </xf>
    <xf numFmtId="0" fontId="13" fillId="9" borderId="8"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0" fillId="10" borderId="3" xfId="0" applyFont="1" applyFill="1" applyBorder="1" applyAlignment="1">
      <alignment horizontal="left" vertical="top" wrapText="1"/>
    </xf>
    <xf numFmtId="0" fontId="9" fillId="9" borderId="1" xfId="0" applyFont="1" applyFill="1" applyBorder="1" applyAlignment="1">
      <alignment horizontal="center" vertical="center" wrapText="1"/>
    </xf>
    <xf numFmtId="0" fontId="9" fillId="9" borderId="3" xfId="0" applyFont="1" applyFill="1" applyBorder="1" applyAlignment="1">
      <alignment horizontal="center" vertical="center" wrapText="1"/>
    </xf>
    <xf numFmtId="0" fontId="18" fillId="9" borderId="3" xfId="0" applyFont="1" applyFill="1" applyBorder="1" applyAlignment="1">
      <alignment horizontal="left" vertical="top" textRotation="90" wrapText="1"/>
    </xf>
    <xf numFmtId="0" fontId="11" fillId="7" borderId="3" xfId="0" applyFont="1" applyFill="1" applyBorder="1" applyAlignment="1">
      <alignment horizontal="left" vertical="center" textRotation="255" wrapText="1"/>
    </xf>
    <xf numFmtId="0" fontId="9" fillId="18" borderId="3" xfId="0" applyFont="1" applyFill="1" applyBorder="1" applyAlignment="1">
      <alignment horizontal="left" vertical="top" wrapText="1"/>
    </xf>
    <xf numFmtId="0" fontId="11" fillId="18" borderId="3" xfId="0" applyFont="1" applyFill="1" applyBorder="1" applyAlignment="1">
      <alignment horizontal="left" vertical="top" textRotation="255" wrapText="1"/>
    </xf>
    <xf numFmtId="0" fontId="13" fillId="18" borderId="1" xfId="0" applyFont="1" applyFill="1" applyBorder="1" applyAlignment="1">
      <alignment horizontal="center" vertical="center" wrapText="1"/>
    </xf>
    <xf numFmtId="0" fontId="7" fillId="18" borderId="3" xfId="0" applyFont="1" applyFill="1" applyBorder="1" applyAlignment="1">
      <alignment horizontal="center" vertical="center" textRotation="255" wrapText="1"/>
    </xf>
    <xf numFmtId="0" fontId="9" fillId="18" borderId="3" xfId="0" applyFont="1" applyFill="1" applyBorder="1" applyAlignment="1">
      <alignment horizontal="center" vertical="top" wrapText="1"/>
    </xf>
    <xf numFmtId="16" fontId="7" fillId="18" borderId="3" xfId="0" applyNumberFormat="1" applyFont="1" applyFill="1" applyBorder="1" applyAlignment="1">
      <alignment horizontal="left" vertical="center" wrapText="1"/>
    </xf>
    <xf numFmtId="0" fontId="9" fillId="15" borderId="3" xfId="0" applyFont="1" applyFill="1" applyBorder="1" applyAlignment="1">
      <alignment horizontal="left" vertical="top" wrapText="1"/>
    </xf>
    <xf numFmtId="0" fontId="253" fillId="0" borderId="0" xfId="0" applyFont="1"/>
    <xf numFmtId="0" fontId="9" fillId="9" borderId="3" xfId="0" applyFont="1" applyFill="1" applyBorder="1" applyAlignment="1">
      <alignment horizontal="left" vertical="center" wrapText="1"/>
    </xf>
    <xf numFmtId="0" fontId="9" fillId="9" borderId="8" xfId="0" applyFont="1" applyFill="1" applyBorder="1" applyAlignment="1">
      <alignment horizontal="center" vertical="center" wrapText="1"/>
    </xf>
    <xf numFmtId="0" fontId="245" fillId="10" borderId="3" xfId="0" applyFont="1" applyFill="1" applyBorder="1" applyAlignment="1">
      <alignment horizontal="left" vertical="top" wrapText="1"/>
    </xf>
    <xf numFmtId="0" fontId="253" fillId="0" borderId="8" xfId="0" applyFont="1" applyBorder="1" applyAlignment="1">
      <alignment horizontal="center" vertical="center" wrapText="1"/>
    </xf>
    <xf numFmtId="0" fontId="9" fillId="10" borderId="2" xfId="0" applyFont="1" applyFill="1" applyBorder="1" applyAlignment="1">
      <alignment horizontal="left" vertical="top" wrapText="1"/>
    </xf>
    <xf numFmtId="0" fontId="254" fillId="0" borderId="0" xfId="0" applyFont="1" applyAlignment="1">
      <alignment wrapText="1"/>
    </xf>
    <xf numFmtId="0" fontId="9" fillId="0" borderId="0" xfId="0" applyFont="1"/>
    <xf numFmtId="0" fontId="13" fillId="0" borderId="1" xfId="0" applyFont="1" applyBorder="1" applyAlignment="1">
      <alignment horizontal="center" vertical="center" wrapText="1" indent="1"/>
    </xf>
    <xf numFmtId="0" fontId="13" fillId="7" borderId="30" xfId="0" applyFont="1" applyFill="1" applyBorder="1" applyAlignment="1">
      <alignment horizontal="center" vertical="center" wrapText="1" indent="1"/>
    </xf>
    <xf numFmtId="16" fontId="7" fillId="10" borderId="2" xfId="0" applyNumberFormat="1" applyFont="1" applyFill="1" applyBorder="1" applyAlignment="1">
      <alignment horizontal="left" vertical="top" wrapText="1"/>
    </xf>
    <xf numFmtId="0" fontId="9" fillId="9" borderId="19" xfId="0" applyFont="1" applyFill="1" applyBorder="1" applyAlignment="1">
      <alignment horizontal="left" vertical="top" wrapText="1"/>
    </xf>
    <xf numFmtId="0" fontId="24" fillId="15" borderId="1" xfId="0" applyFont="1" applyFill="1" applyBorder="1" applyAlignment="1">
      <alignment horizontal="center" vertical="center" wrapText="1"/>
    </xf>
    <xf numFmtId="0" fontId="9" fillId="15" borderId="3" xfId="0" applyFont="1" applyFill="1" applyBorder="1" applyAlignment="1">
      <alignment horizontal="center" vertical="top" wrapText="1"/>
    </xf>
    <xf numFmtId="0" fontId="9" fillId="15" borderId="3" xfId="0" applyFont="1" applyFill="1" applyBorder="1" applyAlignment="1">
      <alignment horizontal="center" vertical="center" wrapText="1"/>
    </xf>
    <xf numFmtId="0" fontId="11" fillId="15" borderId="3" xfId="0" applyFont="1" applyFill="1" applyBorder="1" applyAlignment="1">
      <alignment horizontal="left" vertical="top" textRotation="255" wrapText="1"/>
    </xf>
    <xf numFmtId="0" fontId="11" fillId="0" borderId="3" xfId="0" applyFont="1" applyBorder="1" applyAlignment="1">
      <alignment horizontal="left" vertical="center" textRotation="255" wrapText="1"/>
    </xf>
    <xf numFmtId="0" fontId="18" fillId="7" borderId="3" xfId="0" applyFont="1" applyFill="1" applyBorder="1" applyAlignment="1">
      <alignment horizontal="left" vertical="center" textRotation="255" wrapText="1"/>
    </xf>
    <xf numFmtId="0" fontId="255" fillId="7" borderId="3" xfId="0" applyFont="1" applyFill="1" applyBorder="1" applyAlignment="1">
      <alignment horizontal="center" vertical="top" wrapText="1"/>
    </xf>
    <xf numFmtId="0" fontId="9" fillId="5" borderId="3" xfId="0" applyFont="1" applyFill="1" applyBorder="1" applyAlignment="1">
      <alignment horizontal="center" vertical="top" wrapText="1"/>
    </xf>
    <xf numFmtId="22" fontId="9" fillId="9" borderId="3" xfId="0" applyNumberFormat="1" applyFont="1" applyFill="1" applyBorder="1" applyAlignment="1">
      <alignment horizontal="left" vertical="center" wrapText="1"/>
    </xf>
    <xf numFmtId="0" fontId="245" fillId="9" borderId="3" xfId="0" applyFont="1" applyFill="1" applyBorder="1" applyAlignment="1">
      <alignment horizontal="left" vertical="top" wrapText="1"/>
    </xf>
    <xf numFmtId="0" fontId="9" fillId="2" borderId="3" xfId="0" applyFont="1" applyFill="1" applyBorder="1" applyAlignment="1">
      <alignment horizontal="left" vertical="top"/>
    </xf>
    <xf numFmtId="0" fontId="18" fillId="13" borderId="0" xfId="0" applyFont="1" applyFill="1" applyAlignment="1">
      <alignment wrapText="1"/>
    </xf>
    <xf numFmtId="0" fontId="90" fillId="9" borderId="3" xfId="0" applyFont="1" applyFill="1" applyBorder="1" applyAlignment="1">
      <alignment horizontal="left" vertical="top" textRotation="90" wrapText="1"/>
    </xf>
    <xf numFmtId="0" fontId="9" fillId="14" borderId="8" xfId="0" applyFont="1" applyFill="1" applyBorder="1" applyAlignment="1">
      <alignment horizontal="center" vertical="center" wrapText="1"/>
    </xf>
    <xf numFmtId="0" fontId="245" fillId="14" borderId="3" xfId="0" applyFont="1" applyFill="1" applyBorder="1" applyAlignment="1">
      <alignment horizontal="left" vertical="top" wrapText="1"/>
    </xf>
    <xf numFmtId="0" fontId="18" fillId="0" borderId="3" xfId="0" applyFont="1" applyBorder="1" applyAlignment="1">
      <alignment horizontal="left" vertical="center" textRotation="255" wrapText="1"/>
    </xf>
    <xf numFmtId="0" fontId="13" fillId="14" borderId="1" xfId="0" applyFont="1" applyFill="1" applyBorder="1" applyAlignment="1">
      <alignment horizontal="center" vertical="center" wrapText="1"/>
    </xf>
    <xf numFmtId="0" fontId="7" fillId="0" borderId="0" xfId="0" applyFont="1" applyAlignment="1">
      <alignment vertical="center" wrapText="1"/>
    </xf>
    <xf numFmtId="0" fontId="9" fillId="9" borderId="9"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24" fillId="20"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22" fontId="9" fillId="10" borderId="3" xfId="0" applyNumberFormat="1" applyFont="1" applyFill="1" applyBorder="1" applyAlignment="1">
      <alignment horizontal="left" vertical="center" wrapText="1"/>
    </xf>
    <xf numFmtId="0" fontId="9" fillId="0" borderId="14" xfId="0" applyFont="1" applyBorder="1" applyAlignment="1">
      <alignment horizontal="left" vertical="top" wrapText="1"/>
    </xf>
    <xf numFmtId="0" fontId="18" fillId="15" borderId="3" xfId="0" applyFont="1" applyFill="1" applyBorder="1" applyAlignment="1">
      <alignment horizontal="left" vertical="top" textRotation="90" wrapText="1"/>
    </xf>
    <xf numFmtId="0" fontId="13" fillId="15" borderId="8" xfId="0" applyFont="1" applyFill="1" applyBorder="1" applyAlignment="1">
      <alignment horizontal="center" vertical="center" wrapText="1"/>
    </xf>
    <xf numFmtId="0" fontId="9" fillId="15" borderId="9" xfId="0" applyFont="1" applyFill="1" applyBorder="1" applyAlignment="1">
      <alignment horizontal="center" vertical="center" wrapText="1"/>
    </xf>
    <xf numFmtId="0" fontId="9" fillId="15" borderId="3" xfId="0" applyFont="1" applyFill="1" applyBorder="1" applyAlignment="1">
      <alignment horizontal="left" vertical="center" wrapText="1"/>
    </xf>
    <xf numFmtId="0" fontId="9" fillId="15" borderId="1" xfId="0" applyFont="1" applyFill="1" applyBorder="1" applyAlignment="1">
      <alignment horizontal="center" vertical="center" wrapText="1"/>
    </xf>
    <xf numFmtId="0" fontId="259" fillId="11" borderId="1" xfId="0" applyFont="1" applyFill="1" applyBorder="1" applyAlignment="1">
      <alignment horizontal="left" vertical="top" wrapText="1"/>
    </xf>
    <xf numFmtId="0" fontId="9" fillId="16" borderId="3" xfId="0" applyFont="1" applyFill="1" applyBorder="1" applyAlignment="1">
      <alignment horizontal="center" vertical="top" wrapText="1"/>
    </xf>
    <xf numFmtId="0" fontId="249" fillId="15" borderId="3" xfId="0" applyFont="1" applyFill="1" applyBorder="1" applyAlignment="1">
      <alignment horizontal="left" vertical="top" wrapText="1"/>
    </xf>
    <xf numFmtId="0" fontId="9" fillId="15" borderId="8" xfId="0" applyFont="1" applyFill="1" applyBorder="1" applyAlignment="1">
      <alignment horizontal="center" vertical="center" wrapText="1"/>
    </xf>
    <xf numFmtId="0" fontId="249" fillId="0" borderId="3" xfId="0" applyFont="1" applyBorder="1" applyAlignment="1">
      <alignment horizontal="left" vertical="top" wrapText="1"/>
    </xf>
    <xf numFmtId="0" fontId="9" fillId="14" borderId="9" xfId="0" applyFont="1" applyFill="1" applyBorder="1" applyAlignment="1">
      <alignment horizontal="center" vertical="center" wrapText="1"/>
    </xf>
    <xf numFmtId="0" fontId="249" fillId="10" borderId="9" xfId="0" applyFont="1" applyFill="1" applyBorder="1" applyAlignment="1">
      <alignment horizontal="center" vertical="center" wrapText="1"/>
    </xf>
    <xf numFmtId="0" fontId="9" fillId="16" borderId="1" xfId="0" applyFont="1" applyFill="1" applyBorder="1" applyAlignment="1">
      <alignment horizontal="center" vertical="center" wrapText="1"/>
    </xf>
    <xf numFmtId="0" fontId="249" fillId="10" borderId="3" xfId="0" applyFont="1" applyFill="1" applyBorder="1" applyAlignment="1">
      <alignment horizontal="center" vertical="center" wrapText="1"/>
    </xf>
    <xf numFmtId="0" fontId="260" fillId="0" borderId="3" xfId="0" applyFont="1" applyBorder="1" applyAlignment="1">
      <alignment horizontal="left" vertical="top" textRotation="90" wrapText="1"/>
    </xf>
    <xf numFmtId="0" fontId="12" fillId="10"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237" fillId="15" borderId="3" xfId="0" applyFont="1" applyFill="1" applyBorder="1" applyAlignment="1">
      <alignment horizontal="left" vertical="top" wrapText="1"/>
    </xf>
    <xf numFmtId="0" fontId="237" fillId="15" borderId="3" xfId="0" applyFont="1" applyFill="1" applyBorder="1" applyAlignment="1">
      <alignment horizontal="center" vertical="center" wrapText="1"/>
    </xf>
    <xf numFmtId="0" fontId="260" fillId="15" borderId="3" xfId="0" applyFont="1" applyFill="1" applyBorder="1" applyAlignment="1">
      <alignment horizontal="left" vertical="top" textRotation="90" wrapText="1"/>
    </xf>
    <xf numFmtId="0" fontId="260" fillId="7" borderId="3" xfId="0" applyFont="1" applyFill="1" applyBorder="1" applyAlignment="1">
      <alignment horizontal="left" vertical="center" textRotation="255" wrapText="1"/>
    </xf>
    <xf numFmtId="0" fontId="12" fillId="15" borderId="8" xfId="0" applyFont="1" applyFill="1" applyBorder="1" applyAlignment="1">
      <alignment horizontal="center" vertical="center" wrapText="1"/>
    </xf>
    <xf numFmtId="0" fontId="237" fillId="15" borderId="9" xfId="0" applyFont="1" applyFill="1" applyBorder="1" applyAlignment="1">
      <alignment horizontal="center" vertical="center" wrapText="1"/>
    </xf>
    <xf numFmtId="0" fontId="237" fillId="15" borderId="3" xfId="0" applyFont="1" applyFill="1" applyBorder="1" applyAlignment="1">
      <alignment horizontal="center" vertical="top" wrapText="1"/>
    </xf>
    <xf numFmtId="0" fontId="237" fillId="15" borderId="3" xfId="0" applyFont="1" applyFill="1" applyBorder="1" applyAlignment="1">
      <alignment horizontal="left" vertical="center" wrapText="1"/>
    </xf>
    <xf numFmtId="0" fontId="237" fillId="15" borderId="1" xfId="0" applyFont="1" applyFill="1" applyBorder="1" applyAlignment="1">
      <alignment horizontal="center" vertical="center" wrapText="1"/>
    </xf>
    <xf numFmtId="0" fontId="237" fillId="14" borderId="8" xfId="0" applyFont="1" applyFill="1" applyBorder="1" applyAlignment="1">
      <alignment horizontal="center" vertical="center" wrapText="1"/>
    </xf>
    <xf numFmtId="0" fontId="9" fillId="14" borderId="3" xfId="0" applyFont="1" applyFill="1" applyBorder="1" applyAlignment="1">
      <alignment horizontal="center" vertical="center" wrapText="1"/>
    </xf>
    <xf numFmtId="0" fontId="9" fillId="10" borderId="8" xfId="0" applyFont="1" applyFill="1" applyBorder="1" applyAlignment="1">
      <alignment horizontal="left" vertical="center" wrapText="1"/>
    </xf>
    <xf numFmtId="0" fontId="9" fillId="10" borderId="1" xfId="0" applyFont="1" applyFill="1" applyBorder="1" applyAlignment="1">
      <alignment horizontal="left" vertical="center" wrapText="1"/>
    </xf>
    <xf numFmtId="0" fontId="263" fillId="15" borderId="0" xfId="0" applyFont="1" applyFill="1" applyAlignment="1">
      <alignment vertical="top" wrapText="1"/>
    </xf>
    <xf numFmtId="16" fontId="9" fillId="10" borderId="3" xfId="0" applyNumberFormat="1" applyFont="1" applyFill="1" applyBorder="1" applyAlignment="1">
      <alignment horizontal="left" vertical="center" wrapText="1"/>
    </xf>
    <xf numFmtId="0" fontId="9" fillId="10" borderId="14" xfId="0" applyFont="1" applyFill="1" applyBorder="1" applyAlignment="1">
      <alignment horizontal="left" vertical="center" wrapText="1"/>
    </xf>
    <xf numFmtId="0" fontId="237" fillId="18" borderId="3" xfId="0" applyFont="1" applyFill="1" applyBorder="1" applyAlignment="1">
      <alignment horizontal="left" vertical="top" wrapText="1"/>
    </xf>
    <xf numFmtId="0" fontId="264" fillId="10" borderId="3" xfId="0" applyFont="1" applyFill="1" applyBorder="1" applyAlignment="1">
      <alignment horizontal="center" vertical="center" wrapText="1"/>
    </xf>
    <xf numFmtId="0" fontId="265" fillId="0" borderId="3" xfId="0" applyFont="1" applyBorder="1" applyAlignment="1">
      <alignment horizontal="left" vertical="top" textRotation="255" wrapText="1"/>
    </xf>
    <xf numFmtId="0" fontId="24" fillId="0" borderId="8" xfId="0" applyFont="1" applyBorder="1" applyAlignment="1">
      <alignment horizontal="center" vertical="center" wrapText="1"/>
    </xf>
    <xf numFmtId="0" fontId="237" fillId="10" borderId="9" xfId="0" applyFont="1" applyFill="1" applyBorder="1" applyAlignment="1">
      <alignment horizontal="center" vertical="center" wrapText="1"/>
    </xf>
    <xf numFmtId="0" fontId="237" fillId="0" borderId="3" xfId="0" applyFont="1" applyBorder="1" applyAlignment="1">
      <alignment horizontal="center" vertical="center" textRotation="255" wrapText="1"/>
    </xf>
    <xf numFmtId="0" fontId="237" fillId="10" borderId="3" xfId="0" applyFont="1" applyFill="1" applyBorder="1" applyAlignment="1">
      <alignment horizontal="left" vertical="center" wrapText="1"/>
    </xf>
    <xf numFmtId="0" fontId="264" fillId="14" borderId="1" xfId="0" applyFont="1" applyFill="1" applyBorder="1" applyAlignment="1">
      <alignment horizontal="center" vertical="center" wrapText="1"/>
    </xf>
    <xf numFmtId="0" fontId="264" fillId="10" borderId="1" xfId="0" applyFont="1" applyFill="1" applyBorder="1" applyAlignment="1">
      <alignment horizontal="center" vertical="center" wrapText="1"/>
    </xf>
    <xf numFmtId="0" fontId="264" fillId="10" borderId="8" xfId="0" applyFont="1" applyFill="1" applyBorder="1" applyAlignment="1">
      <alignment horizontal="center" vertical="center" wrapText="1"/>
    </xf>
    <xf numFmtId="14" fontId="267" fillId="0" borderId="7" xfId="0" applyNumberFormat="1" applyFont="1" applyBorder="1" applyAlignment="1">
      <alignment vertical="center"/>
    </xf>
    <xf numFmtId="0" fontId="268" fillId="10" borderId="0" xfId="0" applyFont="1" applyFill="1" applyAlignment="1">
      <alignment wrapText="1"/>
    </xf>
    <xf numFmtId="0" fontId="4" fillId="10" borderId="3" xfId="0" applyFont="1" applyFill="1" applyBorder="1" applyAlignment="1">
      <alignment horizontal="left" vertical="center" wrapText="1"/>
    </xf>
    <xf numFmtId="0" fontId="269" fillId="11" borderId="1" xfId="0" applyFont="1" applyFill="1" applyBorder="1" applyAlignment="1">
      <alignment horizontal="left" vertical="top" wrapText="1"/>
    </xf>
    <xf numFmtId="0" fontId="9" fillId="12" borderId="1" xfId="0" applyFont="1" applyFill="1" applyBorder="1" applyAlignment="1">
      <alignment horizontal="center" vertical="center" wrapText="1"/>
    </xf>
    <xf numFmtId="0" fontId="9" fillId="7" borderId="4" xfId="0" applyFont="1" applyFill="1" applyBorder="1" applyAlignment="1">
      <alignment horizontal="center" vertical="top" wrapText="1"/>
    </xf>
    <xf numFmtId="2" fontId="9" fillId="10" borderId="3" xfId="0" applyNumberFormat="1" applyFont="1" applyFill="1" applyBorder="1" applyAlignment="1">
      <alignment horizontal="left" vertical="top"/>
    </xf>
    <xf numFmtId="0" fontId="249" fillId="9" borderId="3" xfId="0" applyFont="1" applyFill="1" applyBorder="1" applyAlignment="1">
      <alignment horizontal="center" vertical="center" wrapText="1"/>
    </xf>
    <xf numFmtId="0" fontId="237" fillId="0" borderId="3" xfId="0" applyFont="1" applyBorder="1" applyAlignment="1">
      <alignment horizontal="left" vertical="top" wrapText="1"/>
    </xf>
    <xf numFmtId="0" fontId="20" fillId="14" borderId="0" xfId="0" applyFont="1" applyFill="1"/>
    <xf numFmtId="0" fontId="274" fillId="0" borderId="1" xfId="0" applyFont="1" applyBorder="1" applyAlignment="1">
      <alignment horizontal="center" vertical="center" wrapText="1"/>
    </xf>
    <xf numFmtId="16" fontId="20" fillId="0" borderId="0" xfId="0" applyNumberFormat="1"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Eric Silverio" id="{E3F8A006-A57D-4811-9A29-B2A9E41F6E36}" userId="S::erics@altamfg.com::5984107b-d059-4605-a01b-81e6c58200d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C297" dT="2025-12-15T19:24:24.79" personId="{E3F8A006-A57D-4811-9A29-B2A9E41F6E36}" id="{56633AEF-B96D-47C9-89AA-FD46FBF312B9}">
    <text>REMOVED COST - THIS IS CANCELLED B NUMBER</text>
  </threadedComment>
  <threadedComment ref="J343" dT="2025-11-21T18:57:03.87" personId="{E3F8A006-A57D-4811-9A29-B2A9E41F6E36}" id="{2CC6E301-83DF-4621-AB7F-A448D281E3CF}">
    <text>Was 25 Edited down to 22 due to partial shipment to reflect proper quantity 11/21/2025</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D0533-AC31-4A7B-B699-4867D37B8496}">
  <dimension ref="A1:DU1210"/>
  <sheetViews>
    <sheetView tabSelected="1" topLeftCell="A30" workbookViewId="0">
      <selection activeCell="N168" sqref="N168"/>
    </sheetView>
  </sheetViews>
  <sheetFormatPr defaultRowHeight="15" x14ac:dyDescent="0.25"/>
  <cols>
    <col min="1" max="1" width="11.5703125" style="1223" customWidth="1"/>
    <col min="2" max="2" width="7.28515625" style="1223" customWidth="1"/>
    <col min="3" max="3" width="13.7109375" customWidth="1"/>
    <col min="5" max="5" width="5.42578125" customWidth="1"/>
    <col min="6" max="8" width="3.85546875" customWidth="1"/>
    <col min="9" max="9" width="17.140625" style="1223" customWidth="1"/>
    <col min="10" max="10" width="11.5703125" customWidth="1"/>
    <col min="11" max="11" width="9.140625" customWidth="1"/>
    <col min="12" max="13" width="2.42578125" customWidth="1"/>
    <col min="14" max="14" width="26.42578125" customWidth="1"/>
    <col min="15" max="17" width="7.28515625" customWidth="1"/>
    <col min="18" max="18" width="4.28515625" customWidth="1"/>
    <col min="19" max="19" width="5.42578125" customWidth="1"/>
    <col min="20" max="21" width="4.7109375" customWidth="1"/>
    <col min="22" max="22" width="5.7109375" customWidth="1"/>
    <col min="23" max="23" width="6.85546875" customWidth="1"/>
    <col min="24" max="24" width="8" customWidth="1"/>
    <col min="25" max="25" width="5.85546875" customWidth="1"/>
    <col min="26" max="26" width="10.5703125" customWidth="1"/>
    <col min="27" max="27" width="13.85546875" customWidth="1"/>
    <col min="28" max="28" width="10.7109375" customWidth="1"/>
    <col min="29" max="29" width="9.85546875" bestFit="1" customWidth="1"/>
    <col min="30" max="30" width="9.28515625" bestFit="1" customWidth="1"/>
    <col min="32" max="32" width="3.7109375" customWidth="1"/>
    <col min="35" max="35" width="3.7109375" customWidth="1"/>
  </cols>
  <sheetData>
    <row r="1" spans="1:125" s="13" customFormat="1" ht="113.25" customHeight="1" x14ac:dyDescent="0.25">
      <c r="A1" s="1" t="s">
        <v>0</v>
      </c>
      <c r="B1" s="2" t="s">
        <v>1</v>
      </c>
      <c r="C1" s="2" t="s">
        <v>2</v>
      </c>
      <c r="D1" s="3" t="s">
        <v>3</v>
      </c>
      <c r="E1" s="3" t="s">
        <v>4</v>
      </c>
      <c r="F1" s="3" t="s">
        <v>5</v>
      </c>
      <c r="G1" s="3" t="s">
        <v>6</v>
      </c>
      <c r="H1" s="3" t="s">
        <v>7</v>
      </c>
      <c r="I1" s="4" t="s">
        <v>8</v>
      </c>
      <c r="J1" s="4" t="s">
        <v>9</v>
      </c>
      <c r="K1" s="4" t="s">
        <v>9910</v>
      </c>
      <c r="L1" s="3" t="s">
        <v>11</v>
      </c>
      <c r="M1" s="3" t="s">
        <v>12</v>
      </c>
      <c r="N1" s="3" t="s">
        <v>13</v>
      </c>
      <c r="O1" s="5" t="s">
        <v>14</v>
      </c>
      <c r="P1" s="6" t="s">
        <v>15</v>
      </c>
      <c r="Q1" s="5" t="s">
        <v>16</v>
      </c>
      <c r="R1" s="3" t="s">
        <v>17</v>
      </c>
      <c r="S1" s="3" t="s">
        <v>18</v>
      </c>
      <c r="T1" s="3" t="s">
        <v>19</v>
      </c>
      <c r="U1" s="3" t="s">
        <v>20</v>
      </c>
      <c r="V1" s="3" t="s">
        <v>21</v>
      </c>
      <c r="W1" s="3" t="s">
        <v>22</v>
      </c>
      <c r="X1" s="7" t="s">
        <v>23</v>
      </c>
      <c r="Y1" s="7" t="s">
        <v>24</v>
      </c>
      <c r="Z1" s="8" t="s">
        <v>25</v>
      </c>
      <c r="AA1" s="9" t="s">
        <v>26</v>
      </c>
      <c r="AB1" s="8" t="s">
        <v>27</v>
      </c>
      <c r="AC1" s="10" t="s">
        <v>28</v>
      </c>
      <c r="AD1" s="8"/>
      <c r="AE1" s="11" t="s">
        <v>29</v>
      </c>
      <c r="AF1" s="11" t="s">
        <v>30</v>
      </c>
      <c r="AG1" s="11" t="s">
        <v>31</v>
      </c>
      <c r="AH1" s="11" t="s">
        <v>32</v>
      </c>
      <c r="AI1" s="11" t="s">
        <v>33</v>
      </c>
      <c r="AJ1" s="11" t="s">
        <v>34</v>
      </c>
      <c r="AK1" s="11" t="s">
        <v>35</v>
      </c>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row>
    <row r="2" spans="1:125" s="13" customFormat="1" ht="113.25" customHeight="1" x14ac:dyDescent="0.25">
      <c r="A2" s="1493">
        <v>46132</v>
      </c>
      <c r="B2" s="1345" t="s">
        <v>36</v>
      </c>
      <c r="C2" s="1345" t="s">
        <v>37</v>
      </c>
      <c r="D2" s="1345" t="s">
        <v>38</v>
      </c>
      <c r="E2" s="1368" t="s">
        <v>39</v>
      </c>
      <c r="F2" s="1430">
        <v>1</v>
      </c>
      <c r="G2" s="1363"/>
      <c r="H2" s="1363"/>
      <c r="I2" s="44" t="s">
        <v>9866</v>
      </c>
      <c r="J2" s="1365">
        <v>70</v>
      </c>
      <c r="K2" s="1346" t="s">
        <v>40</v>
      </c>
      <c r="L2" s="1459" t="s">
        <v>41</v>
      </c>
      <c r="M2" s="1368" t="s">
        <v>42</v>
      </c>
      <c r="N2" s="48" t="s">
        <v>43</v>
      </c>
      <c r="O2" s="1370" t="s">
        <v>44</v>
      </c>
      <c r="P2" s="1447" t="s">
        <v>45</v>
      </c>
      <c r="Q2" s="1370" t="s">
        <v>46</v>
      </c>
      <c r="R2" s="1371">
        <v>34</v>
      </c>
      <c r="S2" s="1371">
        <v>67</v>
      </c>
      <c r="T2" s="1372" t="s">
        <v>47</v>
      </c>
      <c r="U2" s="1372">
        <v>5</v>
      </c>
      <c r="V2" s="1373">
        <f t="shared" ref="V2:V33" si="0">U2*J2</f>
        <v>350</v>
      </c>
      <c r="W2" s="1372" t="s">
        <v>48</v>
      </c>
      <c r="X2" s="1416" t="s">
        <v>49</v>
      </c>
      <c r="Y2" s="1375" t="s">
        <v>50</v>
      </c>
      <c r="Z2" s="32" t="s">
        <v>51</v>
      </c>
      <c r="AA2" s="1418" t="s">
        <v>52</v>
      </c>
      <c r="AB2" s="1378" t="s">
        <v>53</v>
      </c>
      <c r="AC2" s="1379">
        <v>7091</v>
      </c>
      <c r="AD2" s="1413"/>
      <c r="AE2" s="1347" t="s">
        <v>54</v>
      </c>
      <c r="AF2" s="1380" t="s">
        <v>55</v>
      </c>
      <c r="AG2" s="1380" t="s">
        <v>56</v>
      </c>
      <c r="AH2" s="1380" t="s">
        <v>56</v>
      </c>
      <c r="AI2" s="37" t="s">
        <v>57</v>
      </c>
      <c r="AJ2" s="1380" t="s">
        <v>56</v>
      </c>
      <c r="AK2" s="1380" t="s">
        <v>58</v>
      </c>
      <c r="AL2" s="66"/>
      <c r="AM2" s="66">
        <v>2</v>
      </c>
      <c r="AN2" s="1504">
        <v>46100</v>
      </c>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row>
    <row r="3" spans="1:125" s="13" customFormat="1" ht="113.25" customHeight="1" x14ac:dyDescent="0.25">
      <c r="A3" s="1493">
        <v>46132</v>
      </c>
      <c r="B3" s="1348" t="s">
        <v>59</v>
      </c>
      <c r="C3" s="1345" t="s">
        <v>60</v>
      </c>
      <c r="D3" s="1345"/>
      <c r="E3" s="1368" t="s">
        <v>39</v>
      </c>
      <c r="F3" s="1405">
        <v>2</v>
      </c>
      <c r="G3" s="1363"/>
      <c r="H3" s="1363"/>
      <c r="I3" s="69" t="s">
        <v>61</v>
      </c>
      <c r="J3" s="1365">
        <v>190</v>
      </c>
      <c r="K3" s="1346" t="s">
        <v>62</v>
      </c>
      <c r="L3" s="1367" t="s">
        <v>63</v>
      </c>
      <c r="M3" s="42" t="s">
        <v>42</v>
      </c>
      <c r="N3" s="48" t="s">
        <v>64</v>
      </c>
      <c r="O3" s="1370"/>
      <c r="P3" s="1370" t="s">
        <v>65</v>
      </c>
      <c r="Q3" s="1370" t="s">
        <v>66</v>
      </c>
      <c r="R3" s="1371">
        <v>86</v>
      </c>
      <c r="S3" s="1371">
        <v>177</v>
      </c>
      <c r="T3" s="1372" t="s">
        <v>67</v>
      </c>
      <c r="U3" s="1372">
        <v>4</v>
      </c>
      <c r="V3" s="1438">
        <f t="shared" si="0"/>
        <v>760</v>
      </c>
      <c r="W3" s="1372" t="s">
        <v>68</v>
      </c>
      <c r="X3" s="1416" t="s">
        <v>69</v>
      </c>
      <c r="Y3" s="1417" t="s">
        <v>70</v>
      </c>
      <c r="Z3" s="32" t="s">
        <v>51</v>
      </c>
      <c r="AA3" s="1418" t="s">
        <v>71</v>
      </c>
      <c r="AB3" s="1378" t="s">
        <v>72</v>
      </c>
      <c r="AC3" s="1379">
        <v>9091.5</v>
      </c>
      <c r="AD3" s="1413"/>
      <c r="AE3" s="67" t="s">
        <v>73</v>
      </c>
      <c r="AF3" s="38" t="s">
        <v>55</v>
      </c>
      <c r="AG3" s="1380" t="s">
        <v>56</v>
      </c>
      <c r="AH3" s="1380" t="s">
        <v>56</v>
      </c>
      <c r="AI3" s="1380"/>
      <c r="AJ3" s="1380" t="s">
        <v>56</v>
      </c>
      <c r="AK3" s="1380" t="s">
        <v>74</v>
      </c>
      <c r="AL3" s="1419"/>
      <c r="AM3" s="1413">
        <v>1</v>
      </c>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row>
    <row r="4" spans="1:125" s="13" customFormat="1" ht="113.25" customHeight="1" x14ac:dyDescent="0.25">
      <c r="A4" s="1493">
        <v>46132</v>
      </c>
      <c r="B4" s="1345" t="s">
        <v>75</v>
      </c>
      <c r="C4" s="1345" t="s">
        <v>76</v>
      </c>
      <c r="D4" s="1345"/>
      <c r="E4" s="1368" t="s">
        <v>39</v>
      </c>
      <c r="F4" s="1430">
        <v>1</v>
      </c>
      <c r="G4" s="1363"/>
      <c r="H4" s="1363"/>
      <c r="I4" s="44" t="s">
        <v>77</v>
      </c>
      <c r="J4" s="1365">
        <v>50</v>
      </c>
      <c r="K4" s="1346" t="s">
        <v>40</v>
      </c>
      <c r="L4" s="1459" t="s">
        <v>41</v>
      </c>
      <c r="M4" s="1368" t="s">
        <v>42</v>
      </c>
      <c r="N4" s="48" t="s">
        <v>78</v>
      </c>
      <c r="O4" s="1370"/>
      <c r="P4" s="1370" t="s">
        <v>79</v>
      </c>
      <c r="Q4" s="1370" t="s">
        <v>80</v>
      </c>
      <c r="R4" s="50">
        <v>19</v>
      </c>
      <c r="S4" s="50">
        <v>32</v>
      </c>
      <c r="T4" s="51" t="s">
        <v>67</v>
      </c>
      <c r="U4" s="51">
        <v>1</v>
      </c>
      <c r="V4" s="1373">
        <f t="shared" si="0"/>
        <v>50</v>
      </c>
      <c r="W4" s="1372" t="s">
        <v>48</v>
      </c>
      <c r="X4" s="1416" t="s">
        <v>81</v>
      </c>
      <c r="Y4" s="1417" t="s">
        <v>82</v>
      </c>
      <c r="Z4" s="32" t="s">
        <v>51</v>
      </c>
      <c r="AA4" s="1418" t="s">
        <v>83</v>
      </c>
      <c r="AB4" s="1378" t="s">
        <v>84</v>
      </c>
      <c r="AC4" s="1379">
        <v>2227.5</v>
      </c>
      <c r="AD4" s="1413"/>
      <c r="AE4" s="67" t="s">
        <v>85</v>
      </c>
      <c r="AF4" s="1380" t="s">
        <v>55</v>
      </c>
      <c r="AG4" s="1380" t="s">
        <v>56</v>
      </c>
      <c r="AH4" s="1380" t="s">
        <v>86</v>
      </c>
      <c r="AI4" s="1347" t="s">
        <v>87</v>
      </c>
      <c r="AJ4" s="38" t="s">
        <v>56</v>
      </c>
      <c r="AK4" s="1380" t="s">
        <v>74</v>
      </c>
      <c r="AL4" s="66"/>
      <c r="AM4" s="66">
        <v>10</v>
      </c>
      <c r="AN4" s="1504">
        <v>46126</v>
      </c>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row>
    <row r="5" spans="1:125" s="13" customFormat="1" ht="113.25" customHeight="1" x14ac:dyDescent="0.25">
      <c r="A5" s="1493">
        <v>46132</v>
      </c>
      <c r="B5" s="82" t="s">
        <v>88</v>
      </c>
      <c r="C5" s="82" t="s">
        <v>89</v>
      </c>
      <c r="D5" s="1345" t="s">
        <v>90</v>
      </c>
      <c r="E5" s="42" t="s">
        <v>39</v>
      </c>
      <c r="F5" s="1405">
        <v>2</v>
      </c>
      <c r="G5" s="43"/>
      <c r="H5" s="43"/>
      <c r="I5" s="44" t="s">
        <v>91</v>
      </c>
      <c r="J5" s="45">
        <v>54</v>
      </c>
      <c r="K5" s="1346" t="s">
        <v>92</v>
      </c>
      <c r="L5" s="47" t="s">
        <v>63</v>
      </c>
      <c r="M5" s="47" t="s">
        <v>42</v>
      </c>
      <c r="N5" s="48" t="s">
        <v>93</v>
      </c>
      <c r="O5" s="49"/>
      <c r="P5" s="49" t="s">
        <v>94</v>
      </c>
      <c r="Q5" s="49" t="s">
        <v>95</v>
      </c>
      <c r="R5" s="50">
        <v>12</v>
      </c>
      <c r="S5" s="50">
        <v>53</v>
      </c>
      <c r="T5" s="51" t="s">
        <v>96</v>
      </c>
      <c r="U5" s="51">
        <v>12</v>
      </c>
      <c r="V5" s="75">
        <f t="shared" si="0"/>
        <v>648</v>
      </c>
      <c r="W5" s="51" t="s">
        <v>97</v>
      </c>
      <c r="X5" s="30" t="s">
        <v>98</v>
      </c>
      <c r="Y5" s="64" t="s">
        <v>99</v>
      </c>
      <c r="Z5" s="32" t="s">
        <v>51</v>
      </c>
      <c r="AA5" s="33" t="s">
        <v>100</v>
      </c>
      <c r="AB5" s="65" t="s">
        <v>101</v>
      </c>
      <c r="AC5" s="35">
        <v>2689.2</v>
      </c>
      <c r="AD5" s="66"/>
      <c r="AE5" s="67" t="s">
        <v>85</v>
      </c>
      <c r="AF5" s="38"/>
      <c r="AG5" s="38" t="s">
        <v>56</v>
      </c>
      <c r="AH5" s="38" t="s">
        <v>102</v>
      </c>
      <c r="AI5" s="38"/>
      <c r="AJ5" s="38" t="s">
        <v>56</v>
      </c>
      <c r="AK5" s="38" t="s">
        <v>74</v>
      </c>
      <c r="AL5" s="68"/>
      <c r="AM5" s="66">
        <v>1</v>
      </c>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c r="DD5" s="66"/>
      <c r="DE5" s="66"/>
      <c r="DF5" s="66"/>
      <c r="DG5" s="66"/>
      <c r="DH5" s="66"/>
      <c r="DI5" s="66"/>
      <c r="DJ5" s="66"/>
      <c r="DK5" s="66"/>
      <c r="DL5" s="66"/>
      <c r="DM5" s="66"/>
      <c r="DN5" s="66"/>
      <c r="DO5" s="66"/>
      <c r="DP5" s="66"/>
      <c r="DQ5" s="66"/>
      <c r="DR5" s="66"/>
      <c r="DS5" s="66"/>
      <c r="DT5" s="66"/>
      <c r="DU5" s="66"/>
    </row>
    <row r="6" spans="1:125" s="13" customFormat="1" ht="113.25" customHeight="1" x14ac:dyDescent="0.25">
      <c r="A6" s="1493">
        <v>46129</v>
      </c>
      <c r="B6" s="1345" t="s">
        <v>103</v>
      </c>
      <c r="C6" s="1501" t="s">
        <v>104</v>
      </c>
      <c r="D6" s="1458" t="s">
        <v>105</v>
      </c>
      <c r="E6" s="1368" t="s">
        <v>39</v>
      </c>
      <c r="F6" s="1363"/>
      <c r="G6" s="1430">
        <v>1</v>
      </c>
      <c r="H6" s="1363"/>
      <c r="I6" s="44" t="s">
        <v>106</v>
      </c>
      <c r="J6" s="1365">
        <v>21</v>
      </c>
      <c r="K6" s="1346" t="s">
        <v>107</v>
      </c>
      <c r="L6" s="1367" t="s">
        <v>63</v>
      </c>
      <c r="M6" s="1368" t="s">
        <v>42</v>
      </c>
      <c r="N6" s="48" t="s">
        <v>108</v>
      </c>
      <c r="O6" s="1370"/>
      <c r="P6" s="1370" t="s">
        <v>109</v>
      </c>
      <c r="Q6" s="1370" t="s">
        <v>110</v>
      </c>
      <c r="R6" s="1371">
        <v>35</v>
      </c>
      <c r="S6" s="1371">
        <v>65</v>
      </c>
      <c r="T6" s="1372" t="s">
        <v>67</v>
      </c>
      <c r="U6" s="1372">
        <v>11</v>
      </c>
      <c r="V6" s="1438">
        <f t="shared" si="0"/>
        <v>231</v>
      </c>
      <c r="W6" s="1372" t="s">
        <v>68</v>
      </c>
      <c r="X6" s="1416" t="s">
        <v>111</v>
      </c>
      <c r="Y6" s="1417" t="s">
        <v>70</v>
      </c>
      <c r="Z6" s="1393" t="s">
        <v>51</v>
      </c>
      <c r="AA6" s="1418" t="s">
        <v>83</v>
      </c>
      <c r="AB6" s="1378" t="s">
        <v>112</v>
      </c>
      <c r="AC6" s="1379">
        <f>14679*J6/350+2205+895+1500</f>
        <v>5480.74</v>
      </c>
      <c r="AD6" s="1413"/>
      <c r="AE6" s="67" t="s">
        <v>73</v>
      </c>
      <c r="AF6" s="38" t="s">
        <v>55</v>
      </c>
      <c r="AG6" s="1380" t="s">
        <v>56</v>
      </c>
      <c r="AH6" s="1380" t="s">
        <v>56</v>
      </c>
      <c r="AI6" s="1380" t="s">
        <v>87</v>
      </c>
      <c r="AJ6" s="66"/>
      <c r="AK6" s="66"/>
      <c r="AL6" s="39" t="s">
        <v>113</v>
      </c>
      <c r="AM6" s="1502">
        <v>1</v>
      </c>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c r="CY6" s="66"/>
      <c r="CZ6" s="66"/>
      <c r="DA6" s="66"/>
      <c r="DB6" s="66"/>
      <c r="DC6" s="66"/>
      <c r="DD6" s="66"/>
      <c r="DE6" s="66"/>
      <c r="DF6" s="66"/>
      <c r="DG6" s="66"/>
      <c r="DH6" s="66"/>
      <c r="DI6" s="66"/>
      <c r="DJ6" s="66"/>
      <c r="DK6" s="66"/>
      <c r="DL6" s="66"/>
      <c r="DM6" s="66"/>
      <c r="DN6" s="66"/>
      <c r="DO6" s="66"/>
      <c r="DP6" s="66"/>
      <c r="DQ6" s="66"/>
      <c r="DR6" s="66"/>
      <c r="DS6" s="66"/>
      <c r="DT6" s="66"/>
      <c r="DU6" s="66"/>
    </row>
    <row r="7" spans="1:125" s="13" customFormat="1" ht="113.25" customHeight="1" x14ac:dyDescent="0.25">
      <c r="A7" s="1493">
        <v>46129</v>
      </c>
      <c r="B7" s="1345" t="s">
        <v>114</v>
      </c>
      <c r="C7" s="1345" t="s">
        <v>115</v>
      </c>
      <c r="D7" s="1345"/>
      <c r="E7" s="1368" t="s">
        <v>39</v>
      </c>
      <c r="F7" s="1430">
        <v>1</v>
      </c>
      <c r="G7" s="1363"/>
      <c r="H7" s="1363"/>
      <c r="I7" s="44" t="s">
        <v>116</v>
      </c>
      <c r="J7" s="1365">
        <v>70</v>
      </c>
      <c r="K7" s="1503" t="s">
        <v>117</v>
      </c>
      <c r="L7" s="1367" t="s">
        <v>63</v>
      </c>
      <c r="M7" s="1368" t="s">
        <v>55</v>
      </c>
      <c r="N7" s="1344" t="s">
        <v>118</v>
      </c>
      <c r="O7" s="1370"/>
      <c r="P7" s="1370" t="s">
        <v>119</v>
      </c>
      <c r="Q7" s="1370" t="s">
        <v>44</v>
      </c>
      <c r="R7" s="1371">
        <v>33</v>
      </c>
      <c r="S7" s="1371">
        <v>61</v>
      </c>
      <c r="T7" s="1372" t="s">
        <v>67</v>
      </c>
      <c r="U7" s="1372">
        <v>6</v>
      </c>
      <c r="V7" s="1438">
        <f t="shared" si="0"/>
        <v>420</v>
      </c>
      <c r="W7" s="1372" t="s">
        <v>68</v>
      </c>
      <c r="X7" s="1416" t="s">
        <v>111</v>
      </c>
      <c r="Y7" s="1417" t="s">
        <v>70</v>
      </c>
      <c r="Z7" s="1393" t="s">
        <v>51</v>
      </c>
      <c r="AA7" s="1418" t="s">
        <v>120</v>
      </c>
      <c r="AB7" s="1378" t="s">
        <v>121</v>
      </c>
      <c r="AC7" s="1379">
        <f>8758.5*J7/350+880+1800</f>
        <v>4431.7</v>
      </c>
      <c r="AD7" s="1413"/>
      <c r="AE7" s="67" t="s">
        <v>73</v>
      </c>
      <c r="AF7" s="38" t="s">
        <v>55</v>
      </c>
      <c r="AG7" s="1380" t="s">
        <v>56</v>
      </c>
      <c r="AH7" s="1380" t="s">
        <v>56</v>
      </c>
      <c r="AI7" s="1380" t="s">
        <v>87</v>
      </c>
      <c r="AJ7" s="66"/>
      <c r="AK7" s="66"/>
      <c r="AL7" s="66"/>
      <c r="AM7" s="66">
        <v>2</v>
      </c>
      <c r="AN7" s="1504">
        <v>46126</v>
      </c>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c r="CY7" s="66"/>
      <c r="CZ7" s="66"/>
      <c r="DA7" s="66"/>
      <c r="DB7" s="66"/>
      <c r="DC7" s="66"/>
      <c r="DD7" s="66"/>
      <c r="DE7" s="66"/>
      <c r="DF7" s="66"/>
      <c r="DG7" s="66"/>
      <c r="DH7" s="66"/>
      <c r="DI7" s="66"/>
      <c r="DJ7" s="66"/>
      <c r="DK7" s="66"/>
      <c r="DL7" s="66"/>
      <c r="DM7" s="66"/>
      <c r="DN7" s="66"/>
      <c r="DO7" s="66"/>
      <c r="DP7" s="66"/>
      <c r="DQ7" s="66"/>
      <c r="DR7" s="66"/>
      <c r="DS7" s="66"/>
      <c r="DT7" s="66"/>
      <c r="DU7" s="66"/>
    </row>
    <row r="8" spans="1:125" s="13" customFormat="1" ht="113.25" customHeight="1" x14ac:dyDescent="0.25">
      <c r="A8" s="1493">
        <v>46129</v>
      </c>
      <c r="B8" s="1412" t="s">
        <v>122</v>
      </c>
      <c r="C8" s="1412" t="s">
        <v>123</v>
      </c>
      <c r="D8" s="1412" t="s">
        <v>124</v>
      </c>
      <c r="E8" s="1427" t="s">
        <v>39</v>
      </c>
      <c r="F8" s="1430">
        <v>1</v>
      </c>
      <c r="G8" s="1449"/>
      <c r="H8" s="1449"/>
      <c r="I8" s="44" t="s">
        <v>125</v>
      </c>
      <c r="J8" s="1450">
        <v>50</v>
      </c>
      <c r="K8" s="1425" t="s">
        <v>126</v>
      </c>
      <c r="L8" s="1453" t="s">
        <v>63</v>
      </c>
      <c r="M8" s="1451" t="s">
        <v>42</v>
      </c>
      <c r="N8" s="1426" t="s">
        <v>127</v>
      </c>
      <c r="O8" s="1452" t="s">
        <v>128</v>
      </c>
      <c r="P8" s="1452" t="s">
        <v>129</v>
      </c>
      <c r="Q8" s="1452" t="s">
        <v>130</v>
      </c>
      <c r="R8" s="1453">
        <v>26</v>
      </c>
      <c r="S8" s="1453">
        <v>43</v>
      </c>
      <c r="T8" s="1427" t="s">
        <v>47</v>
      </c>
      <c r="U8" s="1427">
        <v>0</v>
      </c>
      <c r="V8" s="1457">
        <f t="shared" si="0"/>
        <v>0</v>
      </c>
      <c r="W8" s="1427" t="s">
        <v>48</v>
      </c>
      <c r="X8" s="1416" t="s">
        <v>131</v>
      </c>
      <c r="Y8" s="1417" t="s">
        <v>50</v>
      </c>
      <c r="Z8" s="32" t="s">
        <v>51</v>
      </c>
      <c r="AA8" s="1418" t="s">
        <v>83</v>
      </c>
      <c r="AB8" s="1378" t="s">
        <v>132</v>
      </c>
      <c r="AC8" s="1379">
        <f>6970+850</f>
        <v>7820</v>
      </c>
      <c r="AD8" s="1413"/>
      <c r="AE8" s="67" t="s">
        <v>73</v>
      </c>
      <c r="AF8" s="38" t="s">
        <v>55</v>
      </c>
      <c r="AG8" s="1380" t="s">
        <v>56</v>
      </c>
      <c r="AH8" s="1380" t="s">
        <v>56</v>
      </c>
      <c r="AI8" s="37" t="s">
        <v>57</v>
      </c>
      <c r="AJ8" s="66"/>
      <c r="AK8" s="66"/>
      <c r="AL8" s="66"/>
      <c r="AM8" s="66">
        <v>1</v>
      </c>
      <c r="AN8" s="1504">
        <v>46126</v>
      </c>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row>
    <row r="9" spans="1:125" s="13" customFormat="1" ht="113.25" customHeight="1" x14ac:dyDescent="0.25">
      <c r="A9" s="1493">
        <v>46129</v>
      </c>
      <c r="B9" s="1348" t="s">
        <v>133</v>
      </c>
      <c r="C9" s="1348" t="s">
        <v>134</v>
      </c>
      <c r="D9" s="1345"/>
      <c r="E9" s="1368" t="s">
        <v>39</v>
      </c>
      <c r="F9" s="1363"/>
      <c r="G9" s="1430">
        <v>1</v>
      </c>
      <c r="H9" s="1363"/>
      <c r="I9" s="20" t="s">
        <v>135</v>
      </c>
      <c r="J9" s="1365">
        <v>30</v>
      </c>
      <c r="K9" s="1346" t="s">
        <v>136</v>
      </c>
      <c r="L9" s="1459" t="s">
        <v>41</v>
      </c>
      <c r="M9" s="1368" t="s">
        <v>55</v>
      </c>
      <c r="N9" s="48" t="s">
        <v>137</v>
      </c>
      <c r="O9" s="1370" t="s">
        <v>138</v>
      </c>
      <c r="P9" s="1370" t="s">
        <v>139</v>
      </c>
      <c r="Q9" s="1370" t="s">
        <v>140</v>
      </c>
      <c r="R9" s="1446">
        <v>149</v>
      </c>
      <c r="S9" s="1446">
        <v>1027</v>
      </c>
      <c r="T9" s="1372" t="s">
        <v>141</v>
      </c>
      <c r="U9" s="1372">
        <v>2</v>
      </c>
      <c r="V9" s="1373">
        <f t="shared" si="0"/>
        <v>60</v>
      </c>
      <c r="W9" s="1372" t="s">
        <v>142</v>
      </c>
      <c r="X9" s="1416" t="s">
        <v>143</v>
      </c>
      <c r="Y9" s="1417" t="s">
        <v>144</v>
      </c>
      <c r="Z9" s="32" t="s">
        <v>145</v>
      </c>
      <c r="AA9" s="1418" t="s">
        <v>146</v>
      </c>
      <c r="AB9" s="1378" t="s">
        <v>147</v>
      </c>
      <c r="AC9" s="1379">
        <v>17300</v>
      </c>
      <c r="AD9" s="1413"/>
      <c r="AE9" s="67" t="s">
        <v>148</v>
      </c>
      <c r="AF9" s="1380" t="s">
        <v>55</v>
      </c>
      <c r="AG9" s="1380" t="s">
        <v>56</v>
      </c>
      <c r="AH9" s="1380" t="s">
        <v>56</v>
      </c>
      <c r="AI9" s="37" t="s">
        <v>57</v>
      </c>
      <c r="AJ9" s="38" t="s">
        <v>56</v>
      </c>
      <c r="AK9" s="1380" t="s">
        <v>149</v>
      </c>
      <c r="AL9" s="1419"/>
      <c r="AM9" s="66">
        <v>2</v>
      </c>
      <c r="AN9" s="1504"/>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row>
    <row r="10" spans="1:125" s="13" customFormat="1" ht="113.25" customHeight="1" x14ac:dyDescent="0.25">
      <c r="A10" s="1493">
        <v>46129</v>
      </c>
      <c r="B10" s="1345" t="s">
        <v>150</v>
      </c>
      <c r="C10" s="1345" t="s">
        <v>151</v>
      </c>
      <c r="D10" s="1345" t="s">
        <v>152</v>
      </c>
      <c r="E10" s="1368" t="s">
        <v>39</v>
      </c>
      <c r="F10" s="1430">
        <v>3</v>
      </c>
      <c r="G10" s="1363"/>
      <c r="H10" s="1363"/>
      <c r="I10" s="20" t="s">
        <v>153</v>
      </c>
      <c r="J10" s="1365">
        <v>5</v>
      </c>
      <c r="K10" s="1346" t="s">
        <v>136</v>
      </c>
      <c r="L10" s="1367" t="s">
        <v>63</v>
      </c>
      <c r="M10" s="1368" t="s">
        <v>55</v>
      </c>
      <c r="N10" s="48" t="s">
        <v>154</v>
      </c>
      <c r="O10" s="1370" t="s">
        <v>155</v>
      </c>
      <c r="P10" s="1370" t="s">
        <v>156</v>
      </c>
      <c r="Q10" s="1370" t="s">
        <v>157</v>
      </c>
      <c r="R10" s="1371">
        <v>69</v>
      </c>
      <c r="S10" s="1371">
        <v>257</v>
      </c>
      <c r="T10" s="1372" t="s">
        <v>158</v>
      </c>
      <c r="U10" s="1372">
        <v>38</v>
      </c>
      <c r="V10" s="1373">
        <f t="shared" si="0"/>
        <v>190</v>
      </c>
      <c r="W10" s="1372" t="s">
        <v>159</v>
      </c>
      <c r="X10" s="1416" t="s">
        <v>160</v>
      </c>
      <c r="Y10" s="1417" t="s">
        <v>50</v>
      </c>
      <c r="Z10" s="1393" t="s">
        <v>51</v>
      </c>
      <c r="AA10" s="1418" t="s">
        <v>83</v>
      </c>
      <c r="AB10" s="1378" t="s">
        <v>132</v>
      </c>
      <c r="AC10" s="1379">
        <v>8571.75</v>
      </c>
      <c r="AD10" s="1413"/>
      <c r="AE10" s="67" t="s">
        <v>73</v>
      </c>
      <c r="AF10" s="38" t="s">
        <v>55</v>
      </c>
      <c r="AG10" s="1380" t="s">
        <v>56</v>
      </c>
      <c r="AH10" s="1380" t="s">
        <v>86</v>
      </c>
      <c r="AI10" s="1380" t="s">
        <v>87</v>
      </c>
      <c r="AJ10" s="66"/>
      <c r="AK10" s="66"/>
      <c r="AL10" s="66"/>
      <c r="AM10" s="66">
        <v>1</v>
      </c>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row>
    <row r="11" spans="1:125" s="13" customFormat="1" ht="150" x14ac:dyDescent="0.25">
      <c r="A11" s="1493">
        <v>46128</v>
      </c>
      <c r="B11" s="1348" t="s">
        <v>161</v>
      </c>
      <c r="C11" s="82" t="s">
        <v>162</v>
      </c>
      <c r="D11" s="1345" t="s">
        <v>163</v>
      </c>
      <c r="E11" s="42" t="s">
        <v>39</v>
      </c>
      <c r="F11" s="1430">
        <v>1</v>
      </c>
      <c r="G11" s="43"/>
      <c r="H11" s="43"/>
      <c r="I11" s="44" t="s">
        <v>164</v>
      </c>
      <c r="J11" s="45">
        <v>52</v>
      </c>
      <c r="K11" s="1346" t="s">
        <v>165</v>
      </c>
      <c r="L11" s="47" t="s">
        <v>63</v>
      </c>
      <c r="M11" s="42" t="s">
        <v>42</v>
      </c>
      <c r="N11" s="48" t="s">
        <v>166</v>
      </c>
      <c r="O11" s="49" t="s">
        <v>167</v>
      </c>
      <c r="P11" s="49" t="s">
        <v>168</v>
      </c>
      <c r="Q11" s="49" t="s">
        <v>169</v>
      </c>
      <c r="R11" s="50">
        <v>31</v>
      </c>
      <c r="S11" s="50">
        <v>376</v>
      </c>
      <c r="T11" s="51" t="s">
        <v>47</v>
      </c>
      <c r="U11" s="51">
        <v>6</v>
      </c>
      <c r="V11" s="52">
        <f t="shared" si="0"/>
        <v>312</v>
      </c>
      <c r="W11" s="51" t="s">
        <v>97</v>
      </c>
      <c r="X11" s="30" t="s">
        <v>98</v>
      </c>
      <c r="Y11" s="31" t="s">
        <v>99</v>
      </c>
      <c r="Z11" s="32" t="s">
        <v>51</v>
      </c>
      <c r="AA11" s="33" t="s">
        <v>83</v>
      </c>
      <c r="AB11" s="65" t="s">
        <v>170</v>
      </c>
      <c r="AC11" s="35">
        <v>7679.6</v>
      </c>
      <c r="AD11" s="36"/>
      <c r="AE11" s="67" t="s">
        <v>148</v>
      </c>
      <c r="AF11" s="38" t="s">
        <v>42</v>
      </c>
      <c r="AG11" s="38" t="s">
        <v>56</v>
      </c>
      <c r="AH11" s="38" t="s">
        <v>171</v>
      </c>
      <c r="AI11" s="38"/>
      <c r="AJ11" s="38"/>
      <c r="AK11" s="38"/>
      <c r="AL11" s="38"/>
      <c r="AM11" s="36">
        <v>1</v>
      </c>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36"/>
      <c r="CG11" s="36"/>
      <c r="CH11" s="36"/>
      <c r="CI11" s="36"/>
      <c r="CJ11" s="36"/>
      <c r="CK11" s="36"/>
      <c r="CL11" s="36"/>
      <c r="CM11" s="36"/>
      <c r="CN11" s="36"/>
      <c r="CO11" s="36"/>
      <c r="CP11" s="36"/>
      <c r="CQ11" s="36"/>
      <c r="CR11" s="36"/>
      <c r="CS11" s="36"/>
      <c r="CT11" s="36"/>
      <c r="CU11" s="36"/>
      <c r="CV11" s="36"/>
      <c r="CW11" s="36"/>
      <c r="CX11" s="36"/>
      <c r="CY11" s="36"/>
      <c r="CZ11" s="36"/>
      <c r="DA11" s="36"/>
      <c r="DB11" s="36"/>
      <c r="DC11" s="36"/>
      <c r="DD11" s="36"/>
      <c r="DE11" s="36"/>
      <c r="DF11" s="36"/>
      <c r="DG11" s="36"/>
      <c r="DH11" s="36"/>
      <c r="DI11" s="36"/>
      <c r="DJ11" s="36"/>
      <c r="DK11" s="36"/>
      <c r="DL11" s="36"/>
      <c r="DM11" s="36"/>
      <c r="DN11" s="36"/>
      <c r="DO11" s="36"/>
      <c r="DP11" s="36"/>
      <c r="DQ11" s="36"/>
      <c r="DR11" s="36"/>
      <c r="DS11" s="36"/>
      <c r="DT11" s="36"/>
      <c r="DU11" s="36"/>
    </row>
    <row r="12" spans="1:125" s="13" customFormat="1" ht="113.25" customHeight="1" x14ac:dyDescent="0.25">
      <c r="A12" s="1493">
        <v>46128</v>
      </c>
      <c r="B12" s="1345" t="s">
        <v>172</v>
      </c>
      <c r="C12" s="1345" t="s">
        <v>173</v>
      </c>
      <c r="D12" s="1345" t="s">
        <v>174</v>
      </c>
      <c r="E12" s="1368" t="s">
        <v>39</v>
      </c>
      <c r="F12" s="1430">
        <v>1</v>
      </c>
      <c r="G12" s="1363"/>
      <c r="H12" s="1363"/>
      <c r="I12" s="44" t="s">
        <v>175</v>
      </c>
      <c r="J12" s="1365">
        <v>108</v>
      </c>
      <c r="K12" s="1346" t="s">
        <v>176</v>
      </c>
      <c r="L12" s="1459" t="s">
        <v>41</v>
      </c>
      <c r="M12" s="1368" t="s">
        <v>42</v>
      </c>
      <c r="N12" s="48" t="s">
        <v>177</v>
      </c>
      <c r="O12" s="1370" t="s">
        <v>178</v>
      </c>
      <c r="P12" s="1370" t="s">
        <v>179</v>
      </c>
      <c r="Q12" s="1370" t="s">
        <v>109</v>
      </c>
      <c r="R12" s="1371">
        <v>68</v>
      </c>
      <c r="S12" s="1371">
        <v>255</v>
      </c>
      <c r="T12" s="1372" t="s">
        <v>180</v>
      </c>
      <c r="U12" s="1372">
        <v>3</v>
      </c>
      <c r="V12" s="1373">
        <f t="shared" si="0"/>
        <v>324</v>
      </c>
      <c r="W12" s="1372" t="s">
        <v>142</v>
      </c>
      <c r="X12" s="1416" t="s">
        <v>181</v>
      </c>
      <c r="Y12" s="1417" t="s">
        <v>99</v>
      </c>
      <c r="Z12" s="1393" t="s">
        <v>51</v>
      </c>
      <c r="AA12" s="1418" t="s">
        <v>83</v>
      </c>
      <c r="AB12" s="1378" t="s">
        <v>182</v>
      </c>
      <c r="AC12" s="1379">
        <v>11604.6</v>
      </c>
      <c r="AD12" s="1413"/>
      <c r="AE12" s="67" t="s">
        <v>73</v>
      </c>
      <c r="AF12" s="1380" t="s">
        <v>55</v>
      </c>
      <c r="AG12" s="1380" t="s">
        <v>56</v>
      </c>
      <c r="AH12" s="1380" t="s">
        <v>56</v>
      </c>
      <c r="AI12" s="1380" t="s">
        <v>87</v>
      </c>
      <c r="AJ12" s="1380" t="s">
        <v>56</v>
      </c>
      <c r="AK12" s="1380" t="s">
        <v>149</v>
      </c>
      <c r="AL12" s="66"/>
      <c r="AM12" s="66">
        <v>1</v>
      </c>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row>
    <row r="13" spans="1:125" s="13" customFormat="1" ht="113.25" customHeight="1" x14ac:dyDescent="0.25">
      <c r="A13" s="1493">
        <v>46128</v>
      </c>
      <c r="B13" s="1348" t="s">
        <v>183</v>
      </c>
      <c r="C13" s="1348" t="s">
        <v>184</v>
      </c>
      <c r="D13" s="1345"/>
      <c r="E13" s="1368" t="s">
        <v>39</v>
      </c>
      <c r="F13" s="1363"/>
      <c r="G13" s="1430">
        <v>1</v>
      </c>
      <c r="H13" s="1363"/>
      <c r="I13" s="44" t="s">
        <v>185</v>
      </c>
      <c r="J13" s="1365">
        <v>330</v>
      </c>
      <c r="K13" s="1346" t="s">
        <v>176</v>
      </c>
      <c r="L13" s="1367" t="s">
        <v>63</v>
      </c>
      <c r="M13" s="42" t="s">
        <v>42</v>
      </c>
      <c r="N13" s="48" t="s">
        <v>186</v>
      </c>
      <c r="O13" s="1370" t="s">
        <v>187</v>
      </c>
      <c r="P13" s="1370" t="s">
        <v>188</v>
      </c>
      <c r="Q13" s="1370" t="s">
        <v>189</v>
      </c>
      <c r="R13" s="1371">
        <v>16</v>
      </c>
      <c r="S13" s="1371">
        <v>21</v>
      </c>
      <c r="T13" s="1372" t="s">
        <v>47</v>
      </c>
      <c r="U13" s="1372">
        <v>4</v>
      </c>
      <c r="V13" s="1438">
        <f t="shared" si="0"/>
        <v>1320</v>
      </c>
      <c r="W13" s="1372" t="s">
        <v>48</v>
      </c>
      <c r="X13" s="1416" t="s">
        <v>49</v>
      </c>
      <c r="Y13" s="1417" t="s">
        <v>50</v>
      </c>
      <c r="Z13" s="32" t="s">
        <v>51</v>
      </c>
      <c r="AA13" s="1418" t="s">
        <v>190</v>
      </c>
      <c r="AB13" s="1378" t="s">
        <v>191</v>
      </c>
      <c r="AC13" s="1379">
        <f>5949.9*J13/330+835</f>
        <v>6784.9</v>
      </c>
      <c r="AD13" s="1413"/>
      <c r="AE13" s="67" t="s">
        <v>192</v>
      </c>
      <c r="AF13" s="38" t="s">
        <v>55</v>
      </c>
      <c r="AG13" s="1380" t="s">
        <v>56</v>
      </c>
      <c r="AH13" s="1380" t="s">
        <v>56</v>
      </c>
      <c r="AI13" s="37" t="s">
        <v>87</v>
      </c>
      <c r="AJ13" s="1380"/>
      <c r="AK13" s="1380"/>
      <c r="AL13" s="1419"/>
      <c r="AM13" s="66">
        <v>6</v>
      </c>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row>
    <row r="14" spans="1:125" s="13" customFormat="1" ht="113.25" customHeight="1" x14ac:dyDescent="0.25">
      <c r="A14" s="1493">
        <v>46128</v>
      </c>
      <c r="B14" s="1345" t="s">
        <v>193</v>
      </c>
      <c r="C14" s="1345" t="s">
        <v>194</v>
      </c>
      <c r="D14" s="1345"/>
      <c r="E14" s="1368" t="s">
        <v>195</v>
      </c>
      <c r="F14" s="1363"/>
      <c r="G14" s="1363"/>
      <c r="H14" s="1363"/>
      <c r="I14" s="44" t="s">
        <v>196</v>
      </c>
      <c r="J14" s="1365">
        <v>30</v>
      </c>
      <c r="K14" s="1346" t="s">
        <v>197</v>
      </c>
      <c r="L14" s="1367" t="s">
        <v>42</v>
      </c>
      <c r="M14" s="1368" t="s">
        <v>55</v>
      </c>
      <c r="N14" s="48" t="s">
        <v>198</v>
      </c>
      <c r="O14" s="1370"/>
      <c r="P14" s="1370"/>
      <c r="Q14" s="1370"/>
      <c r="R14" s="1371">
        <v>0</v>
      </c>
      <c r="S14" s="1371">
        <v>0</v>
      </c>
      <c r="T14" s="1372">
        <v>0</v>
      </c>
      <c r="U14" s="1372">
        <v>39</v>
      </c>
      <c r="V14" s="1438">
        <f t="shared" si="0"/>
        <v>1170</v>
      </c>
      <c r="W14" s="1372" t="s">
        <v>48</v>
      </c>
      <c r="X14" s="1416" t="s">
        <v>199</v>
      </c>
      <c r="Y14" s="1375" t="s">
        <v>144</v>
      </c>
      <c r="Z14" s="32"/>
      <c r="AA14" s="1418" t="s">
        <v>200</v>
      </c>
      <c r="AB14" s="1378" t="s">
        <v>201</v>
      </c>
      <c r="AC14" s="1379">
        <v>2452.5</v>
      </c>
      <c r="AD14" s="1413"/>
      <c r="AE14" s="67" t="s">
        <v>85</v>
      </c>
      <c r="AF14" s="1380" t="s">
        <v>55</v>
      </c>
      <c r="AG14" s="1380" t="s">
        <v>56</v>
      </c>
      <c r="AH14" s="38" t="s">
        <v>56</v>
      </c>
      <c r="AI14" s="1380"/>
      <c r="AJ14" s="38" t="s">
        <v>56</v>
      </c>
      <c r="AK14" s="38"/>
      <c r="AL14" s="1419"/>
      <c r="AM14" s="1413">
        <v>1</v>
      </c>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c r="CT14" s="66"/>
      <c r="CU14" s="66"/>
      <c r="CV14" s="66"/>
      <c r="CW14" s="66"/>
      <c r="CX14" s="66"/>
      <c r="CY14" s="66"/>
      <c r="CZ14" s="66"/>
      <c r="DA14" s="66"/>
      <c r="DB14" s="66"/>
      <c r="DC14" s="66"/>
      <c r="DD14" s="66"/>
      <c r="DE14" s="66"/>
      <c r="DF14" s="66"/>
      <c r="DG14" s="66"/>
      <c r="DH14" s="66"/>
      <c r="DI14" s="66"/>
      <c r="DJ14" s="66"/>
      <c r="DK14" s="66"/>
      <c r="DL14" s="66"/>
      <c r="DM14" s="66"/>
      <c r="DN14" s="66"/>
      <c r="DO14" s="66"/>
      <c r="DP14" s="66"/>
      <c r="DQ14" s="66"/>
      <c r="DR14" s="66"/>
      <c r="DS14" s="66"/>
      <c r="DT14" s="66"/>
      <c r="DU14" s="66"/>
    </row>
    <row r="15" spans="1:125" s="13" customFormat="1" ht="113.25" customHeight="1" x14ac:dyDescent="0.25">
      <c r="A15" s="1493">
        <v>46128</v>
      </c>
      <c r="B15" s="55" t="s">
        <v>202</v>
      </c>
      <c r="C15" s="55" t="s">
        <v>203</v>
      </c>
      <c r="D15" s="55" t="s">
        <v>204</v>
      </c>
      <c r="E15" s="1403" t="s">
        <v>39</v>
      </c>
      <c r="F15" s="1430">
        <v>1</v>
      </c>
      <c r="G15" s="1404"/>
      <c r="H15" s="1404"/>
      <c r="I15" s="44" t="s">
        <v>205</v>
      </c>
      <c r="J15" s="1399">
        <v>17</v>
      </c>
      <c r="K15" s="1400" t="s">
        <v>206</v>
      </c>
      <c r="L15" s="1443" t="s">
        <v>63</v>
      </c>
      <c r="M15" s="56" t="s">
        <v>42</v>
      </c>
      <c r="N15" s="48" t="s">
        <v>207</v>
      </c>
      <c r="O15" s="1414"/>
      <c r="P15" s="1414" t="s">
        <v>208</v>
      </c>
      <c r="Q15" s="1414" t="s">
        <v>155</v>
      </c>
      <c r="R15" s="1402">
        <v>73</v>
      </c>
      <c r="S15" s="1402">
        <v>178</v>
      </c>
      <c r="T15" s="1403" t="s">
        <v>96</v>
      </c>
      <c r="U15" s="1403">
        <v>7</v>
      </c>
      <c r="V15" s="1415">
        <f t="shared" si="0"/>
        <v>119</v>
      </c>
      <c r="W15" s="1500" t="s">
        <v>209</v>
      </c>
      <c r="X15" s="1416" t="s">
        <v>210</v>
      </c>
      <c r="Y15" s="1417" t="s">
        <v>50</v>
      </c>
      <c r="Z15" s="32" t="s">
        <v>211</v>
      </c>
      <c r="AA15" s="1418" t="s">
        <v>83</v>
      </c>
      <c r="AB15" s="1378" t="s">
        <v>212</v>
      </c>
      <c r="AC15" s="1379">
        <v>24676.25</v>
      </c>
      <c r="AD15" s="1413"/>
      <c r="AE15" s="67" t="s">
        <v>85</v>
      </c>
      <c r="AF15" s="1380" t="s">
        <v>55</v>
      </c>
      <c r="AG15" s="1380" t="s">
        <v>56</v>
      </c>
      <c r="AH15" s="1380" t="s">
        <v>56</v>
      </c>
      <c r="AI15" s="1380" t="s">
        <v>87</v>
      </c>
      <c r="AJ15" s="66"/>
      <c r="AK15" s="66"/>
      <c r="AL15" s="66"/>
      <c r="AM15" s="66">
        <v>2</v>
      </c>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66"/>
      <c r="CH15" s="66"/>
      <c r="CI15" s="66"/>
      <c r="CJ15" s="66"/>
      <c r="CK15" s="66"/>
      <c r="CL15" s="66"/>
      <c r="CM15" s="66"/>
      <c r="CN15" s="66"/>
      <c r="CO15" s="66"/>
      <c r="CP15" s="66"/>
      <c r="CQ15" s="66"/>
      <c r="CR15" s="66"/>
      <c r="CS15" s="66"/>
      <c r="CT15" s="66"/>
      <c r="CU15" s="66"/>
      <c r="CV15" s="66"/>
      <c r="CW15" s="66"/>
      <c r="CX15" s="66"/>
      <c r="CY15" s="66"/>
      <c r="CZ15" s="66"/>
      <c r="DA15" s="66"/>
      <c r="DB15" s="66"/>
      <c r="DC15" s="66"/>
      <c r="DD15" s="66"/>
      <c r="DE15" s="66"/>
      <c r="DF15" s="66"/>
      <c r="DG15" s="66"/>
      <c r="DH15" s="66"/>
      <c r="DI15" s="66"/>
      <c r="DJ15" s="66"/>
      <c r="DK15" s="66"/>
      <c r="DL15" s="66"/>
      <c r="DM15" s="66"/>
      <c r="DN15" s="66"/>
      <c r="DO15" s="66"/>
      <c r="DP15" s="66"/>
      <c r="DQ15" s="66"/>
      <c r="DR15" s="66"/>
      <c r="DS15" s="66"/>
      <c r="DT15" s="66"/>
      <c r="DU15" s="66"/>
    </row>
    <row r="16" spans="1:125" s="13" customFormat="1" ht="113.25" customHeight="1" x14ac:dyDescent="0.25">
      <c r="A16" s="1493">
        <v>46127</v>
      </c>
      <c r="B16" s="41" t="s">
        <v>213</v>
      </c>
      <c r="C16" s="1345" t="s">
        <v>214</v>
      </c>
      <c r="D16" s="41" t="s">
        <v>215</v>
      </c>
      <c r="E16" s="42" t="s">
        <v>39</v>
      </c>
      <c r="F16" s="43"/>
      <c r="G16" s="1430">
        <v>4</v>
      </c>
      <c r="H16" s="43"/>
      <c r="I16" s="72" t="s">
        <v>216</v>
      </c>
      <c r="J16" s="45">
        <v>100</v>
      </c>
      <c r="K16" s="1346" t="s">
        <v>217</v>
      </c>
      <c r="L16" s="47" t="s">
        <v>63</v>
      </c>
      <c r="M16" s="42" t="s">
        <v>42</v>
      </c>
      <c r="N16" s="77" t="s">
        <v>218</v>
      </c>
      <c r="O16" s="49"/>
      <c r="P16" s="49" t="s">
        <v>219</v>
      </c>
      <c r="Q16" s="49" t="s">
        <v>220</v>
      </c>
      <c r="R16" s="50">
        <v>3</v>
      </c>
      <c r="S16" s="50">
        <v>6</v>
      </c>
      <c r="T16" s="51" t="s">
        <v>96</v>
      </c>
      <c r="U16" s="51">
        <v>0</v>
      </c>
      <c r="V16" s="52">
        <f t="shared" si="0"/>
        <v>0</v>
      </c>
      <c r="W16" s="51" t="s">
        <v>221</v>
      </c>
      <c r="X16" s="30" t="s">
        <v>222</v>
      </c>
      <c r="Y16" s="64" t="s">
        <v>82</v>
      </c>
      <c r="Z16" s="32" t="s">
        <v>223</v>
      </c>
      <c r="AA16" s="33" t="s">
        <v>224</v>
      </c>
      <c r="AB16" s="65" t="s">
        <v>225</v>
      </c>
      <c r="AC16" s="35">
        <f>3676.5*J16/215</f>
        <v>1710</v>
      </c>
      <c r="AD16" s="66"/>
      <c r="AE16" s="67" t="s">
        <v>73</v>
      </c>
      <c r="AF16" s="1380" t="s">
        <v>55</v>
      </c>
      <c r="AG16" s="1380" t="s">
        <v>56</v>
      </c>
      <c r="AH16" s="38" t="s">
        <v>86</v>
      </c>
      <c r="AI16" s="37" t="s">
        <v>87</v>
      </c>
      <c r="AJ16" s="38" t="s">
        <v>56</v>
      </c>
      <c r="AK16" s="38" t="s">
        <v>74</v>
      </c>
      <c r="AL16" s="68"/>
      <c r="AM16" s="66">
        <v>4</v>
      </c>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c r="CT16" s="66"/>
      <c r="CU16" s="66"/>
      <c r="CV16" s="66"/>
      <c r="CW16" s="66"/>
      <c r="CX16" s="66"/>
      <c r="CY16" s="66"/>
      <c r="CZ16" s="66"/>
      <c r="DA16" s="66"/>
      <c r="DB16" s="66"/>
      <c r="DC16" s="66"/>
      <c r="DD16" s="66"/>
      <c r="DE16" s="66"/>
      <c r="DF16" s="66"/>
      <c r="DG16" s="66"/>
      <c r="DH16" s="66"/>
      <c r="DI16" s="66"/>
      <c r="DJ16" s="66"/>
      <c r="DK16" s="66"/>
      <c r="DL16" s="66"/>
      <c r="DM16" s="66"/>
      <c r="DN16" s="66"/>
      <c r="DO16" s="66"/>
      <c r="DP16" s="66"/>
      <c r="DQ16" s="66"/>
      <c r="DR16" s="66"/>
      <c r="DS16" s="66"/>
      <c r="DT16" s="66"/>
      <c r="DU16" s="66"/>
    </row>
    <row r="17" spans="1:125" s="13" customFormat="1" ht="120" x14ac:dyDescent="0.25">
      <c r="A17" s="1493">
        <v>46127</v>
      </c>
      <c r="B17" s="1345" t="s">
        <v>226</v>
      </c>
      <c r="C17" s="1345" t="s">
        <v>227</v>
      </c>
      <c r="D17" s="1345"/>
      <c r="E17" s="1368" t="s">
        <v>39</v>
      </c>
      <c r="F17" s="1363"/>
      <c r="G17" s="1430">
        <v>1</v>
      </c>
      <c r="H17" s="1363"/>
      <c r="I17" s="44" t="s">
        <v>228</v>
      </c>
      <c r="J17" s="1365">
        <v>2</v>
      </c>
      <c r="K17" s="1346" t="s">
        <v>217</v>
      </c>
      <c r="L17" s="47" t="s">
        <v>63</v>
      </c>
      <c r="M17" s="1368" t="s">
        <v>55</v>
      </c>
      <c r="N17" s="48" t="s">
        <v>229</v>
      </c>
      <c r="O17" s="1370" t="s">
        <v>230</v>
      </c>
      <c r="P17" s="1370" t="s">
        <v>231</v>
      </c>
      <c r="Q17" s="1370" t="s">
        <v>178</v>
      </c>
      <c r="R17" s="1371">
        <v>23</v>
      </c>
      <c r="S17" s="1371">
        <v>322</v>
      </c>
      <c r="T17" s="1372" t="s">
        <v>47</v>
      </c>
      <c r="U17" s="1372">
        <v>8</v>
      </c>
      <c r="V17" s="1373">
        <f t="shared" si="0"/>
        <v>16</v>
      </c>
      <c r="W17" s="1372" t="s">
        <v>48</v>
      </c>
      <c r="X17" s="1416" t="s">
        <v>232</v>
      </c>
      <c r="Y17" s="1417" t="s">
        <v>50</v>
      </c>
      <c r="Z17" s="32" t="s">
        <v>51</v>
      </c>
      <c r="AA17" s="1418" t="s">
        <v>83</v>
      </c>
      <c r="AB17" s="1378" t="s">
        <v>233</v>
      </c>
      <c r="AC17" s="1379">
        <v>3070</v>
      </c>
      <c r="AD17" s="1413"/>
      <c r="AE17" s="67" t="s">
        <v>85</v>
      </c>
      <c r="AF17" s="67" t="s">
        <v>85</v>
      </c>
      <c r="AG17" s="1380" t="s">
        <v>56</v>
      </c>
      <c r="AH17" s="1380" t="s">
        <v>56</v>
      </c>
      <c r="AI17" s="1380" t="s">
        <v>87</v>
      </c>
      <c r="AJ17" s="66"/>
      <c r="AK17" s="66"/>
      <c r="AL17" s="39" t="s">
        <v>234</v>
      </c>
      <c r="AM17" s="66">
        <v>1</v>
      </c>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c r="CT17" s="66"/>
      <c r="CU17" s="66"/>
      <c r="CV17" s="66"/>
      <c r="CW17" s="66"/>
      <c r="CX17" s="66"/>
      <c r="CY17" s="66"/>
      <c r="CZ17" s="66"/>
      <c r="DA17" s="66"/>
      <c r="DB17" s="66"/>
      <c r="DC17" s="66"/>
      <c r="DD17" s="66"/>
      <c r="DE17" s="66"/>
      <c r="DF17" s="66"/>
      <c r="DG17" s="66"/>
      <c r="DH17" s="66"/>
      <c r="DI17" s="66"/>
      <c r="DJ17" s="66"/>
      <c r="DK17" s="66"/>
      <c r="DL17" s="66"/>
      <c r="DM17" s="66"/>
      <c r="DN17" s="66"/>
      <c r="DO17" s="66"/>
      <c r="DP17" s="66"/>
      <c r="DQ17" s="66"/>
      <c r="DR17" s="66"/>
      <c r="DS17" s="66"/>
      <c r="DT17" s="66"/>
      <c r="DU17" s="66"/>
    </row>
    <row r="18" spans="1:125" s="13" customFormat="1" ht="113.25" customHeight="1" x14ac:dyDescent="0.25">
      <c r="A18" s="1493">
        <v>46127</v>
      </c>
      <c r="B18" s="1345" t="s">
        <v>235</v>
      </c>
      <c r="C18" s="1345" t="s">
        <v>236</v>
      </c>
      <c r="D18" s="1345" t="s">
        <v>237</v>
      </c>
      <c r="E18" s="1368" t="s">
        <v>39</v>
      </c>
      <c r="F18" s="1430">
        <v>1</v>
      </c>
      <c r="G18" s="1363"/>
      <c r="H18" s="1363"/>
      <c r="I18" s="44" t="s">
        <v>238</v>
      </c>
      <c r="J18" s="1365">
        <v>100</v>
      </c>
      <c r="K18" s="1346" t="s">
        <v>239</v>
      </c>
      <c r="L18" s="1459" t="s">
        <v>41</v>
      </c>
      <c r="M18" s="1368" t="s">
        <v>55</v>
      </c>
      <c r="N18" s="48" t="s">
        <v>240</v>
      </c>
      <c r="O18" s="1370" t="s">
        <v>241</v>
      </c>
      <c r="P18" s="1370" t="s">
        <v>242</v>
      </c>
      <c r="Q18" s="1370" t="s">
        <v>243</v>
      </c>
      <c r="R18" s="1371">
        <v>40</v>
      </c>
      <c r="S18" s="1371">
        <v>70</v>
      </c>
      <c r="T18" s="1372" t="s">
        <v>47</v>
      </c>
      <c r="U18" s="1372">
        <v>0</v>
      </c>
      <c r="V18" s="1373">
        <f t="shared" si="0"/>
        <v>0</v>
      </c>
      <c r="W18" s="1372" t="s">
        <v>221</v>
      </c>
      <c r="X18" s="1416" t="s">
        <v>244</v>
      </c>
      <c r="Y18" s="1417" t="s">
        <v>70</v>
      </c>
      <c r="Z18" s="1393" t="s">
        <v>51</v>
      </c>
      <c r="AA18" s="1418" t="s">
        <v>83</v>
      </c>
      <c r="AB18" s="1378" t="s">
        <v>245</v>
      </c>
      <c r="AC18" s="1379">
        <v>2822</v>
      </c>
      <c r="AD18" s="1413"/>
      <c r="AE18" s="67" t="s">
        <v>73</v>
      </c>
      <c r="AF18" s="38" t="s">
        <v>55</v>
      </c>
      <c r="AG18" s="1380" t="s">
        <v>56</v>
      </c>
      <c r="AH18" s="1380" t="s">
        <v>86</v>
      </c>
      <c r="AI18" s="37" t="s">
        <v>87</v>
      </c>
      <c r="AJ18" s="1380" t="s">
        <v>56</v>
      </c>
      <c r="AK18" s="38" t="s">
        <v>74</v>
      </c>
      <c r="AL18" s="66"/>
      <c r="AM18" s="66">
        <v>4</v>
      </c>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c r="CY18" s="66"/>
      <c r="CZ18" s="66"/>
      <c r="DA18" s="66"/>
      <c r="DB18" s="66"/>
      <c r="DC18" s="66"/>
      <c r="DD18" s="66"/>
      <c r="DE18" s="66"/>
      <c r="DF18" s="66"/>
      <c r="DG18" s="66"/>
      <c r="DH18" s="66"/>
      <c r="DI18" s="66"/>
      <c r="DJ18" s="66"/>
      <c r="DK18" s="66"/>
      <c r="DL18" s="66"/>
      <c r="DM18" s="66"/>
      <c r="DN18" s="66"/>
      <c r="DO18" s="66"/>
      <c r="DP18" s="66"/>
      <c r="DQ18" s="66"/>
      <c r="DR18" s="66"/>
      <c r="DS18" s="66"/>
      <c r="DT18" s="66"/>
      <c r="DU18" s="66"/>
    </row>
    <row r="19" spans="1:125" s="13" customFormat="1" ht="113.25" customHeight="1" x14ac:dyDescent="0.25">
      <c r="A19" s="1493">
        <v>46127</v>
      </c>
      <c r="B19" s="1345" t="s">
        <v>246</v>
      </c>
      <c r="C19" s="1348" t="s">
        <v>247</v>
      </c>
      <c r="D19" s="1345"/>
      <c r="E19" s="1368" t="s">
        <v>39</v>
      </c>
      <c r="F19" s="1363"/>
      <c r="G19" s="1430">
        <v>2</v>
      </c>
      <c r="H19" s="1363"/>
      <c r="I19" s="69" t="s">
        <v>248</v>
      </c>
      <c r="J19" s="1365">
        <v>10</v>
      </c>
      <c r="K19" s="1346" t="s">
        <v>249</v>
      </c>
      <c r="L19" s="47" t="s">
        <v>63</v>
      </c>
      <c r="M19" s="42" t="s">
        <v>42</v>
      </c>
      <c r="N19" s="48" t="s">
        <v>250</v>
      </c>
      <c r="O19" s="1370"/>
      <c r="P19" s="1370" t="s">
        <v>251</v>
      </c>
      <c r="Q19" s="1370" t="s">
        <v>252</v>
      </c>
      <c r="R19" s="1371">
        <v>22</v>
      </c>
      <c r="S19" s="1371">
        <v>42</v>
      </c>
      <c r="T19" s="1372" t="s">
        <v>96</v>
      </c>
      <c r="U19" s="1372">
        <v>14</v>
      </c>
      <c r="V19" s="1373">
        <f t="shared" si="0"/>
        <v>140</v>
      </c>
      <c r="W19" s="1372" t="s">
        <v>48</v>
      </c>
      <c r="X19" s="1416" t="s">
        <v>253</v>
      </c>
      <c r="Y19" s="1375" t="s">
        <v>144</v>
      </c>
      <c r="Z19" s="1454" t="s">
        <v>51</v>
      </c>
      <c r="AA19" s="1418" t="s">
        <v>83</v>
      </c>
      <c r="AB19" s="1378" t="s">
        <v>254</v>
      </c>
      <c r="AC19" s="1379">
        <v>3016</v>
      </c>
      <c r="AD19" s="1413"/>
      <c r="AE19" s="67" t="s">
        <v>85</v>
      </c>
      <c r="AF19" s="1380" t="s">
        <v>55</v>
      </c>
      <c r="AG19" s="1380" t="s">
        <v>56</v>
      </c>
      <c r="AH19" s="1380" t="s">
        <v>56</v>
      </c>
      <c r="AI19" s="1380" t="s">
        <v>255</v>
      </c>
      <c r="AJ19" s="66"/>
      <c r="AK19" s="66"/>
      <c r="AL19" s="66"/>
      <c r="AM19" s="66">
        <v>2</v>
      </c>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c r="CY19" s="66"/>
      <c r="CZ19" s="66"/>
      <c r="DA19" s="66"/>
      <c r="DB19" s="66"/>
      <c r="DC19" s="66"/>
      <c r="DD19" s="66"/>
      <c r="DE19" s="66"/>
      <c r="DF19" s="66"/>
      <c r="DG19" s="66"/>
      <c r="DH19" s="66"/>
      <c r="DI19" s="66"/>
      <c r="DJ19" s="66"/>
      <c r="DK19" s="66"/>
      <c r="DL19" s="66"/>
      <c r="DM19" s="66"/>
      <c r="DN19" s="66"/>
      <c r="DO19" s="66"/>
      <c r="DP19" s="66"/>
      <c r="DQ19" s="66"/>
      <c r="DR19" s="66"/>
      <c r="DS19" s="66"/>
      <c r="DT19" s="66"/>
      <c r="DU19" s="66"/>
    </row>
    <row r="20" spans="1:125" s="13" customFormat="1" ht="113.25" customHeight="1" x14ac:dyDescent="0.25">
      <c r="A20" s="1493">
        <v>46127</v>
      </c>
      <c r="B20" s="1348" t="s">
        <v>256</v>
      </c>
      <c r="C20" s="1348" t="s">
        <v>257</v>
      </c>
      <c r="D20" s="1345" t="s">
        <v>258</v>
      </c>
      <c r="E20" s="1368" t="s">
        <v>39</v>
      </c>
      <c r="F20" s="1430" t="s">
        <v>259</v>
      </c>
      <c r="G20" s="1363"/>
      <c r="H20" s="1363"/>
      <c r="I20" s="44" t="s">
        <v>260</v>
      </c>
      <c r="J20" s="1365">
        <v>60</v>
      </c>
      <c r="K20" s="1346" t="s">
        <v>249</v>
      </c>
      <c r="L20" s="1459" t="s">
        <v>261</v>
      </c>
      <c r="M20" s="42" t="s">
        <v>42</v>
      </c>
      <c r="N20" s="48" t="s">
        <v>262</v>
      </c>
      <c r="O20" s="1370" t="s">
        <v>263</v>
      </c>
      <c r="P20" s="1370" t="s">
        <v>264</v>
      </c>
      <c r="Q20" s="1370"/>
      <c r="R20" s="1371">
        <v>63</v>
      </c>
      <c r="S20" s="1371">
        <v>195</v>
      </c>
      <c r="T20" s="1372" t="s">
        <v>47</v>
      </c>
      <c r="U20" s="1372">
        <v>46</v>
      </c>
      <c r="V20" s="1438">
        <f t="shared" si="0"/>
        <v>2760</v>
      </c>
      <c r="W20" s="1372" t="s">
        <v>48</v>
      </c>
      <c r="X20" s="1416" t="s">
        <v>265</v>
      </c>
      <c r="Y20" s="1417" t="s">
        <v>82</v>
      </c>
      <c r="Z20" s="1393" t="s">
        <v>51</v>
      </c>
      <c r="AA20" s="1418" t="s">
        <v>83</v>
      </c>
      <c r="AB20" s="1378" t="s">
        <v>266</v>
      </c>
      <c r="AC20" s="1499">
        <f>(20887*J20/110)+955</f>
        <v>12347.90909090909</v>
      </c>
      <c r="AD20" s="1413"/>
      <c r="AE20" s="67" t="s">
        <v>267</v>
      </c>
      <c r="AF20" s="38" t="s">
        <v>55</v>
      </c>
      <c r="AG20" s="1380" t="s">
        <v>56</v>
      </c>
      <c r="AH20" s="1380" t="s">
        <v>86</v>
      </c>
      <c r="AI20" s="1380" t="s">
        <v>57</v>
      </c>
      <c r="AJ20" s="66"/>
      <c r="AK20" s="66"/>
      <c r="AL20" s="66"/>
      <c r="AM20" s="66">
        <v>4</v>
      </c>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6"/>
      <c r="CD20" s="66"/>
      <c r="CE20" s="66"/>
      <c r="CF20" s="66"/>
      <c r="CG20" s="66"/>
      <c r="CH20" s="66"/>
      <c r="CI20" s="66"/>
      <c r="CJ20" s="66"/>
      <c r="CK20" s="66"/>
      <c r="CL20" s="66"/>
      <c r="CM20" s="66"/>
      <c r="CN20" s="66"/>
      <c r="CO20" s="66"/>
      <c r="CP20" s="66"/>
      <c r="CQ20" s="66"/>
      <c r="CR20" s="66"/>
      <c r="CS20" s="66"/>
      <c r="CT20" s="66"/>
      <c r="CU20" s="66"/>
      <c r="CV20" s="66"/>
      <c r="CW20" s="66"/>
      <c r="CX20" s="66"/>
      <c r="CY20" s="66"/>
      <c r="CZ20" s="66"/>
      <c r="DA20" s="66"/>
      <c r="DB20" s="66"/>
      <c r="DC20" s="66"/>
      <c r="DD20" s="66"/>
      <c r="DE20" s="66"/>
      <c r="DF20" s="66"/>
      <c r="DG20" s="66"/>
      <c r="DH20" s="66"/>
      <c r="DI20" s="66"/>
      <c r="DJ20" s="66"/>
      <c r="DK20" s="66"/>
      <c r="DL20" s="66"/>
      <c r="DM20" s="66"/>
      <c r="DN20" s="66"/>
      <c r="DO20" s="66"/>
      <c r="DP20" s="66"/>
      <c r="DQ20" s="66"/>
      <c r="DR20" s="66"/>
      <c r="DS20" s="66"/>
      <c r="DT20" s="66"/>
      <c r="DU20" s="66"/>
    </row>
    <row r="21" spans="1:125" s="13" customFormat="1" ht="113.25" customHeight="1" x14ac:dyDescent="0.25">
      <c r="A21" s="1493">
        <v>46126</v>
      </c>
      <c r="B21" s="1345" t="s">
        <v>268</v>
      </c>
      <c r="C21" s="1345" t="s">
        <v>269</v>
      </c>
      <c r="D21" s="1345"/>
      <c r="E21" s="1368" t="s">
        <v>39</v>
      </c>
      <c r="F21" s="1363"/>
      <c r="G21" s="1430">
        <v>1</v>
      </c>
      <c r="H21" s="1363"/>
      <c r="I21" s="44" t="s">
        <v>270</v>
      </c>
      <c r="J21" s="1365">
        <v>55</v>
      </c>
      <c r="K21" s="1346" t="s">
        <v>271</v>
      </c>
      <c r="L21" s="1459" t="s">
        <v>41</v>
      </c>
      <c r="M21" s="42" t="s">
        <v>42</v>
      </c>
      <c r="N21" s="48" t="s">
        <v>240</v>
      </c>
      <c r="O21" s="1370" t="s">
        <v>272</v>
      </c>
      <c r="P21" s="1370" t="s">
        <v>273</v>
      </c>
      <c r="Q21" s="1370" t="s">
        <v>274</v>
      </c>
      <c r="R21" s="1371">
        <v>38</v>
      </c>
      <c r="S21" s="1371">
        <v>174</v>
      </c>
      <c r="T21" s="1372" t="s">
        <v>47</v>
      </c>
      <c r="U21" s="1372">
        <v>0</v>
      </c>
      <c r="V21" s="1373">
        <f t="shared" si="0"/>
        <v>0</v>
      </c>
      <c r="W21" s="1372" t="s">
        <v>48</v>
      </c>
      <c r="X21" s="1416" t="s">
        <v>49</v>
      </c>
      <c r="Y21" s="1375" t="s">
        <v>50</v>
      </c>
      <c r="Z21" s="1393" t="s">
        <v>51</v>
      </c>
      <c r="AA21" s="1418" t="s">
        <v>275</v>
      </c>
      <c r="AB21" s="1378" t="s">
        <v>191</v>
      </c>
      <c r="AC21" s="1379">
        <v>6507.6</v>
      </c>
      <c r="AD21" s="1413"/>
      <c r="AE21" s="67" t="s">
        <v>73</v>
      </c>
      <c r="AF21" s="1380" t="s">
        <v>55</v>
      </c>
      <c r="AG21" s="1380" t="s">
        <v>56</v>
      </c>
      <c r="AH21" s="1380" t="s">
        <v>56</v>
      </c>
      <c r="AI21" s="1380" t="s">
        <v>87</v>
      </c>
      <c r="AJ21" s="38" t="s">
        <v>56</v>
      </c>
      <c r="AK21" s="1380" t="s">
        <v>149</v>
      </c>
      <c r="AL21" s="1419"/>
      <c r="AM21" s="1413">
        <v>4</v>
      </c>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s="66"/>
      <c r="CT21" s="66"/>
      <c r="CU21" s="66"/>
      <c r="CV21" s="66"/>
      <c r="CW21" s="66"/>
      <c r="CX21" s="66"/>
      <c r="CY21" s="66"/>
      <c r="CZ21" s="66"/>
      <c r="DA21" s="66"/>
      <c r="DB21" s="66"/>
      <c r="DC21" s="66"/>
      <c r="DD21" s="66"/>
      <c r="DE21" s="66"/>
      <c r="DF21" s="66"/>
      <c r="DG21" s="66"/>
      <c r="DH21" s="66"/>
      <c r="DI21" s="66"/>
      <c r="DJ21" s="66"/>
      <c r="DK21" s="66"/>
      <c r="DL21" s="66"/>
      <c r="DM21" s="66"/>
      <c r="DN21" s="66"/>
      <c r="DO21" s="66"/>
      <c r="DP21" s="66"/>
      <c r="DQ21" s="66"/>
      <c r="DR21" s="66"/>
      <c r="DS21" s="66"/>
      <c r="DT21" s="66"/>
      <c r="DU21" s="66"/>
    </row>
    <row r="22" spans="1:125" s="13" customFormat="1" ht="113.25" customHeight="1" x14ac:dyDescent="0.25">
      <c r="A22" s="1493">
        <v>46126</v>
      </c>
      <c r="B22" s="1412" t="s">
        <v>276</v>
      </c>
      <c r="C22" s="1412" t="s">
        <v>277</v>
      </c>
      <c r="D22" s="1467" t="s">
        <v>278</v>
      </c>
      <c r="E22" s="1427" t="s">
        <v>39</v>
      </c>
      <c r="F22" s="1430">
        <v>1</v>
      </c>
      <c r="G22" s="1449"/>
      <c r="H22" s="1449"/>
      <c r="I22" s="44" t="s">
        <v>279</v>
      </c>
      <c r="J22" s="1450">
        <v>10</v>
      </c>
      <c r="K22" s="1425" t="s">
        <v>280</v>
      </c>
      <c r="L22" s="1451" t="s">
        <v>63</v>
      </c>
      <c r="M22" s="1451" t="s">
        <v>42</v>
      </c>
      <c r="N22" s="1426" t="s">
        <v>281</v>
      </c>
      <c r="O22" s="1452" t="s">
        <v>282</v>
      </c>
      <c r="P22" s="1452" t="s">
        <v>283</v>
      </c>
      <c r="Q22" s="1452" t="s">
        <v>284</v>
      </c>
      <c r="R22" s="1446">
        <v>156</v>
      </c>
      <c r="S22" s="1453">
        <v>626</v>
      </c>
      <c r="T22" s="1427" t="s">
        <v>141</v>
      </c>
      <c r="U22" s="1427">
        <v>13</v>
      </c>
      <c r="V22" s="1457">
        <f t="shared" si="0"/>
        <v>130</v>
      </c>
      <c r="W22" s="1427" t="s">
        <v>48</v>
      </c>
      <c r="X22" s="1416" t="s">
        <v>49</v>
      </c>
      <c r="Y22" s="1417" t="s">
        <v>50</v>
      </c>
      <c r="Z22" s="1496" t="s">
        <v>285</v>
      </c>
      <c r="AA22" s="1418" t="s">
        <v>286</v>
      </c>
      <c r="AB22" s="1378" t="s">
        <v>266</v>
      </c>
      <c r="AC22" s="1379">
        <f>14955.2+1215</f>
        <v>16170.2</v>
      </c>
      <c r="AD22" s="1413"/>
      <c r="AE22" s="67" t="s">
        <v>73</v>
      </c>
      <c r="AF22" s="1380" t="s">
        <v>55</v>
      </c>
      <c r="AG22" s="1380" t="s">
        <v>56</v>
      </c>
      <c r="AH22" s="1380" t="s">
        <v>56</v>
      </c>
      <c r="AI22" s="1380" t="s">
        <v>87</v>
      </c>
      <c r="AJ22" s="1380" t="s">
        <v>56</v>
      </c>
      <c r="AK22" s="1380" t="s">
        <v>287</v>
      </c>
      <c r="AL22" s="66"/>
      <c r="AM22" s="66">
        <v>1</v>
      </c>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6"/>
      <c r="CG22" s="66"/>
      <c r="CH22" s="66"/>
      <c r="CI22" s="66"/>
      <c r="CJ22" s="66"/>
      <c r="CK22" s="66"/>
      <c r="CL22" s="66"/>
      <c r="CM22" s="66"/>
      <c r="CN22" s="66"/>
      <c r="CO22" s="66"/>
      <c r="CP22" s="66"/>
      <c r="CQ22" s="66"/>
      <c r="CR22" s="66"/>
      <c r="CS22" s="66"/>
      <c r="CT22" s="66"/>
      <c r="CU22" s="66"/>
      <c r="CV22" s="66"/>
      <c r="CW22" s="66"/>
      <c r="CX22" s="66"/>
      <c r="CY22" s="66"/>
      <c r="CZ22" s="66"/>
      <c r="DA22" s="66"/>
      <c r="DB22" s="66"/>
      <c r="DC22" s="66"/>
      <c r="DD22" s="66"/>
      <c r="DE22" s="66"/>
      <c r="DF22" s="66"/>
      <c r="DG22" s="66"/>
      <c r="DH22" s="66"/>
      <c r="DI22" s="66"/>
      <c r="DJ22" s="66"/>
      <c r="DK22" s="66"/>
      <c r="DL22" s="66"/>
      <c r="DM22" s="66"/>
      <c r="DN22" s="66"/>
      <c r="DO22" s="66"/>
      <c r="DP22" s="66"/>
      <c r="DQ22" s="66"/>
      <c r="DR22" s="66"/>
      <c r="DS22" s="66"/>
      <c r="DT22" s="66"/>
      <c r="DU22" s="66"/>
    </row>
    <row r="23" spans="1:125" s="13" customFormat="1" ht="113.25" customHeight="1" x14ac:dyDescent="0.25">
      <c r="A23" s="1493">
        <v>46126</v>
      </c>
      <c r="B23" s="1345" t="s">
        <v>172</v>
      </c>
      <c r="C23" s="1345" t="s">
        <v>288</v>
      </c>
      <c r="D23" s="1345"/>
      <c r="E23" s="1368" t="s">
        <v>39</v>
      </c>
      <c r="F23" s="1430">
        <v>1</v>
      </c>
      <c r="G23" s="1363"/>
      <c r="H23" s="1363"/>
      <c r="I23" s="44" t="s">
        <v>9867</v>
      </c>
      <c r="J23" s="1365">
        <v>120</v>
      </c>
      <c r="K23" s="1346" t="s">
        <v>271</v>
      </c>
      <c r="L23" s="1459" t="s">
        <v>41</v>
      </c>
      <c r="M23" s="1368" t="s">
        <v>42</v>
      </c>
      <c r="N23" s="48" t="s">
        <v>289</v>
      </c>
      <c r="O23" s="1370" t="s">
        <v>243</v>
      </c>
      <c r="P23" s="1370" t="s">
        <v>290</v>
      </c>
      <c r="Q23" s="1370" t="s">
        <v>291</v>
      </c>
      <c r="R23" s="1371">
        <v>13</v>
      </c>
      <c r="S23" s="1371">
        <v>14</v>
      </c>
      <c r="T23" s="1372" t="s">
        <v>47</v>
      </c>
      <c r="U23" s="1372">
        <v>1</v>
      </c>
      <c r="V23" s="1373">
        <f t="shared" si="0"/>
        <v>120</v>
      </c>
      <c r="W23" s="1372" t="s">
        <v>48</v>
      </c>
      <c r="X23" s="1416" t="s">
        <v>49</v>
      </c>
      <c r="Y23" s="1417" t="s">
        <v>50</v>
      </c>
      <c r="Z23" s="1393" t="s">
        <v>51</v>
      </c>
      <c r="AA23" s="1418" t="s">
        <v>83</v>
      </c>
      <c r="AB23" s="1378" t="s">
        <v>182</v>
      </c>
      <c r="AC23" s="1379">
        <v>3966</v>
      </c>
      <c r="AD23" s="1413"/>
      <c r="AE23" s="67" t="s">
        <v>73</v>
      </c>
      <c r="AF23" s="38" t="s">
        <v>55</v>
      </c>
      <c r="AG23" s="1380" t="s">
        <v>56</v>
      </c>
      <c r="AH23" s="1380" t="s">
        <v>56</v>
      </c>
      <c r="AI23" s="1380" t="s">
        <v>87</v>
      </c>
      <c r="AJ23" s="1380" t="s">
        <v>56</v>
      </c>
      <c r="AK23" s="38" t="s">
        <v>74</v>
      </c>
      <c r="AL23" s="66"/>
      <c r="AM23" s="66">
        <v>20</v>
      </c>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6"/>
      <c r="CD23" s="66"/>
      <c r="CE23" s="66"/>
      <c r="CF23" s="66"/>
      <c r="CG23" s="66"/>
      <c r="CH23" s="66"/>
      <c r="CI23" s="66"/>
      <c r="CJ23" s="66"/>
      <c r="CK23" s="66"/>
      <c r="CL23" s="66"/>
      <c r="CM23" s="66"/>
      <c r="CN23" s="66"/>
      <c r="CO23" s="66"/>
      <c r="CP23" s="66"/>
      <c r="CQ23" s="66"/>
      <c r="CR23" s="66"/>
      <c r="CS23" s="66"/>
      <c r="CT23" s="66"/>
      <c r="CU23" s="66"/>
      <c r="CV23" s="66"/>
      <c r="CW23" s="66"/>
      <c r="CX23" s="66"/>
      <c r="CY23" s="66"/>
      <c r="CZ23" s="66"/>
      <c r="DA23" s="66"/>
      <c r="DB23" s="66"/>
      <c r="DC23" s="66"/>
      <c r="DD23" s="66"/>
      <c r="DE23" s="66"/>
      <c r="DF23" s="66"/>
      <c r="DG23" s="66"/>
      <c r="DH23" s="66"/>
      <c r="DI23" s="66"/>
      <c r="DJ23" s="66"/>
      <c r="DK23" s="66"/>
      <c r="DL23" s="66"/>
      <c r="DM23" s="66"/>
      <c r="DN23" s="66"/>
      <c r="DO23" s="66"/>
      <c r="DP23" s="66"/>
      <c r="DQ23" s="66"/>
      <c r="DR23" s="66"/>
      <c r="DS23" s="66"/>
      <c r="DT23" s="66"/>
      <c r="DU23" s="66"/>
    </row>
    <row r="24" spans="1:125" s="13" customFormat="1" ht="113.25" customHeight="1" x14ac:dyDescent="0.25">
      <c r="A24" s="1493">
        <v>46126</v>
      </c>
      <c r="B24" s="1345" t="s">
        <v>292</v>
      </c>
      <c r="C24" s="1345" t="s">
        <v>293</v>
      </c>
      <c r="D24" s="1345" t="s">
        <v>294</v>
      </c>
      <c r="E24" s="1477" t="s">
        <v>39</v>
      </c>
      <c r="F24" s="1363"/>
      <c r="G24" s="1430">
        <v>1</v>
      </c>
      <c r="H24" s="1363"/>
      <c r="I24" s="44" t="s">
        <v>295</v>
      </c>
      <c r="J24" s="1365">
        <v>38</v>
      </c>
      <c r="K24" s="1346" t="s">
        <v>296</v>
      </c>
      <c r="L24" s="1367" t="s">
        <v>63</v>
      </c>
      <c r="M24" s="42" t="s">
        <v>42</v>
      </c>
      <c r="N24" s="48" t="s">
        <v>297</v>
      </c>
      <c r="O24" s="1370" t="s">
        <v>219</v>
      </c>
      <c r="P24" s="1370" t="s">
        <v>298</v>
      </c>
      <c r="Q24" s="1370" t="s">
        <v>299</v>
      </c>
      <c r="R24" s="1497">
        <v>68</v>
      </c>
      <c r="S24" s="1371">
        <v>464</v>
      </c>
      <c r="T24" s="1372" t="s">
        <v>180</v>
      </c>
      <c r="U24" s="1372">
        <v>8</v>
      </c>
      <c r="V24" s="1373">
        <f t="shared" si="0"/>
        <v>304</v>
      </c>
      <c r="W24" s="1372" t="s">
        <v>142</v>
      </c>
      <c r="X24" s="1416" t="s">
        <v>300</v>
      </c>
      <c r="Y24" s="1417" t="s">
        <v>144</v>
      </c>
      <c r="Z24" s="32" t="s">
        <v>301</v>
      </c>
      <c r="AA24" s="1418" t="s">
        <v>71</v>
      </c>
      <c r="AB24" s="1378" t="s">
        <v>302</v>
      </c>
      <c r="AC24" s="1379">
        <v>9394.02</v>
      </c>
      <c r="AD24" s="1413"/>
      <c r="AE24" s="67" t="s">
        <v>303</v>
      </c>
      <c r="AF24" s="38" t="s">
        <v>55</v>
      </c>
      <c r="AG24" s="1380" t="s">
        <v>56</v>
      </c>
      <c r="AH24" s="38" t="s">
        <v>56</v>
      </c>
      <c r="AI24" s="1380" t="s">
        <v>87</v>
      </c>
      <c r="AJ24" s="1380" t="s">
        <v>56</v>
      </c>
      <c r="AK24" s="1380" t="s">
        <v>304</v>
      </c>
      <c r="AL24" s="1419"/>
      <c r="AM24" s="1413">
        <v>1</v>
      </c>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6"/>
      <c r="CG24" s="66"/>
      <c r="CH24" s="66"/>
      <c r="CI24" s="66"/>
      <c r="CJ24" s="66"/>
      <c r="CK24" s="66"/>
      <c r="CL24" s="66"/>
      <c r="CM24" s="66"/>
      <c r="CN24" s="66"/>
      <c r="CO24" s="66"/>
      <c r="CP24" s="66"/>
      <c r="CQ24" s="66"/>
      <c r="CR24" s="66"/>
      <c r="CS24" s="66"/>
      <c r="CT24" s="66"/>
      <c r="CU24" s="66"/>
      <c r="CV24" s="66"/>
      <c r="CW24" s="66"/>
      <c r="CX24" s="66"/>
      <c r="CY24" s="66"/>
      <c r="CZ24" s="66"/>
      <c r="DA24" s="66"/>
      <c r="DB24" s="66"/>
      <c r="DC24" s="66"/>
      <c r="DD24" s="66"/>
      <c r="DE24" s="66"/>
      <c r="DF24" s="66"/>
      <c r="DG24" s="66"/>
      <c r="DH24" s="66"/>
      <c r="DI24" s="66"/>
      <c r="DJ24" s="66"/>
      <c r="DK24" s="66"/>
      <c r="DL24" s="66"/>
      <c r="DM24" s="66"/>
      <c r="DN24" s="66"/>
      <c r="DO24" s="66"/>
      <c r="DP24" s="66"/>
      <c r="DQ24" s="66"/>
      <c r="DR24" s="66"/>
      <c r="DS24" s="66"/>
      <c r="DT24" s="66"/>
      <c r="DU24" s="66"/>
    </row>
    <row r="25" spans="1:125" s="13" customFormat="1" ht="113.25" customHeight="1" x14ac:dyDescent="0.25">
      <c r="A25" s="1493">
        <v>46126</v>
      </c>
      <c r="B25" s="1345" t="s">
        <v>305</v>
      </c>
      <c r="C25" s="1345" t="s">
        <v>306</v>
      </c>
      <c r="D25" s="1348" t="s">
        <v>307</v>
      </c>
      <c r="E25" s="1368" t="s">
        <v>39</v>
      </c>
      <c r="F25" s="1470">
        <v>1</v>
      </c>
      <c r="G25" s="1363"/>
      <c r="H25" s="1363"/>
      <c r="I25" s="44" t="s">
        <v>308</v>
      </c>
      <c r="J25" s="1365">
        <v>10</v>
      </c>
      <c r="K25" s="1346" t="s">
        <v>309</v>
      </c>
      <c r="L25" s="47" t="s">
        <v>63</v>
      </c>
      <c r="M25" s="42" t="s">
        <v>42</v>
      </c>
      <c r="N25" s="1498" t="s">
        <v>310</v>
      </c>
      <c r="O25" s="1370" t="s">
        <v>220</v>
      </c>
      <c r="P25" s="1370" t="s">
        <v>274</v>
      </c>
      <c r="Q25" s="1370" t="s">
        <v>311</v>
      </c>
      <c r="R25" s="1446">
        <v>119</v>
      </c>
      <c r="S25" s="1371">
        <v>283</v>
      </c>
      <c r="T25" s="1372" t="s">
        <v>141</v>
      </c>
      <c r="U25" s="1372">
        <v>14</v>
      </c>
      <c r="V25" s="1373">
        <f t="shared" si="0"/>
        <v>140</v>
      </c>
      <c r="W25" s="1372" t="s">
        <v>68</v>
      </c>
      <c r="X25" s="1416" t="s">
        <v>312</v>
      </c>
      <c r="Y25" s="1417" t="s">
        <v>70</v>
      </c>
      <c r="Z25" s="32" t="s">
        <v>313</v>
      </c>
      <c r="AA25" s="1418" t="s">
        <v>200</v>
      </c>
      <c r="AB25" s="1378" t="s">
        <v>314</v>
      </c>
      <c r="AC25" s="1379">
        <f>1000+10559.5</f>
        <v>11559.5</v>
      </c>
      <c r="AD25" s="1413"/>
      <c r="AE25" s="67" t="s">
        <v>73</v>
      </c>
      <c r="AF25" s="1380" t="s">
        <v>55</v>
      </c>
      <c r="AG25" s="1380" t="s">
        <v>56</v>
      </c>
      <c r="AH25" s="1380" t="s">
        <v>56</v>
      </c>
      <c r="AI25" s="1380" t="s">
        <v>57</v>
      </c>
      <c r="AJ25" s="1380"/>
      <c r="AK25" s="1380"/>
      <c r="AL25" s="39" t="s">
        <v>315</v>
      </c>
      <c r="AM25" s="1413">
        <v>1</v>
      </c>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c r="CT25" s="66"/>
      <c r="CU25" s="66"/>
      <c r="CV25" s="66"/>
      <c r="CW25" s="66"/>
      <c r="CX25" s="66"/>
      <c r="CY25" s="66"/>
      <c r="CZ25" s="66"/>
      <c r="DA25" s="66"/>
      <c r="DB25" s="66"/>
      <c r="DC25" s="66"/>
      <c r="DD25" s="66"/>
      <c r="DE25" s="66"/>
      <c r="DF25" s="66"/>
      <c r="DG25" s="66"/>
      <c r="DH25" s="66"/>
      <c r="DI25" s="66"/>
      <c r="DJ25" s="66"/>
      <c r="DK25" s="66"/>
      <c r="DL25" s="66"/>
      <c r="DM25" s="66"/>
      <c r="DN25" s="66"/>
      <c r="DO25" s="66"/>
      <c r="DP25" s="66"/>
      <c r="DQ25" s="66"/>
      <c r="DR25" s="66"/>
      <c r="DS25" s="66"/>
      <c r="DT25" s="66"/>
      <c r="DU25" s="66"/>
    </row>
    <row r="26" spans="1:125" s="13" customFormat="1" ht="113.25" customHeight="1" x14ac:dyDescent="0.25">
      <c r="A26" s="1493">
        <v>46125</v>
      </c>
      <c r="B26" s="1345" t="s">
        <v>316</v>
      </c>
      <c r="C26" s="1345" t="s">
        <v>317</v>
      </c>
      <c r="D26" s="1345"/>
      <c r="E26" s="1368" t="s">
        <v>39</v>
      </c>
      <c r="F26" s="1363"/>
      <c r="G26" s="1430">
        <v>1</v>
      </c>
      <c r="H26" s="1363"/>
      <c r="I26" s="44" t="s">
        <v>318</v>
      </c>
      <c r="J26" s="1365">
        <v>65</v>
      </c>
      <c r="K26" s="1346" t="s">
        <v>319</v>
      </c>
      <c r="L26" s="1459" t="s">
        <v>261</v>
      </c>
      <c r="M26" s="42" t="s">
        <v>42</v>
      </c>
      <c r="N26" s="48" t="s">
        <v>320</v>
      </c>
      <c r="O26" s="1370" t="s">
        <v>321</v>
      </c>
      <c r="P26" s="1370" t="s">
        <v>322</v>
      </c>
      <c r="Q26" s="1370" t="s">
        <v>290</v>
      </c>
      <c r="R26" s="1446">
        <v>115</v>
      </c>
      <c r="S26" s="1371">
        <v>408</v>
      </c>
      <c r="T26" s="1372" t="s">
        <v>180</v>
      </c>
      <c r="U26" s="1372">
        <v>1</v>
      </c>
      <c r="V26" s="1373">
        <f t="shared" si="0"/>
        <v>65</v>
      </c>
      <c r="W26" s="1372" t="s">
        <v>48</v>
      </c>
      <c r="X26" s="1416" t="s">
        <v>323</v>
      </c>
      <c r="Y26" s="1417" t="s">
        <v>324</v>
      </c>
      <c r="Z26" s="32" t="s">
        <v>325</v>
      </c>
      <c r="AA26" s="1418" t="s">
        <v>326</v>
      </c>
      <c r="AB26" s="1378" t="s">
        <v>327</v>
      </c>
      <c r="AC26" s="1379">
        <v>12218</v>
      </c>
      <c r="AD26" s="1413"/>
      <c r="AE26" s="67" t="s">
        <v>85</v>
      </c>
      <c r="AF26" s="1380" t="s">
        <v>55</v>
      </c>
      <c r="AG26" s="1380" t="s">
        <v>56</v>
      </c>
      <c r="AH26" s="1380" t="s">
        <v>56</v>
      </c>
      <c r="AI26" s="1380" t="s">
        <v>87</v>
      </c>
      <c r="AJ26" s="1380"/>
      <c r="AK26" s="1380"/>
      <c r="AL26" s="1419"/>
      <c r="AM26" s="1413">
        <v>2</v>
      </c>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c r="CD26" s="66"/>
      <c r="CE26" s="66"/>
      <c r="CF26" s="66"/>
      <c r="CG26" s="66"/>
      <c r="CH26" s="66"/>
      <c r="CI26" s="66"/>
      <c r="CJ26" s="66"/>
      <c r="CK26" s="66"/>
      <c r="CL26" s="66"/>
      <c r="CM26" s="66"/>
      <c r="CN26" s="66"/>
      <c r="CO26" s="66"/>
      <c r="CP26" s="66"/>
      <c r="CQ26" s="66"/>
      <c r="CR26" s="66"/>
      <c r="CS26" s="66"/>
      <c r="CT26" s="66"/>
      <c r="CU26" s="66"/>
      <c r="CV26" s="66"/>
      <c r="CW26" s="66"/>
      <c r="CX26" s="66"/>
      <c r="CY26" s="66"/>
      <c r="CZ26" s="66"/>
      <c r="DA26" s="66"/>
      <c r="DB26" s="66"/>
      <c r="DC26" s="66"/>
      <c r="DD26" s="66"/>
      <c r="DE26" s="66"/>
      <c r="DF26" s="66"/>
      <c r="DG26" s="66"/>
      <c r="DH26" s="66"/>
      <c r="DI26" s="66"/>
      <c r="DJ26" s="66"/>
      <c r="DK26" s="66"/>
      <c r="DL26" s="66"/>
      <c r="DM26" s="66"/>
      <c r="DN26" s="66"/>
      <c r="DO26" s="66"/>
      <c r="DP26" s="66"/>
      <c r="DQ26" s="66"/>
      <c r="DR26" s="66"/>
      <c r="DS26" s="66"/>
      <c r="DT26" s="66"/>
      <c r="DU26" s="66"/>
    </row>
    <row r="27" spans="1:125" s="13" customFormat="1" ht="113.25" customHeight="1" x14ac:dyDescent="0.25">
      <c r="A27" s="1493">
        <v>46125</v>
      </c>
      <c r="B27" s="1345" t="s">
        <v>328</v>
      </c>
      <c r="C27" s="1345" t="s">
        <v>329</v>
      </c>
      <c r="D27" s="1345"/>
      <c r="E27" s="1368" t="s">
        <v>195</v>
      </c>
      <c r="F27" s="1363"/>
      <c r="G27" s="1363"/>
      <c r="H27" s="1363"/>
      <c r="I27" s="44" t="s">
        <v>9859</v>
      </c>
      <c r="J27" s="1365">
        <v>18</v>
      </c>
      <c r="K27" s="1346" t="s">
        <v>197</v>
      </c>
      <c r="L27" s="1367" t="s">
        <v>55</v>
      </c>
      <c r="M27" s="1368" t="s">
        <v>55</v>
      </c>
      <c r="N27" s="48" t="s">
        <v>330</v>
      </c>
      <c r="O27" s="1370"/>
      <c r="P27" s="1370"/>
      <c r="Q27" s="1370"/>
      <c r="R27" s="1371"/>
      <c r="S27" s="1371"/>
      <c r="T27" s="1372"/>
      <c r="U27" s="1372"/>
      <c r="V27" s="1373">
        <f t="shared" si="0"/>
        <v>0</v>
      </c>
      <c r="W27" s="1372" t="s">
        <v>159</v>
      </c>
      <c r="X27" s="1416" t="s">
        <v>331</v>
      </c>
      <c r="Y27" s="1417" t="s">
        <v>82</v>
      </c>
      <c r="Z27" s="32" t="s">
        <v>51</v>
      </c>
      <c r="AA27" s="1418" t="s">
        <v>83</v>
      </c>
      <c r="AB27" s="1378" t="s">
        <v>245</v>
      </c>
      <c r="AC27" s="1379">
        <v>2700</v>
      </c>
      <c r="AD27" s="1413"/>
      <c r="AE27" s="38" t="s">
        <v>332</v>
      </c>
      <c r="AF27" s="1494" t="s">
        <v>55</v>
      </c>
      <c r="AG27" s="1494"/>
      <c r="AH27" s="1494"/>
      <c r="AI27" s="1413"/>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c r="CD27" s="66"/>
      <c r="CE27" s="66"/>
      <c r="CF27" s="66"/>
      <c r="CG27" s="66"/>
      <c r="CH27" s="66"/>
      <c r="CI27" s="66"/>
      <c r="CJ27" s="66"/>
      <c r="CK27" s="66"/>
      <c r="CL27" s="66"/>
      <c r="CM27" s="66"/>
      <c r="CN27" s="66"/>
      <c r="CO27" s="66"/>
      <c r="CP27" s="66"/>
      <c r="CQ27" s="66"/>
      <c r="CR27" s="66"/>
      <c r="CS27" s="66"/>
      <c r="CT27" s="66"/>
      <c r="CU27" s="66"/>
      <c r="CV27" s="66"/>
      <c r="CW27" s="66"/>
      <c r="CX27" s="66"/>
      <c r="CY27" s="66"/>
      <c r="CZ27" s="66"/>
      <c r="DA27" s="66"/>
      <c r="DB27" s="66"/>
      <c r="DC27" s="66"/>
      <c r="DD27" s="66"/>
      <c r="DE27" s="66"/>
      <c r="DF27" s="66"/>
      <c r="DG27" s="66"/>
      <c r="DH27" s="66"/>
      <c r="DI27" s="66"/>
      <c r="DJ27" s="66"/>
      <c r="DK27" s="66"/>
      <c r="DL27" s="66"/>
      <c r="DM27" s="66"/>
      <c r="DN27" s="66"/>
      <c r="DO27" s="66"/>
      <c r="DP27" s="66"/>
      <c r="DQ27" s="66"/>
      <c r="DR27" s="66"/>
      <c r="DS27" s="66"/>
      <c r="DT27" s="66"/>
      <c r="DU27" s="66"/>
    </row>
    <row r="28" spans="1:125" s="13" customFormat="1" ht="113.25" customHeight="1" x14ac:dyDescent="0.25">
      <c r="A28" s="1493">
        <v>46122</v>
      </c>
      <c r="B28" s="1345" t="s">
        <v>333</v>
      </c>
      <c r="C28" s="1345" t="s">
        <v>334</v>
      </c>
      <c r="D28" s="1345"/>
      <c r="E28" s="1368" t="s">
        <v>39</v>
      </c>
      <c r="F28" s="1430">
        <v>1</v>
      </c>
      <c r="G28" s="1363"/>
      <c r="H28" s="1363"/>
      <c r="I28" s="44" t="s">
        <v>335</v>
      </c>
      <c r="J28" s="1365">
        <v>45</v>
      </c>
      <c r="K28" s="1346" t="s">
        <v>336</v>
      </c>
      <c r="L28" s="1459" t="s">
        <v>41</v>
      </c>
      <c r="M28" s="42" t="s">
        <v>42</v>
      </c>
      <c r="N28" s="1344" t="s">
        <v>337</v>
      </c>
      <c r="O28" s="1370"/>
      <c r="P28" s="1370" t="s">
        <v>338</v>
      </c>
      <c r="Q28" s="1370" t="s">
        <v>339</v>
      </c>
      <c r="R28" s="1371">
        <v>10</v>
      </c>
      <c r="S28" s="1371">
        <v>23</v>
      </c>
      <c r="T28" s="1372" t="s">
        <v>96</v>
      </c>
      <c r="U28" s="1372">
        <v>2</v>
      </c>
      <c r="V28" s="1373">
        <f t="shared" si="0"/>
        <v>90</v>
      </c>
      <c r="W28" s="1372" t="s">
        <v>48</v>
      </c>
      <c r="X28" s="1416" t="s">
        <v>340</v>
      </c>
      <c r="Y28" s="1417" t="s">
        <v>82</v>
      </c>
      <c r="Z28" s="1393" t="s">
        <v>51</v>
      </c>
      <c r="AA28" s="1418" t="s">
        <v>83</v>
      </c>
      <c r="AB28" s="1378" t="s">
        <v>341</v>
      </c>
      <c r="AC28" s="1379">
        <v>1768.5</v>
      </c>
      <c r="AD28" s="1413"/>
      <c r="AE28" s="67" t="s">
        <v>342</v>
      </c>
      <c r="AF28" s="1380" t="s">
        <v>55</v>
      </c>
      <c r="AG28" s="1380" t="s">
        <v>56</v>
      </c>
      <c r="AH28" s="1380" t="s">
        <v>86</v>
      </c>
      <c r="AI28" s="1380" t="s">
        <v>87</v>
      </c>
      <c r="AJ28" s="38" t="s">
        <v>343</v>
      </c>
      <c r="AK28" s="38" t="s">
        <v>74</v>
      </c>
      <c r="AL28" s="66"/>
      <c r="AM28" s="66">
        <v>9</v>
      </c>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U28" s="66"/>
    </row>
    <row r="29" spans="1:125" s="13" customFormat="1" ht="113.25" customHeight="1" x14ac:dyDescent="0.25">
      <c r="A29" s="1493">
        <v>46122</v>
      </c>
      <c r="B29" s="41" t="s">
        <v>344</v>
      </c>
      <c r="C29" s="1345" t="s">
        <v>345</v>
      </c>
      <c r="D29" s="41" t="s">
        <v>346</v>
      </c>
      <c r="E29" s="42" t="s">
        <v>195</v>
      </c>
      <c r="F29" s="43"/>
      <c r="G29" s="43"/>
      <c r="H29" s="43"/>
      <c r="I29" s="20" t="s">
        <v>347</v>
      </c>
      <c r="J29" s="45">
        <v>5</v>
      </c>
      <c r="K29" s="46" t="s">
        <v>348</v>
      </c>
      <c r="L29" s="47" t="s">
        <v>42</v>
      </c>
      <c r="M29" s="42" t="s">
        <v>42</v>
      </c>
      <c r="N29" s="48" t="s">
        <v>349</v>
      </c>
      <c r="O29" s="49"/>
      <c r="P29" s="49"/>
      <c r="Q29" s="1495"/>
      <c r="R29" s="50">
        <v>0</v>
      </c>
      <c r="S29" s="50">
        <v>0</v>
      </c>
      <c r="T29" s="51">
        <v>0</v>
      </c>
      <c r="U29" s="51">
        <v>66</v>
      </c>
      <c r="V29" s="52">
        <f t="shared" si="0"/>
        <v>330</v>
      </c>
      <c r="W29" s="51" t="s">
        <v>350</v>
      </c>
      <c r="X29" s="30" t="s">
        <v>351</v>
      </c>
      <c r="Y29" s="64" t="s">
        <v>82</v>
      </c>
      <c r="Z29" s="32"/>
      <c r="AA29" s="33" t="s">
        <v>352</v>
      </c>
      <c r="AB29" s="34" t="s">
        <v>353</v>
      </c>
      <c r="AC29" s="35">
        <v>2962</v>
      </c>
      <c r="AD29" s="66"/>
      <c r="AE29" s="67" t="s">
        <v>73</v>
      </c>
      <c r="AF29" s="38" t="s">
        <v>354</v>
      </c>
      <c r="AG29" s="38" t="s">
        <v>56</v>
      </c>
      <c r="AH29" s="107" t="s">
        <v>355</v>
      </c>
      <c r="AI29" s="38"/>
      <c r="AJ29" s="38"/>
      <c r="AK29" s="38"/>
      <c r="AL29" s="68"/>
      <c r="AM29" s="40"/>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6"/>
      <c r="BY29" s="66"/>
      <c r="BZ29" s="66"/>
      <c r="CA29" s="66"/>
      <c r="CB29" s="66"/>
      <c r="CC29" s="66"/>
      <c r="CD29" s="66"/>
      <c r="CE29" s="66"/>
      <c r="CF29" s="66"/>
      <c r="CG29" s="66"/>
      <c r="CH29" s="66"/>
      <c r="CI29" s="66"/>
      <c r="CJ29" s="66"/>
      <c r="CK29" s="66"/>
      <c r="CL29" s="66"/>
      <c r="CM29" s="66"/>
      <c r="CN29" s="66"/>
      <c r="CO29" s="66"/>
      <c r="CP29" s="66"/>
      <c r="CQ29" s="66"/>
      <c r="CR29" s="66"/>
      <c r="CS29" s="66"/>
      <c r="CT29" s="66"/>
      <c r="CU29" s="66"/>
      <c r="CV29" s="66"/>
      <c r="CW29" s="66"/>
      <c r="CX29" s="66"/>
      <c r="CY29" s="66"/>
      <c r="CZ29" s="66"/>
      <c r="DA29" s="66"/>
      <c r="DB29" s="66"/>
      <c r="DC29" s="66"/>
      <c r="DD29" s="66"/>
      <c r="DE29" s="66"/>
      <c r="DF29" s="66"/>
      <c r="DG29" s="66"/>
      <c r="DH29" s="66"/>
      <c r="DI29" s="66"/>
      <c r="DJ29" s="66"/>
      <c r="DK29" s="66"/>
      <c r="DL29" s="66"/>
      <c r="DM29" s="66"/>
      <c r="DN29" s="66"/>
      <c r="DO29" s="66"/>
      <c r="DP29" s="66"/>
      <c r="DQ29" s="66"/>
      <c r="DR29" s="66"/>
      <c r="DS29" s="66"/>
    </row>
    <row r="30" spans="1:125" s="13" customFormat="1" ht="113.25" customHeight="1" x14ac:dyDescent="0.25">
      <c r="A30" s="1493">
        <v>46122</v>
      </c>
      <c r="B30" s="1345" t="s">
        <v>356</v>
      </c>
      <c r="C30" s="1345" t="s">
        <v>357</v>
      </c>
      <c r="D30" s="1345" t="s">
        <v>358</v>
      </c>
      <c r="E30" s="1368" t="s">
        <v>39</v>
      </c>
      <c r="F30" s="1363"/>
      <c r="G30" s="1430">
        <v>1</v>
      </c>
      <c r="H30" s="1363"/>
      <c r="I30" s="44" t="s">
        <v>359</v>
      </c>
      <c r="J30" s="1365">
        <v>70</v>
      </c>
      <c r="K30" s="1346" t="s">
        <v>360</v>
      </c>
      <c r="L30" s="1367" t="s">
        <v>63</v>
      </c>
      <c r="M30" s="42" t="s">
        <v>55</v>
      </c>
      <c r="N30" s="48" t="s">
        <v>361</v>
      </c>
      <c r="O30" s="1370"/>
      <c r="P30" s="1370"/>
      <c r="Q30" s="1370"/>
      <c r="R30" s="1371">
        <v>59</v>
      </c>
      <c r="S30" s="1371">
        <v>97</v>
      </c>
      <c r="T30" s="1372" t="s">
        <v>67</v>
      </c>
      <c r="U30" s="1372">
        <v>9</v>
      </c>
      <c r="V30" s="1438">
        <f t="shared" si="0"/>
        <v>630</v>
      </c>
      <c r="W30" s="1372" t="s">
        <v>68</v>
      </c>
      <c r="X30" s="1416" t="s">
        <v>111</v>
      </c>
      <c r="Y30" s="1417" t="s">
        <v>70</v>
      </c>
      <c r="Z30" s="1393" t="s">
        <v>51</v>
      </c>
      <c r="AA30" s="1418" t="s">
        <v>120</v>
      </c>
      <c r="AB30" s="1378" t="s">
        <v>362</v>
      </c>
      <c r="AC30" s="1379">
        <f>12169.5 * J30/350 + 320 + 880</f>
        <v>3633.9</v>
      </c>
      <c r="AD30" s="1413"/>
      <c r="AE30" s="67" t="s">
        <v>73</v>
      </c>
      <c r="AF30" s="1380" t="s">
        <v>55</v>
      </c>
      <c r="AG30" s="1380" t="s">
        <v>56</v>
      </c>
      <c r="AH30" s="1380" t="s">
        <v>86</v>
      </c>
      <c r="AI30" s="1380" t="s">
        <v>87</v>
      </c>
      <c r="AJ30" s="66"/>
      <c r="AK30" s="66"/>
      <c r="AL30" s="78" t="s">
        <v>363</v>
      </c>
      <c r="AM30" s="66">
        <v>2</v>
      </c>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6"/>
      <c r="BW30" s="66"/>
      <c r="BX30" s="66"/>
      <c r="BY30" s="66"/>
      <c r="BZ30" s="66"/>
      <c r="CA30" s="66"/>
      <c r="CB30" s="66"/>
      <c r="CC30" s="66"/>
      <c r="CD30" s="66"/>
      <c r="CE30" s="66"/>
      <c r="CF30" s="66"/>
      <c r="CG30" s="66"/>
      <c r="CH30" s="66"/>
      <c r="CI30" s="66"/>
      <c r="CJ30" s="66"/>
      <c r="CK30" s="66"/>
      <c r="CL30" s="66"/>
      <c r="CM30" s="66"/>
      <c r="CN30" s="66"/>
      <c r="CO30" s="66"/>
      <c r="CP30" s="66"/>
      <c r="CQ30" s="66"/>
      <c r="CR30" s="66"/>
      <c r="CS30" s="66"/>
      <c r="CT30" s="66"/>
      <c r="CU30" s="66"/>
      <c r="CV30" s="66"/>
      <c r="CW30" s="66"/>
      <c r="CX30" s="66"/>
      <c r="CY30" s="66"/>
      <c r="CZ30" s="66"/>
      <c r="DA30" s="66"/>
      <c r="DB30" s="66"/>
      <c r="DC30" s="66"/>
      <c r="DD30" s="66"/>
      <c r="DE30" s="66"/>
      <c r="DF30" s="66"/>
      <c r="DG30" s="66"/>
      <c r="DH30" s="66"/>
      <c r="DI30" s="66"/>
      <c r="DJ30" s="66"/>
      <c r="DK30" s="66"/>
      <c r="DL30" s="66"/>
      <c r="DM30" s="66"/>
      <c r="DN30" s="66"/>
      <c r="DO30" s="66"/>
      <c r="DP30" s="66"/>
      <c r="DQ30" s="66"/>
      <c r="DR30" s="66"/>
      <c r="DS30" s="66"/>
    </row>
    <row r="31" spans="1:125" s="13" customFormat="1" ht="113.25" customHeight="1" x14ac:dyDescent="0.25">
      <c r="A31" s="1493">
        <v>46122</v>
      </c>
      <c r="B31" s="1348" t="s">
        <v>364</v>
      </c>
      <c r="C31" s="1401" t="s">
        <v>365</v>
      </c>
      <c r="D31" s="1345"/>
      <c r="E31" s="1368" t="s">
        <v>39</v>
      </c>
      <c r="F31" s="1430">
        <v>2</v>
      </c>
      <c r="G31" s="1363"/>
      <c r="H31" s="1363"/>
      <c r="I31" s="44" t="s">
        <v>366</v>
      </c>
      <c r="J31" s="1365">
        <v>100</v>
      </c>
      <c r="K31" s="1346" t="s">
        <v>367</v>
      </c>
      <c r="L31" s="1459" t="s">
        <v>41</v>
      </c>
      <c r="M31" s="1368" t="s">
        <v>55</v>
      </c>
      <c r="N31" s="48" t="s">
        <v>368</v>
      </c>
      <c r="O31" s="1370"/>
      <c r="P31" s="1370" t="s">
        <v>369</v>
      </c>
      <c r="Q31" s="1370" t="s">
        <v>299</v>
      </c>
      <c r="R31" s="50">
        <v>16</v>
      </c>
      <c r="S31" s="50">
        <v>32</v>
      </c>
      <c r="T31" s="51" t="s">
        <v>96</v>
      </c>
      <c r="U31" s="51">
        <v>1</v>
      </c>
      <c r="V31" s="1373">
        <f t="shared" si="0"/>
        <v>100</v>
      </c>
      <c r="W31" s="1372" t="s">
        <v>221</v>
      </c>
      <c r="X31" s="1416" t="s">
        <v>244</v>
      </c>
      <c r="Y31" s="1417" t="s">
        <v>70</v>
      </c>
      <c r="Z31" s="1393" t="s">
        <v>51</v>
      </c>
      <c r="AA31" s="1418" t="s">
        <v>83</v>
      </c>
      <c r="AB31" s="1378" t="s">
        <v>370</v>
      </c>
      <c r="AC31" s="1379">
        <v>3191</v>
      </c>
      <c r="AD31" s="1413"/>
      <c r="AE31" s="67" t="s">
        <v>73</v>
      </c>
      <c r="AF31" s="38" t="s">
        <v>55</v>
      </c>
      <c r="AG31" s="1380" t="s">
        <v>56</v>
      </c>
      <c r="AH31" s="38" t="s">
        <v>86</v>
      </c>
      <c r="AI31" s="37" t="s">
        <v>57</v>
      </c>
      <c r="AJ31" s="1380" t="s">
        <v>56</v>
      </c>
      <c r="AK31" s="38" t="s">
        <v>74</v>
      </c>
      <c r="AL31" s="66"/>
      <c r="AM31" s="66">
        <v>4</v>
      </c>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S31" s="66"/>
    </row>
    <row r="32" spans="1:125" s="13" customFormat="1" ht="113.25" customHeight="1" x14ac:dyDescent="0.25">
      <c r="A32" s="1493">
        <v>46121</v>
      </c>
      <c r="B32" s="1345" t="s">
        <v>371</v>
      </c>
      <c r="C32" s="1345" t="s">
        <v>372</v>
      </c>
      <c r="D32" s="1345"/>
      <c r="E32" s="1368" t="s">
        <v>39</v>
      </c>
      <c r="F32" s="43"/>
      <c r="G32" s="1430">
        <v>2</v>
      </c>
      <c r="H32" s="43"/>
      <c r="I32" s="44" t="s">
        <v>373</v>
      </c>
      <c r="J32" s="1365">
        <v>110</v>
      </c>
      <c r="K32" s="1346" t="s">
        <v>374</v>
      </c>
      <c r="L32" s="1367" t="s">
        <v>63</v>
      </c>
      <c r="M32" s="42" t="s">
        <v>42</v>
      </c>
      <c r="N32" s="48" t="s">
        <v>375</v>
      </c>
      <c r="O32" s="1370"/>
      <c r="P32" s="1370" t="s">
        <v>376</v>
      </c>
      <c r="Q32" s="1370" t="s">
        <v>377</v>
      </c>
      <c r="R32" s="1371">
        <v>40</v>
      </c>
      <c r="S32" s="1371">
        <v>88</v>
      </c>
      <c r="T32" s="1372" t="s">
        <v>96</v>
      </c>
      <c r="U32" s="1372">
        <v>14</v>
      </c>
      <c r="V32" s="1438">
        <f t="shared" si="0"/>
        <v>1540</v>
      </c>
      <c r="W32" s="1372" t="s">
        <v>48</v>
      </c>
      <c r="X32" s="1416" t="s">
        <v>265</v>
      </c>
      <c r="Y32" s="1417" t="s">
        <v>82</v>
      </c>
      <c r="Z32" s="1393" t="s">
        <v>51</v>
      </c>
      <c r="AA32" s="1418" t="s">
        <v>83</v>
      </c>
      <c r="AB32" s="1378" t="s">
        <v>266</v>
      </c>
      <c r="AC32" s="1379">
        <v>6954.3</v>
      </c>
      <c r="AD32" s="1413"/>
      <c r="AE32" s="67" t="s">
        <v>85</v>
      </c>
      <c r="AF32" s="1380" t="s">
        <v>55</v>
      </c>
      <c r="AG32" s="1380" t="s">
        <v>56</v>
      </c>
      <c r="AH32" s="38" t="s">
        <v>86</v>
      </c>
      <c r="AI32" s="37" t="s">
        <v>57</v>
      </c>
      <c r="AJ32" s="66"/>
      <c r="AK32" s="66"/>
      <c r="AL32" s="66"/>
      <c r="AM32" s="66">
        <v>1</v>
      </c>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c r="CY32" s="66"/>
      <c r="CZ32" s="66"/>
      <c r="DA32" s="66"/>
      <c r="DB32" s="66"/>
      <c r="DC32" s="66"/>
      <c r="DD32" s="66"/>
      <c r="DE32" s="66"/>
      <c r="DF32" s="66"/>
      <c r="DG32" s="66"/>
      <c r="DH32" s="66"/>
      <c r="DI32" s="66"/>
      <c r="DJ32" s="66"/>
      <c r="DK32" s="66"/>
      <c r="DL32" s="66"/>
      <c r="DM32" s="66"/>
      <c r="DN32" s="66"/>
      <c r="DO32" s="66"/>
      <c r="DP32" s="66"/>
      <c r="DQ32" s="66"/>
    </row>
    <row r="33" spans="1:121" s="13" customFormat="1" ht="113.25" customHeight="1" x14ac:dyDescent="0.25">
      <c r="A33" s="1493">
        <v>46121</v>
      </c>
      <c r="B33" s="1345" t="s">
        <v>356</v>
      </c>
      <c r="C33" s="1345" t="s">
        <v>378</v>
      </c>
      <c r="D33" s="1345" t="s">
        <v>237</v>
      </c>
      <c r="E33" s="1368" t="s">
        <v>39</v>
      </c>
      <c r="F33" s="1363"/>
      <c r="G33" s="1430">
        <v>1</v>
      </c>
      <c r="H33" s="1363"/>
      <c r="I33" s="44" t="s">
        <v>379</v>
      </c>
      <c r="J33" s="1365">
        <v>5</v>
      </c>
      <c r="K33" s="1346" t="s">
        <v>374</v>
      </c>
      <c r="L33" s="1367" t="s">
        <v>63</v>
      </c>
      <c r="M33" s="1368" t="s">
        <v>55</v>
      </c>
      <c r="N33" s="48" t="s">
        <v>380</v>
      </c>
      <c r="O33" s="1370" t="s">
        <v>377</v>
      </c>
      <c r="P33" s="1370" t="s">
        <v>381</v>
      </c>
      <c r="Q33" s="1370" t="s">
        <v>382</v>
      </c>
      <c r="R33" s="1371">
        <v>35</v>
      </c>
      <c r="S33" s="1371">
        <v>528</v>
      </c>
      <c r="T33" s="1372" t="s">
        <v>47</v>
      </c>
      <c r="U33" s="1372">
        <v>3</v>
      </c>
      <c r="V33" s="1373">
        <f t="shared" si="0"/>
        <v>15</v>
      </c>
      <c r="W33" s="1372" t="s">
        <v>142</v>
      </c>
      <c r="X33" s="1416" t="s">
        <v>300</v>
      </c>
      <c r="Y33" s="1417" t="s">
        <v>383</v>
      </c>
      <c r="Z33" s="1393" t="s">
        <v>51</v>
      </c>
      <c r="AA33" s="1418" t="s">
        <v>384</v>
      </c>
      <c r="AB33" s="1378" t="s">
        <v>385</v>
      </c>
      <c r="AC33" s="1379">
        <v>300</v>
      </c>
      <c r="AD33" s="1413"/>
      <c r="AE33" s="67" t="s">
        <v>85</v>
      </c>
      <c r="AF33" s="1380" t="s">
        <v>55</v>
      </c>
      <c r="AG33" s="1380" t="s">
        <v>56</v>
      </c>
      <c r="AH33" s="1380" t="s">
        <v>56</v>
      </c>
      <c r="AI33" s="1380" t="s">
        <v>87</v>
      </c>
      <c r="AJ33" s="1380" t="s">
        <v>56</v>
      </c>
      <c r="AK33" s="1380" t="s">
        <v>149</v>
      </c>
      <c r="AL33" s="66"/>
      <c r="AM33" s="66">
        <v>1</v>
      </c>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6"/>
      <c r="CG33" s="66"/>
      <c r="CH33" s="66"/>
      <c r="CI33" s="66"/>
      <c r="CJ33" s="66"/>
      <c r="CK33" s="66"/>
      <c r="CL33" s="66"/>
      <c r="CM33" s="66"/>
      <c r="CN33" s="66"/>
      <c r="CO33" s="66"/>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row>
    <row r="34" spans="1:121" s="13" customFormat="1" ht="113.25" customHeight="1" x14ac:dyDescent="0.25">
      <c r="A34" s="1493">
        <v>46121</v>
      </c>
      <c r="B34" s="1345" t="s">
        <v>386</v>
      </c>
      <c r="C34" s="1345" t="s">
        <v>387</v>
      </c>
      <c r="D34" s="1345"/>
      <c r="E34" s="42" t="s">
        <v>39</v>
      </c>
      <c r="F34" s="1363"/>
      <c r="G34" s="1430">
        <v>1</v>
      </c>
      <c r="H34" s="1363"/>
      <c r="I34" s="44" t="s">
        <v>388</v>
      </c>
      <c r="J34" s="1365">
        <v>200</v>
      </c>
      <c r="K34" s="1346" t="s">
        <v>389</v>
      </c>
      <c r="L34" s="1367" t="s">
        <v>63</v>
      </c>
      <c r="M34" s="42" t="s">
        <v>42</v>
      </c>
      <c r="N34" s="48" t="s">
        <v>390</v>
      </c>
      <c r="O34" s="1370" t="s">
        <v>391</v>
      </c>
      <c r="P34" s="1370"/>
      <c r="Q34" s="1370" t="s">
        <v>392</v>
      </c>
      <c r="R34" s="1371">
        <v>15</v>
      </c>
      <c r="S34" s="1371">
        <v>31</v>
      </c>
      <c r="T34" s="1372" t="s">
        <v>393</v>
      </c>
      <c r="U34" s="1372">
        <v>1</v>
      </c>
      <c r="V34" s="1373">
        <f t="shared" ref="V34:V65" si="1">U34*J34</f>
        <v>200</v>
      </c>
      <c r="W34" s="1372" t="s">
        <v>48</v>
      </c>
      <c r="X34" s="1416" t="s">
        <v>49</v>
      </c>
      <c r="Y34" s="1417" t="s">
        <v>50</v>
      </c>
      <c r="Z34" s="32" t="s">
        <v>51</v>
      </c>
      <c r="AA34" s="1418" t="s">
        <v>275</v>
      </c>
      <c r="AB34" s="1378" t="s">
        <v>394</v>
      </c>
      <c r="AC34" s="1379">
        <v>4840</v>
      </c>
      <c r="AD34" s="1413"/>
      <c r="AE34" s="67" t="s">
        <v>73</v>
      </c>
      <c r="AF34" s="1380" t="s">
        <v>55</v>
      </c>
      <c r="AG34" s="1380" t="s">
        <v>56</v>
      </c>
      <c r="AH34" s="1380" t="s">
        <v>56</v>
      </c>
      <c r="AI34" s="1380" t="s">
        <v>87</v>
      </c>
      <c r="AJ34" s="1380" t="s">
        <v>56</v>
      </c>
      <c r="AK34" s="1380" t="s">
        <v>395</v>
      </c>
      <c r="AL34" s="1419"/>
      <c r="AM34" s="1413">
        <v>15</v>
      </c>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6"/>
      <c r="CG34" s="66"/>
      <c r="CH34" s="66"/>
      <c r="CI34" s="66"/>
      <c r="CJ34" s="66"/>
      <c r="CK34" s="66"/>
      <c r="CL34" s="66"/>
      <c r="CM34" s="66"/>
      <c r="CN34" s="66"/>
      <c r="CO34" s="66"/>
      <c r="CP34" s="66"/>
      <c r="CQ34" s="66"/>
      <c r="CR34" s="66"/>
      <c r="CS34" s="66"/>
      <c r="CT34" s="66"/>
      <c r="CU34" s="66"/>
      <c r="CV34" s="66"/>
      <c r="CW34" s="66"/>
      <c r="CX34" s="66"/>
      <c r="CY34" s="66"/>
      <c r="CZ34" s="66"/>
      <c r="DA34" s="66"/>
      <c r="DB34" s="66"/>
      <c r="DC34" s="66"/>
      <c r="DD34" s="66"/>
      <c r="DE34" s="66"/>
      <c r="DF34" s="66"/>
      <c r="DG34" s="66"/>
      <c r="DH34" s="66"/>
      <c r="DI34" s="66"/>
      <c r="DJ34" s="66"/>
      <c r="DK34" s="66"/>
      <c r="DL34" s="66"/>
      <c r="DM34" s="66"/>
      <c r="DN34" s="66"/>
      <c r="DO34" s="66"/>
      <c r="DP34" s="66"/>
      <c r="DQ34" s="66"/>
    </row>
    <row r="35" spans="1:121" s="13" customFormat="1" ht="113.25" customHeight="1" x14ac:dyDescent="0.25">
      <c r="A35" s="1493">
        <v>46121</v>
      </c>
      <c r="B35" s="1345" t="s">
        <v>396</v>
      </c>
      <c r="C35" s="1345" t="s">
        <v>397</v>
      </c>
      <c r="D35" s="1345"/>
      <c r="E35" s="1368" t="s">
        <v>39</v>
      </c>
      <c r="F35" s="1430">
        <v>2</v>
      </c>
      <c r="G35" s="1363"/>
      <c r="H35" s="1363"/>
      <c r="I35" s="44" t="s">
        <v>398</v>
      </c>
      <c r="J35" s="1365">
        <v>60</v>
      </c>
      <c r="K35" s="46" t="s">
        <v>389</v>
      </c>
      <c r="L35" s="1459" t="s">
        <v>261</v>
      </c>
      <c r="M35" s="42" t="s">
        <v>42</v>
      </c>
      <c r="N35" s="1344" t="s">
        <v>399</v>
      </c>
      <c r="O35" s="1370"/>
      <c r="P35" s="1370"/>
      <c r="Q35" s="1370"/>
      <c r="R35" s="1446">
        <v>105</v>
      </c>
      <c r="S35" s="1371">
        <v>363</v>
      </c>
      <c r="T35" s="1372" t="s">
        <v>180</v>
      </c>
      <c r="U35" s="1372">
        <v>21</v>
      </c>
      <c r="V35" s="1438">
        <f t="shared" si="1"/>
        <v>1260</v>
      </c>
      <c r="W35" s="1372" t="s">
        <v>48</v>
      </c>
      <c r="X35" s="1416" t="s">
        <v>49</v>
      </c>
      <c r="Y35" s="1417" t="s">
        <v>50</v>
      </c>
      <c r="Z35" s="32" t="s">
        <v>400</v>
      </c>
      <c r="AA35" s="1418" t="s">
        <v>384</v>
      </c>
      <c r="AB35" s="1378" t="s">
        <v>394</v>
      </c>
      <c r="AC35" s="1379">
        <f>18674.4*J35/80</f>
        <v>14005.8</v>
      </c>
      <c r="AD35" s="1413"/>
      <c r="AE35" s="67" t="s">
        <v>73</v>
      </c>
      <c r="AF35" s="1380" t="s">
        <v>55</v>
      </c>
      <c r="AG35" s="1380" t="s">
        <v>56</v>
      </c>
      <c r="AH35" s="1380" t="s">
        <v>56</v>
      </c>
      <c r="AI35" s="1380" t="s">
        <v>87</v>
      </c>
      <c r="AJ35" s="1380"/>
      <c r="AK35" s="1380"/>
      <c r="AL35" s="39" t="s">
        <v>401</v>
      </c>
      <c r="AM35" s="1413">
        <v>2</v>
      </c>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row>
    <row r="36" spans="1:121" s="13" customFormat="1" ht="113.25" customHeight="1" x14ac:dyDescent="0.25">
      <c r="A36" s="1493">
        <v>46120</v>
      </c>
      <c r="B36" s="1345" t="s">
        <v>328</v>
      </c>
      <c r="C36" s="1345" t="s">
        <v>236</v>
      </c>
      <c r="D36" s="1345"/>
      <c r="E36" s="1368" t="s">
        <v>39</v>
      </c>
      <c r="F36" s="1363"/>
      <c r="G36" s="1430">
        <v>3</v>
      </c>
      <c r="H36" s="1363"/>
      <c r="I36" s="44" t="s">
        <v>402</v>
      </c>
      <c r="J36" s="1365">
        <v>50</v>
      </c>
      <c r="K36" s="1346" t="s">
        <v>389</v>
      </c>
      <c r="L36" s="1367" t="s">
        <v>63</v>
      </c>
      <c r="M36" s="42" t="s">
        <v>42</v>
      </c>
      <c r="N36" s="48" t="s">
        <v>403</v>
      </c>
      <c r="O36" s="1370"/>
      <c r="P36" s="1370" t="s">
        <v>404</v>
      </c>
      <c r="Q36" s="1370" t="s">
        <v>405</v>
      </c>
      <c r="R36" s="1371">
        <v>7</v>
      </c>
      <c r="S36" s="1371">
        <v>33</v>
      </c>
      <c r="T36" s="1372" t="s">
        <v>96</v>
      </c>
      <c r="U36" s="1372">
        <v>1</v>
      </c>
      <c r="V36" s="1373">
        <f t="shared" si="1"/>
        <v>50</v>
      </c>
      <c r="W36" s="1372" t="s">
        <v>406</v>
      </c>
      <c r="X36" s="1416" t="s">
        <v>407</v>
      </c>
      <c r="Y36" s="1375" t="s">
        <v>383</v>
      </c>
      <c r="Z36" s="32" t="s">
        <v>51</v>
      </c>
      <c r="AA36" s="1418" t="s">
        <v>83</v>
      </c>
      <c r="AB36" s="1378" t="s">
        <v>408</v>
      </c>
      <c r="AC36" s="1379">
        <v>3540</v>
      </c>
      <c r="AD36" s="1413"/>
      <c r="AE36" s="67" t="s">
        <v>73</v>
      </c>
      <c r="AF36" s="1380" t="s">
        <v>55</v>
      </c>
      <c r="AG36" s="1380" t="s">
        <v>56</v>
      </c>
      <c r="AH36" s="1380" t="s">
        <v>86</v>
      </c>
      <c r="AI36" s="1380" t="s">
        <v>87</v>
      </c>
      <c r="AJ36" s="66"/>
      <c r="AK36" s="66"/>
      <c r="AL36" s="66"/>
      <c r="AM36" s="66">
        <v>1</v>
      </c>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c r="BV36" s="66"/>
      <c r="BW36" s="66"/>
      <c r="BX36" s="66"/>
      <c r="BY36" s="66"/>
      <c r="BZ36" s="66"/>
      <c r="CA36" s="66"/>
      <c r="CB36" s="66"/>
      <c r="CC36" s="66"/>
      <c r="CD36" s="66"/>
      <c r="CE36" s="66"/>
      <c r="CF36" s="66"/>
      <c r="CG36" s="66"/>
      <c r="CH36" s="66"/>
      <c r="CI36" s="66"/>
      <c r="CJ36" s="66"/>
      <c r="CK36" s="66"/>
      <c r="CL36" s="66"/>
      <c r="CM36" s="66"/>
      <c r="CN36" s="66"/>
      <c r="CO36" s="66"/>
      <c r="CP36" s="66"/>
      <c r="CQ36" s="66"/>
      <c r="CR36" s="66"/>
      <c r="CS36" s="66"/>
      <c r="CT36" s="66"/>
      <c r="CU36" s="66"/>
      <c r="CV36" s="66"/>
      <c r="CW36" s="66"/>
      <c r="CX36" s="66"/>
      <c r="CY36" s="66"/>
      <c r="CZ36" s="66"/>
      <c r="DA36" s="66"/>
      <c r="DB36" s="66"/>
      <c r="DC36" s="66"/>
      <c r="DD36" s="66"/>
      <c r="DE36" s="66"/>
      <c r="DF36" s="66"/>
      <c r="DG36" s="66"/>
      <c r="DH36" s="66"/>
      <c r="DI36" s="66"/>
      <c r="DJ36" s="66"/>
      <c r="DK36" s="66"/>
      <c r="DL36" s="66"/>
      <c r="DM36" s="66"/>
      <c r="DN36" s="66"/>
      <c r="DO36" s="66"/>
    </row>
    <row r="37" spans="1:121" s="13" customFormat="1" ht="113.25" customHeight="1" x14ac:dyDescent="0.25">
      <c r="A37" s="1493">
        <v>46120</v>
      </c>
      <c r="B37" s="1345" t="s">
        <v>409</v>
      </c>
      <c r="C37" s="1345" t="s">
        <v>410</v>
      </c>
      <c r="D37" s="1345" t="s">
        <v>411</v>
      </c>
      <c r="E37" s="1368" t="s">
        <v>39</v>
      </c>
      <c r="F37" s="1430">
        <v>1</v>
      </c>
      <c r="G37" s="1363"/>
      <c r="H37" s="1363"/>
      <c r="I37" s="44" t="s">
        <v>412</v>
      </c>
      <c r="J37" s="1365">
        <v>20</v>
      </c>
      <c r="K37" s="1346" t="s">
        <v>389</v>
      </c>
      <c r="L37" s="1459" t="s">
        <v>261</v>
      </c>
      <c r="M37" s="42" t="s">
        <v>42</v>
      </c>
      <c r="N37" s="48" t="s">
        <v>413</v>
      </c>
      <c r="O37" s="1370" t="s">
        <v>414</v>
      </c>
      <c r="P37" s="1370" t="s">
        <v>415</v>
      </c>
      <c r="Q37" s="1370" t="s">
        <v>376</v>
      </c>
      <c r="R37" s="1446">
        <v>100</v>
      </c>
      <c r="S37" s="1371">
        <v>362</v>
      </c>
      <c r="T37" s="1372" t="s">
        <v>141</v>
      </c>
      <c r="U37" s="1372">
        <v>12</v>
      </c>
      <c r="V37" s="1373">
        <f t="shared" si="1"/>
        <v>240</v>
      </c>
      <c r="W37" s="1372" t="s">
        <v>48</v>
      </c>
      <c r="X37" s="1416" t="s">
        <v>416</v>
      </c>
      <c r="Y37" s="1417" t="s">
        <v>82</v>
      </c>
      <c r="Z37" s="32" t="s">
        <v>51</v>
      </c>
      <c r="AA37" s="1418" t="s">
        <v>417</v>
      </c>
      <c r="AB37" s="1378" t="s">
        <v>418</v>
      </c>
      <c r="AC37" s="1379">
        <v>9666.6</v>
      </c>
      <c r="AD37" s="1413"/>
      <c r="AE37" s="67" t="s">
        <v>73</v>
      </c>
      <c r="AF37" s="1380" t="s">
        <v>55</v>
      </c>
      <c r="AG37" s="1380" t="s">
        <v>56</v>
      </c>
      <c r="AH37" s="1380" t="s">
        <v>56</v>
      </c>
      <c r="AI37" s="1380" t="s">
        <v>87</v>
      </c>
      <c r="AJ37" s="66"/>
      <c r="AK37" s="66"/>
      <c r="AL37" s="66"/>
      <c r="AM37" s="66">
        <v>2</v>
      </c>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6"/>
      <c r="BX37" s="66"/>
      <c r="BY37" s="66"/>
      <c r="BZ37" s="66"/>
      <c r="CA37" s="66"/>
      <c r="CB37" s="66"/>
      <c r="CC37" s="66"/>
      <c r="CD37" s="66"/>
      <c r="CE37" s="66"/>
      <c r="CF37" s="66"/>
      <c r="CG37" s="66"/>
      <c r="CH37" s="66"/>
      <c r="CI37" s="66"/>
      <c r="CJ37" s="66"/>
      <c r="CK37" s="66"/>
      <c r="CL37" s="66"/>
      <c r="CM37" s="66"/>
      <c r="CN37" s="66"/>
      <c r="CO37" s="66"/>
      <c r="CP37" s="66"/>
      <c r="CQ37" s="66"/>
      <c r="CR37" s="66"/>
      <c r="CS37" s="66"/>
      <c r="CT37" s="66"/>
      <c r="CU37" s="66"/>
      <c r="CV37" s="66"/>
      <c r="CW37" s="66"/>
      <c r="CX37" s="66"/>
      <c r="CY37" s="66"/>
      <c r="CZ37" s="66"/>
      <c r="DA37" s="66"/>
      <c r="DB37" s="66"/>
      <c r="DC37" s="66"/>
      <c r="DD37" s="66"/>
      <c r="DE37" s="66"/>
      <c r="DF37" s="66"/>
      <c r="DG37" s="66"/>
      <c r="DH37" s="66"/>
      <c r="DI37" s="66"/>
      <c r="DJ37" s="66"/>
      <c r="DK37" s="66"/>
      <c r="DL37" s="66"/>
      <c r="DM37" s="66"/>
      <c r="DN37" s="66"/>
      <c r="DO37" s="66"/>
    </row>
    <row r="38" spans="1:121" s="13" customFormat="1" ht="113.25" customHeight="1" x14ac:dyDescent="0.25">
      <c r="A38" s="1493">
        <v>46120</v>
      </c>
      <c r="B38" s="1345" t="s">
        <v>419</v>
      </c>
      <c r="C38" s="1345" t="s">
        <v>420</v>
      </c>
      <c r="D38" s="1345"/>
      <c r="E38" s="1368" t="s">
        <v>39</v>
      </c>
      <c r="F38" s="1430">
        <v>1</v>
      </c>
      <c r="G38" s="1363"/>
      <c r="H38" s="1363"/>
      <c r="I38" s="44" t="s">
        <v>421</v>
      </c>
      <c r="J38" s="1365">
        <v>20</v>
      </c>
      <c r="K38" s="46" t="s">
        <v>422</v>
      </c>
      <c r="L38" s="1459" t="s">
        <v>261</v>
      </c>
      <c r="M38" s="1368" t="s">
        <v>55</v>
      </c>
      <c r="N38" s="48" t="s">
        <v>423</v>
      </c>
      <c r="O38" s="1370" t="s">
        <v>424</v>
      </c>
      <c r="P38" s="1370" t="s">
        <v>425</v>
      </c>
      <c r="Q38" s="1370" t="s">
        <v>426</v>
      </c>
      <c r="R38" s="1446">
        <v>106</v>
      </c>
      <c r="S38" s="1371">
        <v>296</v>
      </c>
      <c r="T38" s="1372" t="s">
        <v>180</v>
      </c>
      <c r="U38" s="1372">
        <v>6</v>
      </c>
      <c r="V38" s="1373">
        <f t="shared" si="1"/>
        <v>120</v>
      </c>
      <c r="W38" s="1372" t="s">
        <v>48</v>
      </c>
      <c r="X38" s="1416" t="s">
        <v>416</v>
      </c>
      <c r="Y38" s="1417" t="s">
        <v>82</v>
      </c>
      <c r="Z38" s="32" t="s">
        <v>313</v>
      </c>
      <c r="AA38" s="1418" t="s">
        <v>427</v>
      </c>
      <c r="AB38" s="1378" t="s">
        <v>428</v>
      </c>
      <c r="AC38" s="1379">
        <v>7257.8</v>
      </c>
      <c r="AD38" s="1413"/>
      <c r="AE38" s="67" t="s">
        <v>73</v>
      </c>
      <c r="AF38" s="1380" t="s">
        <v>55</v>
      </c>
      <c r="AG38" s="1380" t="s">
        <v>56</v>
      </c>
      <c r="AH38" s="1380" t="s">
        <v>56</v>
      </c>
      <c r="AI38" s="1380" t="s">
        <v>87</v>
      </c>
      <c r="AJ38" s="66"/>
      <c r="AK38" s="66"/>
      <c r="AL38" s="66"/>
      <c r="AM38" s="66">
        <v>2</v>
      </c>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c r="BY38" s="66"/>
      <c r="BZ38" s="66"/>
      <c r="CA38" s="66"/>
      <c r="CB38" s="66"/>
      <c r="CC38" s="66"/>
      <c r="CD38" s="66"/>
      <c r="CE38" s="66"/>
      <c r="CF38" s="66"/>
      <c r="CG38" s="66"/>
      <c r="CH38" s="66"/>
      <c r="CI38" s="66"/>
      <c r="CJ38" s="66"/>
      <c r="CK38" s="66"/>
      <c r="CL38" s="66"/>
      <c r="CM38" s="66"/>
      <c r="CN38" s="66"/>
      <c r="CO38" s="66"/>
      <c r="CP38" s="66"/>
      <c r="CQ38" s="66"/>
      <c r="CR38" s="66"/>
      <c r="CS38" s="66"/>
      <c r="CT38" s="66"/>
      <c r="CU38" s="66"/>
      <c r="CV38" s="66"/>
      <c r="CW38" s="66"/>
      <c r="CX38" s="66"/>
      <c r="CY38" s="66"/>
      <c r="CZ38" s="66"/>
      <c r="DA38" s="66"/>
      <c r="DB38" s="66"/>
      <c r="DC38" s="66"/>
      <c r="DD38" s="66"/>
      <c r="DE38" s="66"/>
      <c r="DF38" s="66"/>
      <c r="DG38" s="66"/>
      <c r="DH38" s="66"/>
      <c r="DI38" s="66"/>
      <c r="DJ38" s="66"/>
      <c r="DK38" s="66"/>
      <c r="DL38" s="66"/>
      <c r="DM38" s="66"/>
      <c r="DN38" s="66"/>
      <c r="DO38" s="66"/>
    </row>
    <row r="39" spans="1:121" s="13" customFormat="1" ht="113.25" customHeight="1" x14ac:dyDescent="0.25">
      <c r="A39" s="1493">
        <v>46119</v>
      </c>
      <c r="B39" s="1345" t="s">
        <v>429</v>
      </c>
      <c r="C39" s="1345" t="s">
        <v>430</v>
      </c>
      <c r="D39" s="41"/>
      <c r="E39" s="42" t="s">
        <v>39</v>
      </c>
      <c r="F39" s="43"/>
      <c r="G39" s="1430">
        <v>3</v>
      </c>
      <c r="H39" s="43"/>
      <c r="I39" s="72" t="s">
        <v>431</v>
      </c>
      <c r="J39" s="45">
        <v>45</v>
      </c>
      <c r="K39" s="1346" t="s">
        <v>374</v>
      </c>
      <c r="L39" s="1367" t="s">
        <v>63</v>
      </c>
      <c r="M39" s="42" t="s">
        <v>42</v>
      </c>
      <c r="N39" s="77" t="s">
        <v>432</v>
      </c>
      <c r="O39" s="49" t="s">
        <v>377</v>
      </c>
      <c r="P39" s="49" t="s">
        <v>433</v>
      </c>
      <c r="Q39" s="49" t="s">
        <v>264</v>
      </c>
      <c r="R39" s="50">
        <v>2</v>
      </c>
      <c r="S39" s="50">
        <v>2</v>
      </c>
      <c r="T39" s="51" t="s">
        <v>47</v>
      </c>
      <c r="U39" s="51">
        <v>0</v>
      </c>
      <c r="V39" s="52">
        <f t="shared" si="1"/>
        <v>0</v>
      </c>
      <c r="W39" s="51" t="s">
        <v>142</v>
      </c>
      <c r="X39" s="30" t="s">
        <v>434</v>
      </c>
      <c r="Y39" s="31" t="s">
        <v>82</v>
      </c>
      <c r="Z39" s="53"/>
      <c r="AA39" s="33" t="s">
        <v>224</v>
      </c>
      <c r="AB39" s="65" t="s">
        <v>435</v>
      </c>
      <c r="AC39" s="35">
        <f>2270 * J39/50</f>
        <v>2043</v>
      </c>
      <c r="AD39" s="66"/>
      <c r="AE39" s="67" t="s">
        <v>85</v>
      </c>
      <c r="AF39" s="1380" t="s">
        <v>55</v>
      </c>
      <c r="AG39" s="38" t="s">
        <v>56</v>
      </c>
      <c r="AH39" s="38" t="s">
        <v>56</v>
      </c>
      <c r="AI39" s="1380" t="s">
        <v>87</v>
      </c>
      <c r="AJ39" s="38"/>
      <c r="AK39" s="38"/>
      <c r="AL39" s="68"/>
      <c r="AM39" s="66">
        <v>75</v>
      </c>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X39" s="66"/>
      <c r="BY39" s="66"/>
      <c r="BZ39" s="66"/>
      <c r="CA39" s="66"/>
      <c r="CB39" s="66"/>
      <c r="CC39" s="66"/>
      <c r="CD39" s="66"/>
      <c r="CE39" s="66"/>
      <c r="CF39" s="66"/>
      <c r="CG39" s="66"/>
      <c r="CH39" s="66"/>
      <c r="CI39" s="66"/>
      <c r="CJ39" s="66"/>
      <c r="CK39" s="66"/>
      <c r="CL39" s="66"/>
      <c r="CM39" s="66"/>
      <c r="CN39" s="66"/>
      <c r="CO39" s="66"/>
      <c r="CP39" s="66"/>
      <c r="CQ39" s="66"/>
      <c r="CR39" s="66"/>
      <c r="CS39" s="66"/>
      <c r="CT39" s="66"/>
      <c r="CU39" s="66"/>
      <c r="CV39" s="66"/>
      <c r="CW39" s="66"/>
      <c r="CX39" s="66"/>
      <c r="CY39" s="66"/>
      <c r="CZ39" s="66"/>
      <c r="DA39" s="66"/>
      <c r="DB39" s="66"/>
      <c r="DC39" s="66"/>
      <c r="DD39" s="66"/>
      <c r="DE39" s="66"/>
      <c r="DF39" s="66"/>
      <c r="DG39" s="66"/>
      <c r="DH39" s="66"/>
      <c r="DI39" s="66"/>
      <c r="DJ39" s="66"/>
      <c r="DK39" s="66"/>
      <c r="DL39" s="66"/>
      <c r="DM39" s="66"/>
      <c r="DN39" s="66"/>
      <c r="DO39" s="66"/>
    </row>
    <row r="40" spans="1:121" s="13" customFormat="1" ht="113.25" customHeight="1" x14ac:dyDescent="0.25">
      <c r="A40" s="1493">
        <v>46119</v>
      </c>
      <c r="B40" s="1345" t="s">
        <v>436</v>
      </c>
      <c r="C40" s="1345" t="s">
        <v>437</v>
      </c>
      <c r="D40" s="1345" t="s">
        <v>438</v>
      </c>
      <c r="E40" s="1368" t="s">
        <v>39</v>
      </c>
      <c r="F40" s="1430">
        <v>1</v>
      </c>
      <c r="G40" s="1363"/>
      <c r="H40" s="1363"/>
      <c r="I40" s="44" t="s">
        <v>439</v>
      </c>
      <c r="J40" s="1365">
        <v>75</v>
      </c>
      <c r="K40" s="46" t="s">
        <v>440</v>
      </c>
      <c r="L40" s="1459" t="s">
        <v>41</v>
      </c>
      <c r="M40" s="1368" t="s">
        <v>42</v>
      </c>
      <c r="N40" s="48" t="s">
        <v>441</v>
      </c>
      <c r="O40" s="1370" t="s">
        <v>425</v>
      </c>
      <c r="P40" s="1370" t="s">
        <v>392</v>
      </c>
      <c r="Q40" s="1370" t="s">
        <v>442</v>
      </c>
      <c r="R40" s="1371">
        <v>14</v>
      </c>
      <c r="S40" s="1371">
        <v>27</v>
      </c>
      <c r="T40" s="1372" t="s">
        <v>47</v>
      </c>
      <c r="U40" s="1372">
        <v>0</v>
      </c>
      <c r="V40" s="1373">
        <f t="shared" si="1"/>
        <v>0</v>
      </c>
      <c r="W40" s="1372" t="s">
        <v>48</v>
      </c>
      <c r="X40" s="1416" t="s">
        <v>49</v>
      </c>
      <c r="Y40" s="1417" t="s">
        <v>50</v>
      </c>
      <c r="Z40" s="32" t="s">
        <v>51</v>
      </c>
      <c r="AA40" s="1418" t="s">
        <v>427</v>
      </c>
      <c r="AB40" s="1378" t="s">
        <v>443</v>
      </c>
      <c r="AC40" s="1379">
        <v>2794.5</v>
      </c>
      <c r="AD40" s="1413"/>
      <c r="AE40" s="37" t="s">
        <v>444</v>
      </c>
      <c r="AF40" s="38" t="s">
        <v>55</v>
      </c>
      <c r="AG40" s="1380" t="s">
        <v>56</v>
      </c>
      <c r="AH40" s="1380" t="s">
        <v>56</v>
      </c>
      <c r="AI40" s="1380" t="s">
        <v>87</v>
      </c>
      <c r="AJ40" s="1380" t="s">
        <v>56</v>
      </c>
      <c r="AK40" s="1380" t="s">
        <v>149</v>
      </c>
      <c r="AL40" s="1419"/>
      <c r="AM40" s="1413">
        <v>20</v>
      </c>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c r="CD40" s="66"/>
      <c r="CE40" s="66"/>
      <c r="CF40" s="66"/>
      <c r="CG40" s="66"/>
      <c r="CH40" s="66"/>
      <c r="CI40" s="66"/>
      <c r="CJ40" s="66"/>
      <c r="CK40" s="66"/>
      <c r="CL40" s="66"/>
      <c r="CM40" s="66"/>
      <c r="CN40" s="66"/>
      <c r="CO40" s="66"/>
      <c r="CP40" s="66"/>
      <c r="CQ40" s="66"/>
      <c r="CR40" s="66"/>
      <c r="CS40" s="66"/>
      <c r="CT40" s="66"/>
      <c r="CU40" s="66"/>
      <c r="CV40" s="66"/>
      <c r="CW40" s="66"/>
      <c r="CX40" s="66"/>
      <c r="CY40" s="66"/>
      <c r="CZ40" s="66"/>
      <c r="DA40" s="66"/>
      <c r="DB40" s="66"/>
      <c r="DC40" s="66"/>
      <c r="DD40" s="66"/>
      <c r="DE40" s="66"/>
      <c r="DF40" s="66"/>
      <c r="DG40" s="66"/>
      <c r="DH40" s="66"/>
      <c r="DI40" s="66"/>
      <c r="DJ40" s="66"/>
      <c r="DK40" s="66"/>
      <c r="DL40" s="66"/>
      <c r="DM40" s="66"/>
      <c r="DN40" s="66"/>
      <c r="DO40" s="66"/>
    </row>
    <row r="41" spans="1:121" s="13" customFormat="1" ht="113.25" customHeight="1" x14ac:dyDescent="0.25">
      <c r="A41" s="1493">
        <v>46119</v>
      </c>
      <c r="B41" s="1345" t="s">
        <v>445</v>
      </c>
      <c r="C41" s="1345" t="s">
        <v>446</v>
      </c>
      <c r="D41" s="1345"/>
      <c r="E41" s="1368" t="s">
        <v>39</v>
      </c>
      <c r="F41" s="1430">
        <v>1</v>
      </c>
      <c r="G41" s="1363"/>
      <c r="H41" s="1363"/>
      <c r="I41" s="44" t="s">
        <v>447</v>
      </c>
      <c r="J41" s="1365">
        <v>115</v>
      </c>
      <c r="K41" s="1346" t="s">
        <v>448</v>
      </c>
      <c r="L41" s="1367" t="s">
        <v>63</v>
      </c>
      <c r="M41" s="42" t="s">
        <v>42</v>
      </c>
      <c r="N41" s="48" t="s">
        <v>449</v>
      </c>
      <c r="O41" s="1370" t="s">
        <v>450</v>
      </c>
      <c r="P41" s="1370" t="s">
        <v>451</v>
      </c>
      <c r="Q41" s="1370" t="s">
        <v>452</v>
      </c>
      <c r="R41" s="1446">
        <v>103</v>
      </c>
      <c r="S41" s="1371">
        <v>332</v>
      </c>
      <c r="T41" s="1372" t="s">
        <v>180</v>
      </c>
      <c r="U41" s="1372">
        <v>15</v>
      </c>
      <c r="V41" s="1438">
        <f t="shared" si="1"/>
        <v>1725</v>
      </c>
      <c r="W41" s="1372" t="s">
        <v>48</v>
      </c>
      <c r="X41" s="1416" t="s">
        <v>49</v>
      </c>
      <c r="Y41" s="1417" t="s">
        <v>50</v>
      </c>
      <c r="Z41" s="32" t="s">
        <v>285</v>
      </c>
      <c r="AA41" s="1418" t="s">
        <v>384</v>
      </c>
      <c r="AB41" s="1378" t="s">
        <v>453</v>
      </c>
      <c r="AC41" s="1379">
        <v>17867.25</v>
      </c>
      <c r="AD41" s="1413"/>
      <c r="AE41" s="67" t="s">
        <v>73</v>
      </c>
      <c r="AF41" s="1380" t="s">
        <v>55</v>
      </c>
      <c r="AG41" s="1380" t="s">
        <v>56</v>
      </c>
      <c r="AH41" s="1380" t="s">
        <v>56</v>
      </c>
      <c r="AI41" s="1380" t="s">
        <v>87</v>
      </c>
      <c r="AJ41" s="38" t="s">
        <v>56</v>
      </c>
      <c r="AK41" s="1380" t="s">
        <v>149</v>
      </c>
      <c r="AL41" s="1419"/>
      <c r="AM41" s="1413">
        <v>1</v>
      </c>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c r="CD41" s="66"/>
      <c r="CE41" s="66"/>
      <c r="CF41" s="66"/>
      <c r="CG41" s="66"/>
      <c r="CH41" s="66"/>
      <c r="CI41" s="66"/>
      <c r="CJ41" s="66"/>
      <c r="CK41" s="66"/>
      <c r="CL41" s="66"/>
      <c r="CM41" s="66"/>
      <c r="CN41" s="66"/>
      <c r="CO41" s="66"/>
      <c r="CP41" s="66"/>
      <c r="CQ41" s="66"/>
      <c r="CR41" s="66"/>
      <c r="CS41" s="66"/>
      <c r="CT41" s="66"/>
      <c r="CU41" s="66"/>
      <c r="CV41" s="66"/>
      <c r="CW41" s="66"/>
      <c r="CX41" s="66"/>
      <c r="CY41" s="66"/>
      <c r="CZ41" s="66"/>
      <c r="DA41" s="66"/>
      <c r="DB41" s="66"/>
      <c r="DC41" s="66"/>
      <c r="DD41" s="66"/>
      <c r="DE41" s="66"/>
      <c r="DF41" s="66"/>
      <c r="DG41" s="66"/>
      <c r="DH41" s="66"/>
      <c r="DI41" s="66"/>
      <c r="DJ41" s="66"/>
      <c r="DK41" s="66"/>
      <c r="DL41" s="66"/>
      <c r="DM41" s="66"/>
      <c r="DN41" s="66"/>
      <c r="DO41" s="66"/>
    </row>
    <row r="42" spans="1:121" s="13" customFormat="1" ht="113.25" customHeight="1" x14ac:dyDescent="0.25">
      <c r="A42" s="1493">
        <v>46119</v>
      </c>
      <c r="B42" s="1345" t="s">
        <v>454</v>
      </c>
      <c r="C42" s="1345" t="s">
        <v>455</v>
      </c>
      <c r="D42" s="1345"/>
      <c r="E42" s="42" t="s">
        <v>39</v>
      </c>
      <c r="F42" s="1363"/>
      <c r="G42" s="1430">
        <v>2</v>
      </c>
      <c r="H42" s="1363"/>
      <c r="I42" s="44" t="s">
        <v>456</v>
      </c>
      <c r="J42" s="1365">
        <v>75</v>
      </c>
      <c r="K42" s="46" t="s">
        <v>440</v>
      </c>
      <c r="L42" s="1367" t="s">
        <v>63</v>
      </c>
      <c r="M42" s="42" t="s">
        <v>42</v>
      </c>
      <c r="N42" s="48" t="s">
        <v>457</v>
      </c>
      <c r="O42" s="1370" t="s">
        <v>458</v>
      </c>
      <c r="P42" s="1370"/>
      <c r="Q42" s="1370" t="s">
        <v>459</v>
      </c>
      <c r="R42" s="1371">
        <v>7</v>
      </c>
      <c r="S42" s="1371">
        <v>9</v>
      </c>
      <c r="T42" s="1372" t="s">
        <v>393</v>
      </c>
      <c r="U42" s="1372">
        <v>1</v>
      </c>
      <c r="V42" s="1373">
        <f t="shared" si="1"/>
        <v>75</v>
      </c>
      <c r="W42" s="1372" t="s">
        <v>48</v>
      </c>
      <c r="X42" s="1416" t="s">
        <v>49</v>
      </c>
      <c r="Y42" s="1417" t="s">
        <v>50</v>
      </c>
      <c r="Z42" s="32" t="s">
        <v>51</v>
      </c>
      <c r="AA42" s="1418" t="s">
        <v>427</v>
      </c>
      <c r="AB42" s="1378" t="s">
        <v>443</v>
      </c>
      <c r="AC42" s="1379">
        <v>3191.25</v>
      </c>
      <c r="AD42" s="1413"/>
      <c r="AE42" s="67" t="s">
        <v>73</v>
      </c>
      <c r="AF42" s="38" t="s">
        <v>55</v>
      </c>
      <c r="AG42" s="38" t="s">
        <v>56</v>
      </c>
      <c r="AH42" s="38" t="s">
        <v>56</v>
      </c>
      <c r="AI42" s="1380" t="s">
        <v>87</v>
      </c>
      <c r="AJ42" s="1380" t="s">
        <v>56</v>
      </c>
      <c r="AK42" s="1380" t="s">
        <v>149</v>
      </c>
      <c r="AL42" s="1419"/>
      <c r="AM42" s="1413">
        <v>10</v>
      </c>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row>
    <row r="43" spans="1:121" s="13" customFormat="1" ht="113.25" customHeight="1" x14ac:dyDescent="0.25">
      <c r="A43" s="1493">
        <v>46118</v>
      </c>
      <c r="B43" s="1345" t="s">
        <v>460</v>
      </c>
      <c r="C43" s="1345" t="s">
        <v>461</v>
      </c>
      <c r="D43" s="1345"/>
      <c r="E43" s="1368" t="s">
        <v>39</v>
      </c>
      <c r="F43" s="1430">
        <v>1</v>
      </c>
      <c r="G43" s="1363"/>
      <c r="H43" s="1363"/>
      <c r="I43" s="44" t="s">
        <v>462</v>
      </c>
      <c r="J43" s="1365">
        <v>30</v>
      </c>
      <c r="K43" s="46" t="s">
        <v>422</v>
      </c>
      <c r="L43" s="1367" t="s">
        <v>63</v>
      </c>
      <c r="M43" s="42" t="s">
        <v>42</v>
      </c>
      <c r="N43" s="48" t="s">
        <v>463</v>
      </c>
      <c r="O43" s="1370" t="s">
        <v>464</v>
      </c>
      <c r="P43" s="1370" t="s">
        <v>465</v>
      </c>
      <c r="Q43" s="1370" t="s">
        <v>466</v>
      </c>
      <c r="R43" s="1371">
        <v>57</v>
      </c>
      <c r="S43" s="1371">
        <v>123</v>
      </c>
      <c r="T43" s="1372" t="s">
        <v>47</v>
      </c>
      <c r="U43" s="1372">
        <v>8</v>
      </c>
      <c r="V43" s="1373">
        <f t="shared" si="1"/>
        <v>240</v>
      </c>
      <c r="W43" s="1372" t="s">
        <v>48</v>
      </c>
      <c r="X43" s="1416" t="s">
        <v>467</v>
      </c>
      <c r="Y43" s="1417" t="s">
        <v>82</v>
      </c>
      <c r="Z43" s="32" t="s">
        <v>51</v>
      </c>
      <c r="AA43" s="1418" t="s">
        <v>468</v>
      </c>
      <c r="AB43" s="1378" t="s">
        <v>469</v>
      </c>
      <c r="AC43" s="1379">
        <v>3455.1</v>
      </c>
      <c r="AD43" s="1413"/>
      <c r="AE43" s="67" t="s">
        <v>85</v>
      </c>
      <c r="AF43" s="1380" t="s">
        <v>55</v>
      </c>
      <c r="AG43" s="1380" t="s">
        <v>56</v>
      </c>
      <c r="AH43" s="1380" t="s">
        <v>56</v>
      </c>
      <c r="AI43" s="1380"/>
      <c r="AJ43" s="1380" t="s">
        <v>56</v>
      </c>
      <c r="AK43" s="1380" t="s">
        <v>149</v>
      </c>
      <c r="AL43" s="1419"/>
      <c r="AM43" s="1413">
        <v>1</v>
      </c>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row>
    <row r="44" spans="1:121" s="13" customFormat="1" ht="113.25" customHeight="1" x14ac:dyDescent="0.25">
      <c r="A44" s="1493">
        <v>46118</v>
      </c>
      <c r="B44" s="1345" t="s">
        <v>470</v>
      </c>
      <c r="C44" s="1345"/>
      <c r="D44" s="1345"/>
      <c r="E44" s="1368" t="s">
        <v>195</v>
      </c>
      <c r="F44" s="1363"/>
      <c r="G44" s="1363"/>
      <c r="H44" s="1363"/>
      <c r="I44" s="44" t="s">
        <v>9858</v>
      </c>
      <c r="J44" s="1365">
        <v>15</v>
      </c>
      <c r="K44" s="1346" t="s">
        <v>471</v>
      </c>
      <c r="L44" s="1367" t="s">
        <v>42</v>
      </c>
      <c r="M44" s="1368" t="s">
        <v>472</v>
      </c>
      <c r="N44" s="48" t="s">
        <v>473</v>
      </c>
      <c r="O44" s="1370"/>
      <c r="P44" s="1370"/>
      <c r="Q44" s="1370"/>
      <c r="R44" s="1371"/>
      <c r="S44" s="1371"/>
      <c r="T44" s="1372"/>
      <c r="U44" s="1372"/>
      <c r="V44" s="1373">
        <f t="shared" si="1"/>
        <v>0</v>
      </c>
      <c r="W44" s="1372"/>
      <c r="X44" s="1416" t="s">
        <v>474</v>
      </c>
      <c r="Y44" s="1417"/>
      <c r="Z44" s="32" t="s">
        <v>51</v>
      </c>
      <c r="AA44" s="1418" t="s">
        <v>83</v>
      </c>
      <c r="AB44" s="1378" t="s">
        <v>475</v>
      </c>
      <c r="AC44" s="1379">
        <v>225</v>
      </c>
      <c r="AD44" s="1413"/>
      <c r="AE44" s="1494" t="s">
        <v>55</v>
      </c>
      <c r="AF44" s="1494" t="s">
        <v>55</v>
      </c>
      <c r="AG44" s="1494" t="s">
        <v>55</v>
      </c>
      <c r="AH44" s="1494" t="s">
        <v>55</v>
      </c>
      <c r="AI44" s="1413"/>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66"/>
      <c r="CO44" s="66"/>
      <c r="CP44" s="66"/>
      <c r="CQ44" s="66"/>
      <c r="CR44" s="66"/>
      <c r="CS44" s="66"/>
      <c r="CT44" s="66"/>
      <c r="CU44" s="66"/>
      <c r="CV44" s="66"/>
      <c r="CW44" s="66"/>
      <c r="CX44" s="66"/>
      <c r="CY44" s="66"/>
      <c r="CZ44" s="66"/>
      <c r="DA44" s="66"/>
      <c r="DB44" s="66"/>
      <c r="DC44" s="66"/>
      <c r="DD44" s="66"/>
      <c r="DE44" s="66"/>
      <c r="DF44" s="66"/>
      <c r="DG44" s="66"/>
      <c r="DH44" s="66"/>
      <c r="DI44" s="66"/>
      <c r="DJ44" s="66"/>
      <c r="DK44" s="66"/>
      <c r="DL44" s="66"/>
      <c r="DM44" s="66"/>
      <c r="DN44" s="66"/>
      <c r="DO44" s="66"/>
    </row>
    <row r="45" spans="1:121" s="13" customFormat="1" ht="113.25" customHeight="1" x14ac:dyDescent="0.25">
      <c r="A45" s="1493">
        <v>46118</v>
      </c>
      <c r="B45" s="41" t="s">
        <v>476</v>
      </c>
      <c r="C45" s="1348" t="s">
        <v>477</v>
      </c>
      <c r="D45" s="41"/>
      <c r="E45" s="42" t="s">
        <v>39</v>
      </c>
      <c r="F45" s="43"/>
      <c r="G45" s="43"/>
      <c r="H45" s="1430">
        <v>1</v>
      </c>
      <c r="I45" s="69" t="s">
        <v>478</v>
      </c>
      <c r="J45" s="45">
        <v>50</v>
      </c>
      <c r="K45" s="1346" t="s">
        <v>471</v>
      </c>
      <c r="L45" s="47" t="s">
        <v>63</v>
      </c>
      <c r="M45" s="73" t="s">
        <v>42</v>
      </c>
      <c r="N45" s="48" t="s">
        <v>479</v>
      </c>
      <c r="O45" s="49" t="s">
        <v>480</v>
      </c>
      <c r="P45" s="49"/>
      <c r="Q45" s="49" t="s">
        <v>481</v>
      </c>
      <c r="R45" s="50">
        <v>1</v>
      </c>
      <c r="S45" s="50">
        <v>5</v>
      </c>
      <c r="T45" s="51" t="s">
        <v>393</v>
      </c>
      <c r="U45" s="51">
        <v>5</v>
      </c>
      <c r="V45" s="75">
        <f t="shared" si="1"/>
        <v>250</v>
      </c>
      <c r="W45" s="51" t="s">
        <v>48</v>
      </c>
      <c r="X45" s="30" t="s">
        <v>482</v>
      </c>
      <c r="Y45" s="31" t="s">
        <v>50</v>
      </c>
      <c r="Z45" s="32" t="s">
        <v>483</v>
      </c>
      <c r="AA45" s="33" t="s">
        <v>484</v>
      </c>
      <c r="AB45" s="65" t="s">
        <v>485</v>
      </c>
      <c r="AC45" s="35">
        <f>( 3575 * J45/100 ) + 900</f>
        <v>2687.5</v>
      </c>
      <c r="AD45" s="36"/>
      <c r="AE45" s="67" t="s">
        <v>73</v>
      </c>
      <c r="AF45" s="38"/>
      <c r="AG45" s="38" t="s">
        <v>56</v>
      </c>
      <c r="AH45" s="38" t="s">
        <v>56</v>
      </c>
      <c r="AI45" s="38"/>
      <c r="AJ45" s="38" t="s">
        <v>56</v>
      </c>
      <c r="AK45" s="38" t="s">
        <v>74</v>
      </c>
      <c r="AL45" s="38"/>
      <c r="AM45" s="36">
        <v>5</v>
      </c>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c r="BS45" s="36"/>
      <c r="BT45" s="36"/>
      <c r="BU45" s="36"/>
      <c r="BV45" s="36"/>
      <c r="BW45" s="36"/>
      <c r="BX45" s="36"/>
      <c r="BY45" s="36"/>
      <c r="BZ45" s="36"/>
      <c r="CA45" s="36"/>
      <c r="CB45" s="36"/>
      <c r="CC45" s="36"/>
      <c r="CD45" s="36"/>
      <c r="CE45" s="36"/>
      <c r="CF45" s="36"/>
      <c r="CG45" s="36"/>
      <c r="CH45" s="36"/>
      <c r="CI45" s="36"/>
      <c r="CJ45" s="36"/>
      <c r="CK45" s="36"/>
      <c r="CL45" s="36"/>
      <c r="CM45" s="36"/>
      <c r="CN45" s="36"/>
      <c r="CO45" s="36"/>
      <c r="CP45" s="36"/>
      <c r="CQ45" s="36"/>
      <c r="CR45" s="36"/>
      <c r="CS45" s="36"/>
      <c r="CT45" s="36"/>
      <c r="CU45" s="36"/>
      <c r="CV45" s="36"/>
      <c r="CW45" s="36"/>
      <c r="CX45" s="36"/>
      <c r="CY45" s="36"/>
      <c r="CZ45" s="36"/>
      <c r="DA45" s="36"/>
      <c r="DB45" s="36"/>
      <c r="DC45" s="36"/>
      <c r="DD45" s="36"/>
      <c r="DE45" s="36"/>
      <c r="DF45" s="36"/>
      <c r="DG45" s="36"/>
      <c r="DH45" s="36"/>
      <c r="DI45" s="36"/>
      <c r="DJ45" s="36"/>
      <c r="DK45" s="36"/>
      <c r="DL45" s="36"/>
      <c r="DM45" s="36"/>
      <c r="DN45" s="36"/>
      <c r="DO45" s="36"/>
    </row>
    <row r="46" spans="1:121" s="13" customFormat="1" ht="113.25" customHeight="1" x14ac:dyDescent="0.25">
      <c r="A46" s="1493">
        <v>46118</v>
      </c>
      <c r="B46" s="1348" t="s">
        <v>486</v>
      </c>
      <c r="C46" s="1348" t="s">
        <v>487</v>
      </c>
      <c r="D46" s="1345"/>
      <c r="E46" s="42" t="s">
        <v>39</v>
      </c>
      <c r="F46" s="1430">
        <v>1</v>
      </c>
      <c r="G46" s="1363"/>
      <c r="H46" s="1363"/>
      <c r="I46" s="44" t="s">
        <v>488</v>
      </c>
      <c r="J46" s="1365">
        <v>75</v>
      </c>
      <c r="K46" s="1346" t="s">
        <v>489</v>
      </c>
      <c r="L46" s="1367" t="s">
        <v>63</v>
      </c>
      <c r="M46" s="42" t="s">
        <v>42</v>
      </c>
      <c r="N46" s="48" t="s">
        <v>490</v>
      </c>
      <c r="O46" s="1370" t="s">
        <v>491</v>
      </c>
      <c r="P46" s="1370" t="s">
        <v>492</v>
      </c>
      <c r="Q46" s="1370" t="s">
        <v>493</v>
      </c>
      <c r="R46" s="1461">
        <v>42</v>
      </c>
      <c r="S46" s="1371">
        <v>149</v>
      </c>
      <c r="T46" s="1372" t="s">
        <v>47</v>
      </c>
      <c r="U46" s="1372">
        <v>0</v>
      </c>
      <c r="V46" s="1373">
        <f t="shared" si="1"/>
        <v>0</v>
      </c>
      <c r="W46" s="1372" t="s">
        <v>48</v>
      </c>
      <c r="X46" s="1416" t="s">
        <v>49</v>
      </c>
      <c r="Y46" s="1417" t="s">
        <v>50</v>
      </c>
      <c r="Z46" s="32" t="s">
        <v>51</v>
      </c>
      <c r="AA46" s="1418" t="s">
        <v>275</v>
      </c>
      <c r="AB46" s="1378" t="s">
        <v>494</v>
      </c>
      <c r="AC46" s="1379">
        <v>6705</v>
      </c>
      <c r="AD46" s="1413"/>
      <c r="AE46" s="67" t="s">
        <v>73</v>
      </c>
      <c r="AF46" s="1380" t="s">
        <v>55</v>
      </c>
      <c r="AG46" s="1380" t="s">
        <v>56</v>
      </c>
      <c r="AH46" s="1380" t="s">
        <v>56</v>
      </c>
      <c r="AI46" s="1380" t="s">
        <v>87</v>
      </c>
      <c r="AJ46" s="1380" t="s">
        <v>56</v>
      </c>
      <c r="AK46" s="1380" t="s">
        <v>149</v>
      </c>
      <c r="AL46" s="1419"/>
      <c r="AM46" s="1413">
        <v>3</v>
      </c>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c r="DI46" s="66"/>
      <c r="DJ46" s="66"/>
      <c r="DK46" s="66"/>
      <c r="DL46" s="66"/>
      <c r="DM46" s="66"/>
      <c r="DN46" s="66"/>
      <c r="DO46" s="66"/>
    </row>
    <row r="47" spans="1:121" s="13" customFormat="1" ht="113.25" customHeight="1" x14ac:dyDescent="0.25">
      <c r="A47" s="1493">
        <v>46118</v>
      </c>
      <c r="B47" s="1345" t="s">
        <v>495</v>
      </c>
      <c r="C47" s="1345" t="s">
        <v>269</v>
      </c>
      <c r="D47" s="1345"/>
      <c r="E47" s="1368" t="s">
        <v>39</v>
      </c>
      <c r="F47" s="1430">
        <v>1</v>
      </c>
      <c r="G47" s="1363"/>
      <c r="H47" s="1363"/>
      <c r="I47" s="44" t="s">
        <v>496</v>
      </c>
      <c r="J47" s="1365">
        <v>70</v>
      </c>
      <c r="K47" s="46" t="s">
        <v>489</v>
      </c>
      <c r="L47" s="1367" t="s">
        <v>63</v>
      </c>
      <c r="M47" s="42" t="s">
        <v>42</v>
      </c>
      <c r="N47" s="48" t="s">
        <v>240</v>
      </c>
      <c r="O47" s="1370" t="s">
        <v>497</v>
      </c>
      <c r="P47" s="1370" t="s">
        <v>498</v>
      </c>
      <c r="Q47" s="1370" t="s">
        <v>499</v>
      </c>
      <c r="R47" s="1371">
        <v>15</v>
      </c>
      <c r="S47" s="1371">
        <v>23</v>
      </c>
      <c r="T47" s="1372" t="s">
        <v>47</v>
      </c>
      <c r="U47" s="1372">
        <v>0</v>
      </c>
      <c r="V47" s="1373">
        <f t="shared" si="1"/>
        <v>0</v>
      </c>
      <c r="W47" s="1372" t="s">
        <v>48</v>
      </c>
      <c r="X47" s="1416" t="s">
        <v>49</v>
      </c>
      <c r="Y47" s="1417" t="s">
        <v>50</v>
      </c>
      <c r="Z47" s="1393" t="s">
        <v>51</v>
      </c>
      <c r="AA47" s="1418" t="s">
        <v>190</v>
      </c>
      <c r="AB47" s="1378" t="s">
        <v>500</v>
      </c>
      <c r="AC47" s="1379">
        <v>3300.5</v>
      </c>
      <c r="AD47" s="1413"/>
      <c r="AE47" s="67" t="s">
        <v>73</v>
      </c>
      <c r="AF47" s="1380" t="s">
        <v>55</v>
      </c>
      <c r="AG47" s="1380" t="s">
        <v>56</v>
      </c>
      <c r="AH47" s="1380" t="s">
        <v>56</v>
      </c>
      <c r="AI47" s="1380"/>
      <c r="AJ47" s="1380" t="s">
        <v>56</v>
      </c>
      <c r="AK47" s="1380" t="s">
        <v>149</v>
      </c>
      <c r="AL47" s="1419"/>
      <c r="AM47" s="1413">
        <v>40</v>
      </c>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row>
    <row r="48" spans="1:121" s="13" customFormat="1" ht="113.25" customHeight="1" x14ac:dyDescent="0.25">
      <c r="A48" s="1493">
        <v>46115</v>
      </c>
      <c r="B48" s="1483" t="s">
        <v>501</v>
      </c>
      <c r="C48" s="1483" t="s">
        <v>502</v>
      </c>
      <c r="D48" s="1345" t="s">
        <v>503</v>
      </c>
      <c r="E48" s="1484" t="s">
        <v>39</v>
      </c>
      <c r="F48" s="1430">
        <v>1</v>
      </c>
      <c r="G48" s="1485"/>
      <c r="H48" s="1485"/>
      <c r="I48" s="69" t="s">
        <v>504</v>
      </c>
      <c r="J48" s="1486">
        <v>3</v>
      </c>
      <c r="K48" s="1466" t="s">
        <v>505</v>
      </c>
      <c r="L48" s="1487" t="s">
        <v>63</v>
      </c>
      <c r="M48" s="1488" t="s">
        <v>42</v>
      </c>
      <c r="N48" s="1344" t="s">
        <v>506</v>
      </c>
      <c r="O48" s="1489" t="s">
        <v>507</v>
      </c>
      <c r="P48" s="1489" t="s">
        <v>508</v>
      </c>
      <c r="Q48" s="1489" t="s">
        <v>509</v>
      </c>
      <c r="R48" s="1490">
        <v>106</v>
      </c>
      <c r="S48" s="1491">
        <v>608</v>
      </c>
      <c r="T48" s="1484" t="s">
        <v>141</v>
      </c>
      <c r="U48" s="1484">
        <v>38</v>
      </c>
      <c r="V48" s="1492">
        <f t="shared" si="1"/>
        <v>114</v>
      </c>
      <c r="W48" s="1372" t="s">
        <v>510</v>
      </c>
      <c r="X48" s="1416" t="s">
        <v>511</v>
      </c>
      <c r="Y48" s="1417" t="s">
        <v>144</v>
      </c>
      <c r="Z48" s="1393" t="s">
        <v>51</v>
      </c>
      <c r="AA48" s="1418" t="s">
        <v>512</v>
      </c>
      <c r="AB48" s="1378" t="s">
        <v>513</v>
      </c>
      <c r="AC48" s="1379">
        <v>4994.25</v>
      </c>
      <c r="AD48" s="1413"/>
      <c r="AE48" s="37" t="s">
        <v>85</v>
      </c>
      <c r="AF48" s="1380"/>
      <c r="AG48" s="1380" t="s">
        <v>56</v>
      </c>
      <c r="AH48" s="1380" t="s">
        <v>56</v>
      </c>
      <c r="AI48" s="1380"/>
      <c r="AJ48" s="1380" t="s">
        <v>56</v>
      </c>
      <c r="AK48" s="1380" t="s">
        <v>74</v>
      </c>
      <c r="AL48" s="1419"/>
      <c r="AM48" s="1413">
        <v>1</v>
      </c>
      <c r="AN48" s="1413"/>
      <c r="AO48" s="1413"/>
      <c r="AP48" s="1413"/>
      <c r="AQ48" s="1413"/>
      <c r="AR48" s="1413"/>
      <c r="AS48" s="1413"/>
      <c r="AT48" s="1413"/>
      <c r="AU48" s="1413"/>
      <c r="AV48" s="1413"/>
      <c r="AW48" s="1413"/>
      <c r="AX48" s="1413"/>
      <c r="AY48" s="1413"/>
      <c r="AZ48" s="1413"/>
      <c r="BA48" s="1413"/>
      <c r="BB48" s="1413"/>
      <c r="BC48" s="1413"/>
      <c r="BD48" s="1413"/>
      <c r="BE48" s="1413"/>
      <c r="BF48" s="1413"/>
      <c r="BG48" s="1413"/>
      <c r="BH48" s="1413"/>
      <c r="BI48" s="1413"/>
      <c r="BJ48" s="1413"/>
      <c r="BK48" s="1413"/>
      <c r="BL48" s="1413"/>
      <c r="BM48" s="1413"/>
      <c r="BN48" s="1413"/>
      <c r="BO48" s="1413"/>
      <c r="BP48" s="1413"/>
      <c r="BQ48" s="1413"/>
      <c r="BR48" s="1413"/>
      <c r="BS48" s="1413"/>
      <c r="BT48" s="1413"/>
      <c r="BU48" s="1413"/>
      <c r="BV48" s="1413"/>
      <c r="BW48" s="1413"/>
      <c r="BX48" s="1413"/>
      <c r="BY48" s="1413"/>
      <c r="BZ48" s="1413"/>
      <c r="CA48" s="1413"/>
      <c r="CB48" s="1413"/>
      <c r="CC48" s="1413"/>
      <c r="CD48" s="1413"/>
      <c r="CE48" s="1413"/>
      <c r="CF48" s="1413"/>
      <c r="CG48" s="1413"/>
      <c r="CH48" s="1413"/>
      <c r="CI48" s="1413"/>
      <c r="CJ48" s="1413"/>
      <c r="CK48" s="1413"/>
      <c r="CL48" s="1413"/>
      <c r="CM48" s="1413"/>
      <c r="CN48" s="1413"/>
      <c r="CO48" s="1413"/>
      <c r="CP48" s="1413"/>
      <c r="CQ48" s="1413"/>
      <c r="CR48" s="1413"/>
      <c r="CS48" s="1413"/>
      <c r="CT48" s="1413"/>
      <c r="CU48" s="1413"/>
      <c r="CV48" s="1413"/>
      <c r="CW48" s="1413"/>
      <c r="CX48" s="1413"/>
      <c r="CY48" s="1413"/>
      <c r="CZ48" s="1413"/>
      <c r="DA48" s="1413"/>
      <c r="DB48" s="1413"/>
      <c r="DC48" s="1413"/>
      <c r="DD48" s="1413"/>
      <c r="DE48" s="1413"/>
      <c r="DF48" s="1413"/>
      <c r="DG48" s="1413"/>
      <c r="DH48" s="1413"/>
      <c r="DI48" s="1413"/>
      <c r="DJ48" s="1413"/>
      <c r="DK48" s="1413"/>
      <c r="DL48" s="1413"/>
      <c r="DM48" s="1413"/>
      <c r="DN48" s="1413"/>
      <c r="DO48" s="1413"/>
    </row>
    <row r="49" spans="1:119" s="13" customFormat="1" ht="113.25" customHeight="1" x14ac:dyDescent="0.25">
      <c r="A49" s="14">
        <v>46115</v>
      </c>
      <c r="B49" s="1345" t="s">
        <v>514</v>
      </c>
      <c r="C49" s="1345" t="s">
        <v>515</v>
      </c>
      <c r="D49" s="1345"/>
      <c r="E49" s="1368" t="s">
        <v>39</v>
      </c>
      <c r="F49" s="1363"/>
      <c r="G49" s="1430">
        <v>2</v>
      </c>
      <c r="H49" s="1363"/>
      <c r="I49" s="44" t="s">
        <v>516</v>
      </c>
      <c r="J49" s="1365">
        <v>205</v>
      </c>
      <c r="K49" s="1466" t="s">
        <v>517</v>
      </c>
      <c r="L49" s="1367" t="s">
        <v>63</v>
      </c>
      <c r="M49" s="42" t="s">
        <v>42</v>
      </c>
      <c r="N49" s="48" t="s">
        <v>518</v>
      </c>
      <c r="O49" s="1370" t="s">
        <v>519</v>
      </c>
      <c r="P49" s="1370" t="s">
        <v>520</v>
      </c>
      <c r="Q49" s="1370" t="s">
        <v>391</v>
      </c>
      <c r="R49" s="1371">
        <v>5</v>
      </c>
      <c r="S49" s="1371">
        <v>21</v>
      </c>
      <c r="T49" s="1372" t="s">
        <v>47</v>
      </c>
      <c r="U49" s="1372">
        <v>0</v>
      </c>
      <c r="V49" s="1373">
        <f t="shared" si="1"/>
        <v>0</v>
      </c>
      <c r="W49" s="1372" t="s">
        <v>48</v>
      </c>
      <c r="X49" s="1416" t="s">
        <v>49</v>
      </c>
      <c r="Y49" s="1375" t="s">
        <v>50</v>
      </c>
      <c r="Z49" s="53" t="s">
        <v>51</v>
      </c>
      <c r="AA49" s="1418" t="s">
        <v>275</v>
      </c>
      <c r="AB49" s="1378" t="s">
        <v>521</v>
      </c>
      <c r="AC49" s="1379">
        <v>4353.75</v>
      </c>
      <c r="AD49" s="1413"/>
      <c r="AE49" s="67" t="s">
        <v>73</v>
      </c>
      <c r="AF49" s="38" t="s">
        <v>55</v>
      </c>
      <c r="AG49" s="1380" t="s">
        <v>56</v>
      </c>
      <c r="AH49" s="1380" t="s">
        <v>56</v>
      </c>
      <c r="AI49" s="1380" t="s">
        <v>87</v>
      </c>
      <c r="AJ49" s="1380" t="s">
        <v>56</v>
      </c>
      <c r="AK49" s="1380" t="s">
        <v>149</v>
      </c>
      <c r="AL49" s="1419"/>
      <c r="AM49" s="1413">
        <v>10</v>
      </c>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row>
    <row r="50" spans="1:119" s="13" customFormat="1" ht="113.25" customHeight="1" x14ac:dyDescent="0.25">
      <c r="A50" s="14">
        <v>46115</v>
      </c>
      <c r="B50" s="1348" t="s">
        <v>522</v>
      </c>
      <c r="C50" s="1348" t="s">
        <v>523</v>
      </c>
      <c r="D50" s="1345" t="s">
        <v>524</v>
      </c>
      <c r="E50" s="1368" t="s">
        <v>39</v>
      </c>
      <c r="F50" s="1363"/>
      <c r="G50" s="1430">
        <v>1</v>
      </c>
      <c r="H50" s="1363"/>
      <c r="I50" s="44" t="s">
        <v>525</v>
      </c>
      <c r="J50" s="1365">
        <v>75</v>
      </c>
      <c r="K50" s="1466" t="s">
        <v>517</v>
      </c>
      <c r="L50" s="1459" t="s">
        <v>41</v>
      </c>
      <c r="M50" s="42" t="s">
        <v>42</v>
      </c>
      <c r="N50" s="48" t="s">
        <v>526</v>
      </c>
      <c r="O50" s="1370" t="s">
        <v>527</v>
      </c>
      <c r="P50" s="1370" t="s">
        <v>528</v>
      </c>
      <c r="Q50" s="1370" t="s">
        <v>529</v>
      </c>
      <c r="R50" s="1371">
        <v>88</v>
      </c>
      <c r="S50" s="1371">
        <v>506</v>
      </c>
      <c r="T50" s="1372" t="s">
        <v>47</v>
      </c>
      <c r="U50" s="1372">
        <v>0</v>
      </c>
      <c r="V50" s="1373">
        <f t="shared" si="1"/>
        <v>0</v>
      </c>
      <c r="W50" s="1372" t="s">
        <v>48</v>
      </c>
      <c r="X50" s="1416" t="s">
        <v>49</v>
      </c>
      <c r="Y50" s="1417" t="s">
        <v>50</v>
      </c>
      <c r="Z50" s="32"/>
      <c r="AA50" s="1418" t="s">
        <v>275</v>
      </c>
      <c r="AB50" s="1378" t="s">
        <v>521</v>
      </c>
      <c r="AC50" s="1379">
        <v>25551.5</v>
      </c>
      <c r="AD50" s="1413"/>
      <c r="AE50" s="67" t="s">
        <v>73</v>
      </c>
      <c r="AF50" s="1380" t="s">
        <v>55</v>
      </c>
      <c r="AG50" s="1380" t="s">
        <v>56</v>
      </c>
      <c r="AH50" s="1380" t="s">
        <v>56</v>
      </c>
      <c r="AI50" s="1380" t="s">
        <v>87</v>
      </c>
      <c r="AJ50" s="1380" t="s">
        <v>56</v>
      </c>
      <c r="AK50" s="1380" t="s">
        <v>149</v>
      </c>
      <c r="AL50" s="1419"/>
      <c r="AM50" s="1413">
        <v>2</v>
      </c>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row>
    <row r="51" spans="1:119" s="13" customFormat="1" ht="113.25" customHeight="1" x14ac:dyDescent="0.25">
      <c r="A51" s="14">
        <v>46115</v>
      </c>
      <c r="B51" s="1345" t="s">
        <v>530</v>
      </c>
      <c r="C51" s="1345" t="s">
        <v>531</v>
      </c>
      <c r="D51" s="1345" t="s">
        <v>532</v>
      </c>
      <c r="E51" s="1368" t="s">
        <v>39</v>
      </c>
      <c r="F51" s="1430">
        <v>1</v>
      </c>
      <c r="G51" s="1363"/>
      <c r="H51" s="1363"/>
      <c r="I51" s="44" t="s">
        <v>533</v>
      </c>
      <c r="J51" s="1365">
        <v>80</v>
      </c>
      <c r="K51" s="1346" t="s">
        <v>517</v>
      </c>
      <c r="L51" s="1459" t="s">
        <v>41</v>
      </c>
      <c r="M51" s="42" t="s">
        <v>42</v>
      </c>
      <c r="N51" s="48" t="s">
        <v>534</v>
      </c>
      <c r="O51" s="1481" t="s">
        <v>535</v>
      </c>
      <c r="P51" s="1370" t="s">
        <v>536</v>
      </c>
      <c r="Q51" s="1482" t="s">
        <v>537</v>
      </c>
      <c r="R51" s="1446">
        <v>116</v>
      </c>
      <c r="S51" s="1371">
        <v>480</v>
      </c>
      <c r="T51" s="1372" t="s">
        <v>141</v>
      </c>
      <c r="U51" s="1372">
        <v>18</v>
      </c>
      <c r="V51" s="1438">
        <f t="shared" si="1"/>
        <v>1440</v>
      </c>
      <c r="W51" s="1372" t="s">
        <v>510</v>
      </c>
      <c r="X51" s="1416" t="s">
        <v>538</v>
      </c>
      <c r="Y51" s="1417" t="s">
        <v>324</v>
      </c>
      <c r="Z51" s="32" t="s">
        <v>539</v>
      </c>
      <c r="AA51" s="1418" t="s">
        <v>200</v>
      </c>
      <c r="AB51" s="1378" t="s">
        <v>540</v>
      </c>
      <c r="AC51" s="1379">
        <v>14095.2</v>
      </c>
      <c r="AD51" s="1413"/>
      <c r="AE51" s="37" t="s">
        <v>85</v>
      </c>
      <c r="AF51" s="1380" t="s">
        <v>55</v>
      </c>
      <c r="AG51" s="38" t="s">
        <v>56</v>
      </c>
      <c r="AH51" s="38" t="s">
        <v>56</v>
      </c>
      <c r="AI51" s="1380" t="s">
        <v>87</v>
      </c>
      <c r="AJ51" s="1380" t="s">
        <v>56</v>
      </c>
      <c r="AK51" s="1380" t="s">
        <v>149</v>
      </c>
      <c r="AL51" s="1419"/>
      <c r="AM51" s="1413">
        <v>2</v>
      </c>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row>
    <row r="52" spans="1:119" s="13" customFormat="1" ht="113.25" customHeight="1" x14ac:dyDescent="0.25">
      <c r="A52" s="14">
        <v>46114</v>
      </c>
      <c r="B52" s="1348" t="s">
        <v>541</v>
      </c>
      <c r="C52" s="1348" t="s">
        <v>542</v>
      </c>
      <c r="D52" s="1345" t="s">
        <v>543</v>
      </c>
      <c r="E52" s="1368" t="s">
        <v>39</v>
      </c>
      <c r="F52" s="1363"/>
      <c r="G52" s="1363"/>
      <c r="H52" s="1430">
        <v>1</v>
      </c>
      <c r="I52" s="44" t="s">
        <v>544</v>
      </c>
      <c r="J52" s="1365">
        <v>40</v>
      </c>
      <c r="K52" s="1466" t="s">
        <v>545</v>
      </c>
      <c r="L52" s="50" t="s">
        <v>63</v>
      </c>
      <c r="M52" s="1368" t="s">
        <v>42</v>
      </c>
      <c r="N52" s="48" t="s">
        <v>546</v>
      </c>
      <c r="O52" s="1370" t="s">
        <v>527</v>
      </c>
      <c r="P52" s="1478" t="s">
        <v>547</v>
      </c>
      <c r="Q52" s="1479" t="s">
        <v>548</v>
      </c>
      <c r="R52" s="1367">
        <v>78</v>
      </c>
      <c r="S52" s="1371">
        <v>278</v>
      </c>
      <c r="T52" s="1372" t="s">
        <v>549</v>
      </c>
      <c r="U52" s="1372">
        <v>6</v>
      </c>
      <c r="V52" s="1373">
        <f t="shared" si="1"/>
        <v>240</v>
      </c>
      <c r="W52" s="1372" t="s">
        <v>48</v>
      </c>
      <c r="X52" s="1416" t="s">
        <v>550</v>
      </c>
      <c r="Y52" s="1417" t="s">
        <v>50</v>
      </c>
      <c r="Z52" s="32" t="s">
        <v>51</v>
      </c>
      <c r="AA52" s="1418" t="s">
        <v>200</v>
      </c>
      <c r="AB52" s="1378" t="s">
        <v>551</v>
      </c>
      <c r="AC52" s="1379">
        <v>7264.4</v>
      </c>
      <c r="AD52" s="1413"/>
      <c r="AE52" s="67" t="s">
        <v>73</v>
      </c>
      <c r="AF52" s="1380" t="s">
        <v>55</v>
      </c>
      <c r="AG52" s="38" t="s">
        <v>56</v>
      </c>
      <c r="AH52" s="38" t="s">
        <v>56</v>
      </c>
      <c r="AI52" s="1419" t="s">
        <v>87</v>
      </c>
      <c r="AJ52" s="66"/>
      <c r="AK52" s="66"/>
      <c r="AL52" s="39" t="s">
        <v>552</v>
      </c>
      <c r="AM52" s="66">
        <v>2</v>
      </c>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row>
    <row r="53" spans="1:119" s="13" customFormat="1" ht="113.25" customHeight="1" x14ac:dyDescent="0.25">
      <c r="A53" s="14">
        <v>46114</v>
      </c>
      <c r="B53" s="1412" t="s">
        <v>553</v>
      </c>
      <c r="C53" s="1412" t="s">
        <v>554</v>
      </c>
      <c r="D53" s="1480" t="s">
        <v>555</v>
      </c>
      <c r="E53" s="1427" t="s">
        <v>195</v>
      </c>
      <c r="F53" s="1449"/>
      <c r="G53" s="1449"/>
      <c r="H53" s="1449"/>
      <c r="I53" s="44" t="s">
        <v>556</v>
      </c>
      <c r="J53" s="1450">
        <v>10</v>
      </c>
      <c r="K53" s="1425" t="s">
        <v>557</v>
      </c>
      <c r="L53" s="1451" t="s">
        <v>42</v>
      </c>
      <c r="M53" s="1427" t="s">
        <v>42</v>
      </c>
      <c r="N53" s="1473" t="s">
        <v>558</v>
      </c>
      <c r="O53" s="1452"/>
      <c r="P53" s="1452"/>
      <c r="Q53" s="1452"/>
      <c r="R53" s="1453"/>
      <c r="S53" s="1453"/>
      <c r="T53" s="1427"/>
      <c r="U53" s="1427">
        <v>7</v>
      </c>
      <c r="V53" s="1457">
        <f t="shared" si="1"/>
        <v>70</v>
      </c>
      <c r="W53" s="1427" t="s">
        <v>48</v>
      </c>
      <c r="X53" s="1416" t="s">
        <v>559</v>
      </c>
      <c r="Y53" s="1417" t="s">
        <v>50</v>
      </c>
      <c r="Z53" s="32"/>
      <c r="AA53" s="1418" t="s">
        <v>83</v>
      </c>
      <c r="AB53" s="1378" t="s">
        <v>121</v>
      </c>
      <c r="AC53" s="1379">
        <v>3850</v>
      </c>
      <c r="AD53" s="1413"/>
      <c r="AE53" s="37" t="s">
        <v>85</v>
      </c>
      <c r="AF53" s="38" t="s">
        <v>560</v>
      </c>
      <c r="AG53" s="38" t="s">
        <v>56</v>
      </c>
      <c r="AH53" s="38" t="s">
        <v>86</v>
      </c>
      <c r="AI53" s="1413"/>
      <c r="AJ53" s="66"/>
      <c r="AK53" s="66"/>
      <c r="AL53" s="78" t="s">
        <v>561</v>
      </c>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row>
    <row r="54" spans="1:119" s="13" customFormat="1" ht="113.25" customHeight="1" x14ac:dyDescent="0.25">
      <c r="A54" s="14">
        <v>46114</v>
      </c>
      <c r="B54" s="1345" t="s">
        <v>562</v>
      </c>
      <c r="C54" s="1345" t="s">
        <v>515</v>
      </c>
      <c r="D54" s="1345"/>
      <c r="E54" s="1368" t="s">
        <v>39</v>
      </c>
      <c r="F54" s="1430">
        <v>1</v>
      </c>
      <c r="G54" s="1363"/>
      <c r="H54" s="1363"/>
      <c r="I54" s="44" t="s">
        <v>563</v>
      </c>
      <c r="J54" s="1365">
        <v>5</v>
      </c>
      <c r="K54" s="1346" t="s">
        <v>564</v>
      </c>
      <c r="L54" s="1367" t="s">
        <v>63</v>
      </c>
      <c r="M54" s="1368" t="s">
        <v>42</v>
      </c>
      <c r="N54" s="48" t="s">
        <v>565</v>
      </c>
      <c r="O54" s="1370" t="s">
        <v>566</v>
      </c>
      <c r="P54" s="1370" t="s">
        <v>567</v>
      </c>
      <c r="Q54" s="1370" t="s">
        <v>568</v>
      </c>
      <c r="R54" s="1371">
        <v>64</v>
      </c>
      <c r="S54" s="1371">
        <v>579</v>
      </c>
      <c r="T54" s="1372" t="s">
        <v>47</v>
      </c>
      <c r="U54" s="1477">
        <v>89</v>
      </c>
      <c r="V54" s="1373">
        <f t="shared" si="1"/>
        <v>445</v>
      </c>
      <c r="W54" s="1372" t="s">
        <v>48</v>
      </c>
      <c r="X54" s="1416" t="s">
        <v>265</v>
      </c>
      <c r="Y54" s="1417" t="s">
        <v>82</v>
      </c>
      <c r="Z54" s="32"/>
      <c r="AA54" s="1418" t="s">
        <v>200</v>
      </c>
      <c r="AB54" s="1378" t="s">
        <v>569</v>
      </c>
      <c r="AC54" s="1379">
        <v>4998.25</v>
      </c>
      <c r="AD54" s="1413"/>
      <c r="AE54" s="67" t="s">
        <v>73</v>
      </c>
      <c r="AF54" s="38" t="s">
        <v>55</v>
      </c>
      <c r="AG54" s="38" t="s">
        <v>56</v>
      </c>
      <c r="AH54" s="38" t="s">
        <v>56</v>
      </c>
      <c r="AI54" s="1380"/>
      <c r="AJ54" s="1380" t="s">
        <v>56</v>
      </c>
      <c r="AK54" s="1380" t="s">
        <v>74</v>
      </c>
      <c r="AL54" s="78" t="s">
        <v>570</v>
      </c>
      <c r="AM54" s="1413">
        <v>1</v>
      </c>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row>
    <row r="55" spans="1:119" s="13" customFormat="1" ht="113.25" customHeight="1" x14ac:dyDescent="0.25">
      <c r="A55" s="14">
        <v>46114</v>
      </c>
      <c r="B55" s="1345" t="s">
        <v>571</v>
      </c>
      <c r="C55" s="1345" t="s">
        <v>572</v>
      </c>
      <c r="D55" s="1345"/>
      <c r="E55" s="1368" t="s">
        <v>39</v>
      </c>
      <c r="F55" s="1430">
        <v>3</v>
      </c>
      <c r="G55" s="1363"/>
      <c r="H55" s="1363"/>
      <c r="I55" s="44" t="s">
        <v>573</v>
      </c>
      <c r="J55" s="1365">
        <v>75</v>
      </c>
      <c r="K55" s="1346" t="s">
        <v>545</v>
      </c>
      <c r="L55" s="1367" t="s">
        <v>63</v>
      </c>
      <c r="M55" s="1367" t="s">
        <v>42</v>
      </c>
      <c r="N55" s="48" t="s">
        <v>574</v>
      </c>
      <c r="O55" s="1370"/>
      <c r="P55" s="1370" t="s">
        <v>575</v>
      </c>
      <c r="Q55" s="1370" t="s">
        <v>566</v>
      </c>
      <c r="R55" s="1371">
        <v>17</v>
      </c>
      <c r="S55" s="1371">
        <v>36</v>
      </c>
      <c r="T55" s="1372" t="s">
        <v>96</v>
      </c>
      <c r="U55" s="1372">
        <v>1</v>
      </c>
      <c r="V55" s="1373">
        <f t="shared" si="1"/>
        <v>75</v>
      </c>
      <c r="W55" s="1372" t="s">
        <v>48</v>
      </c>
      <c r="X55" s="1416" t="s">
        <v>49</v>
      </c>
      <c r="Y55" s="1417" t="s">
        <v>50</v>
      </c>
      <c r="Z55" s="1393" t="s">
        <v>51</v>
      </c>
      <c r="AA55" s="1418" t="s">
        <v>427</v>
      </c>
      <c r="AB55" s="1378" t="s">
        <v>521</v>
      </c>
      <c r="AC55" s="1379">
        <v>5416</v>
      </c>
      <c r="AD55" s="1413"/>
      <c r="AE55" s="67" t="s">
        <v>73</v>
      </c>
      <c r="AF55" s="38" t="s">
        <v>55</v>
      </c>
      <c r="AG55" s="1380" t="s">
        <v>56</v>
      </c>
      <c r="AH55" s="1380" t="s">
        <v>56</v>
      </c>
      <c r="AI55" s="1380"/>
      <c r="AJ55" s="1380" t="s">
        <v>56</v>
      </c>
      <c r="AK55" s="1380" t="s">
        <v>149</v>
      </c>
      <c r="AL55" s="1419"/>
      <c r="AM55" s="1413">
        <v>12</v>
      </c>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row>
    <row r="56" spans="1:119" s="13" customFormat="1" ht="113.25" customHeight="1" x14ac:dyDescent="0.25">
      <c r="A56" s="14">
        <v>46114</v>
      </c>
      <c r="B56" s="1345" t="s">
        <v>576</v>
      </c>
      <c r="C56" s="1345" t="s">
        <v>577</v>
      </c>
      <c r="D56" s="1345"/>
      <c r="E56" s="1368" t="s">
        <v>39</v>
      </c>
      <c r="F56" s="1363"/>
      <c r="G56" s="1363"/>
      <c r="H56" s="1430">
        <v>1</v>
      </c>
      <c r="I56" s="44" t="s">
        <v>578</v>
      </c>
      <c r="J56" s="1365">
        <v>5</v>
      </c>
      <c r="K56" s="1346" t="s">
        <v>545</v>
      </c>
      <c r="L56" s="1367" t="s">
        <v>63</v>
      </c>
      <c r="M56" s="1368" t="s">
        <v>42</v>
      </c>
      <c r="N56" s="48" t="s">
        <v>579</v>
      </c>
      <c r="O56" s="1370"/>
      <c r="P56" s="1370" t="s">
        <v>580</v>
      </c>
      <c r="Q56" s="1370" t="s">
        <v>581</v>
      </c>
      <c r="R56" s="1446">
        <v>185</v>
      </c>
      <c r="S56" s="1446">
        <v>1288</v>
      </c>
      <c r="T56" s="1372" t="s">
        <v>582</v>
      </c>
      <c r="U56" s="1372">
        <v>33</v>
      </c>
      <c r="V56" s="1373">
        <f t="shared" si="1"/>
        <v>165</v>
      </c>
      <c r="W56" s="1372" t="s">
        <v>68</v>
      </c>
      <c r="X56" s="1416" t="s">
        <v>583</v>
      </c>
      <c r="Y56" s="1417" t="s">
        <v>70</v>
      </c>
      <c r="Z56" s="32" t="s">
        <v>584</v>
      </c>
      <c r="AA56" s="1418" t="s">
        <v>585</v>
      </c>
      <c r="AB56" s="1378" t="s">
        <v>586</v>
      </c>
      <c r="AC56" s="1379">
        <v>18139.599999999999</v>
      </c>
      <c r="AD56" s="1413"/>
      <c r="AE56" s="37" t="s">
        <v>85</v>
      </c>
      <c r="AF56" s="38" t="s">
        <v>55</v>
      </c>
      <c r="AG56" s="38" t="s">
        <v>56</v>
      </c>
      <c r="AH56" s="38" t="s">
        <v>56</v>
      </c>
      <c r="AI56" s="1380"/>
      <c r="AJ56" s="1380"/>
      <c r="AK56" s="1380"/>
      <c r="AL56" s="39" t="s">
        <v>587</v>
      </c>
      <c r="AM56" s="1413">
        <v>1</v>
      </c>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66"/>
      <c r="CO56" s="66"/>
      <c r="CP56" s="66"/>
      <c r="CQ56" s="66"/>
      <c r="CR56" s="66"/>
      <c r="CS56" s="66"/>
      <c r="CT56" s="66"/>
      <c r="CU56" s="66"/>
      <c r="CV56" s="66"/>
      <c r="CW56" s="66"/>
      <c r="CX56" s="66"/>
      <c r="CY56" s="66"/>
      <c r="CZ56" s="66"/>
      <c r="DA56" s="66"/>
      <c r="DB56" s="66"/>
      <c r="DC56" s="66"/>
      <c r="DD56" s="66"/>
      <c r="DE56" s="66"/>
      <c r="DF56" s="66"/>
      <c r="DG56" s="66"/>
      <c r="DH56" s="66"/>
      <c r="DI56" s="66"/>
      <c r="DJ56" s="66"/>
      <c r="DK56" s="66"/>
      <c r="DL56" s="66"/>
      <c r="DM56" s="66"/>
      <c r="DN56" s="66"/>
      <c r="DO56" s="66"/>
    </row>
    <row r="57" spans="1:119" s="13" customFormat="1" ht="113.25" customHeight="1" x14ac:dyDescent="0.25">
      <c r="A57" s="14">
        <v>46114</v>
      </c>
      <c r="B57" s="1345" t="s">
        <v>588</v>
      </c>
      <c r="C57" s="1345" t="s">
        <v>589</v>
      </c>
      <c r="D57" s="1345"/>
      <c r="E57" s="1368" t="s">
        <v>39</v>
      </c>
      <c r="F57" s="1430">
        <v>7</v>
      </c>
      <c r="G57" s="1363"/>
      <c r="H57" s="1363"/>
      <c r="I57" s="44" t="s">
        <v>590</v>
      </c>
      <c r="J57" s="1365">
        <v>165</v>
      </c>
      <c r="K57" s="1346" t="s">
        <v>564</v>
      </c>
      <c r="L57" s="1367" t="s">
        <v>63</v>
      </c>
      <c r="M57" s="1367" t="s">
        <v>55</v>
      </c>
      <c r="N57" s="48" t="s">
        <v>518</v>
      </c>
      <c r="O57" s="1370"/>
      <c r="P57" s="1370"/>
      <c r="Q57" s="1370" t="s">
        <v>568</v>
      </c>
      <c r="R57" s="1371">
        <v>2</v>
      </c>
      <c r="S57" s="1371">
        <v>3</v>
      </c>
      <c r="T57" s="1372" t="s">
        <v>393</v>
      </c>
      <c r="U57" s="1372">
        <v>0</v>
      </c>
      <c r="V57" s="1373">
        <f t="shared" si="1"/>
        <v>0</v>
      </c>
      <c r="W57" s="1372" t="s">
        <v>48</v>
      </c>
      <c r="X57" s="1416" t="s">
        <v>49</v>
      </c>
      <c r="Y57" s="1417" t="s">
        <v>50</v>
      </c>
      <c r="Z57" s="1393"/>
      <c r="AA57" s="1418" t="s">
        <v>417</v>
      </c>
      <c r="AB57" s="1378" t="s">
        <v>591</v>
      </c>
      <c r="AC57" s="1379">
        <v>3720.5</v>
      </c>
      <c r="AD57" s="1413"/>
      <c r="AE57" s="67" t="s">
        <v>73</v>
      </c>
      <c r="AF57" s="38" t="s">
        <v>55</v>
      </c>
      <c r="AG57" s="38" t="s">
        <v>56</v>
      </c>
      <c r="AH57" s="38" t="s">
        <v>56</v>
      </c>
      <c r="AI57" s="1380"/>
      <c r="AJ57" s="1380"/>
      <c r="AK57" s="1380"/>
      <c r="AL57" s="1419"/>
      <c r="AM57" s="1413">
        <v>30</v>
      </c>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row>
    <row r="58" spans="1:119" s="13" customFormat="1" ht="113.25" customHeight="1" x14ac:dyDescent="0.25">
      <c r="A58" s="14">
        <v>46113</v>
      </c>
      <c r="B58" s="1345" t="s">
        <v>592</v>
      </c>
      <c r="C58" s="1345" t="s">
        <v>593</v>
      </c>
      <c r="D58" s="1345"/>
      <c r="E58" s="1368" t="s">
        <v>39</v>
      </c>
      <c r="F58" s="1430">
        <v>2</v>
      </c>
      <c r="G58" s="1363"/>
      <c r="H58" s="1363"/>
      <c r="I58" s="44" t="s">
        <v>594</v>
      </c>
      <c r="J58" s="1365">
        <v>30</v>
      </c>
      <c r="K58" s="46" t="s">
        <v>564</v>
      </c>
      <c r="L58" s="1367" t="s">
        <v>63</v>
      </c>
      <c r="M58" s="1367" t="s">
        <v>55</v>
      </c>
      <c r="N58" s="48" t="s">
        <v>240</v>
      </c>
      <c r="O58" s="1370"/>
      <c r="P58" s="1370"/>
      <c r="Q58" s="1370" t="s">
        <v>568</v>
      </c>
      <c r="R58" s="1371">
        <v>8</v>
      </c>
      <c r="S58" s="1371">
        <v>8</v>
      </c>
      <c r="T58" s="1372" t="s">
        <v>96</v>
      </c>
      <c r="U58" s="1372">
        <v>0</v>
      </c>
      <c r="V58" s="1373">
        <f t="shared" si="1"/>
        <v>0</v>
      </c>
      <c r="W58" s="1372" t="s">
        <v>48</v>
      </c>
      <c r="X58" s="1416" t="s">
        <v>49</v>
      </c>
      <c r="Y58" s="1417" t="s">
        <v>50</v>
      </c>
      <c r="Z58" s="1393"/>
      <c r="AA58" s="1418" t="s">
        <v>326</v>
      </c>
      <c r="AB58" s="1378" t="s">
        <v>595</v>
      </c>
      <c r="AC58" s="1379">
        <v>1820</v>
      </c>
      <c r="AD58" s="1413"/>
      <c r="AE58" s="67" t="s">
        <v>73</v>
      </c>
      <c r="AF58" s="1380" t="s">
        <v>55</v>
      </c>
      <c r="AG58" s="1380" t="s">
        <v>56</v>
      </c>
      <c r="AH58" s="1380" t="s">
        <v>56</v>
      </c>
      <c r="AI58" s="1380"/>
      <c r="AJ58" s="1380" t="s">
        <v>56</v>
      </c>
      <c r="AK58" s="1380" t="s">
        <v>74</v>
      </c>
      <c r="AL58" s="1419"/>
      <c r="AM58" s="1413">
        <v>15</v>
      </c>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row>
    <row r="59" spans="1:119" s="13" customFormat="1" ht="113.25" customHeight="1" x14ac:dyDescent="0.25">
      <c r="A59" s="14">
        <v>46113</v>
      </c>
      <c r="B59" s="1467" t="s">
        <v>596</v>
      </c>
      <c r="C59" s="1467" t="s">
        <v>597</v>
      </c>
      <c r="D59" s="1467" t="s">
        <v>598</v>
      </c>
      <c r="E59" s="1468" t="s">
        <v>39</v>
      </c>
      <c r="F59" s="1469"/>
      <c r="G59" s="1470">
        <v>1</v>
      </c>
      <c r="H59" s="1469"/>
      <c r="I59" s="20" t="s">
        <v>599</v>
      </c>
      <c r="J59" s="1471">
        <v>2</v>
      </c>
      <c r="K59" s="1425" t="s">
        <v>600</v>
      </c>
      <c r="L59" s="1472" t="s">
        <v>63</v>
      </c>
      <c r="M59" s="1472" t="s">
        <v>42</v>
      </c>
      <c r="N59" s="1473" t="s">
        <v>240</v>
      </c>
      <c r="O59" s="1474" t="s">
        <v>601</v>
      </c>
      <c r="P59" s="1474" t="s">
        <v>602</v>
      </c>
      <c r="Q59" s="1474" t="s">
        <v>603</v>
      </c>
      <c r="R59" s="1475">
        <v>50</v>
      </c>
      <c r="S59" s="1475">
        <v>107</v>
      </c>
      <c r="T59" s="1468" t="s">
        <v>47</v>
      </c>
      <c r="U59" s="1468">
        <v>29</v>
      </c>
      <c r="V59" s="1476">
        <f t="shared" si="1"/>
        <v>58</v>
      </c>
      <c r="W59" s="1468" t="s">
        <v>48</v>
      </c>
      <c r="X59" s="1416" t="s">
        <v>49</v>
      </c>
      <c r="Y59" s="1417" t="s">
        <v>50</v>
      </c>
      <c r="Z59" s="1393" t="s">
        <v>51</v>
      </c>
      <c r="AA59" s="1418" t="s">
        <v>326</v>
      </c>
      <c r="AB59" s="1378" t="s">
        <v>540</v>
      </c>
      <c r="AC59" s="1379">
        <f>14862.75*J59/75</f>
        <v>396.34</v>
      </c>
      <c r="AD59" s="1413"/>
      <c r="AE59" s="67" t="s">
        <v>73</v>
      </c>
      <c r="AF59" s="1380" t="s">
        <v>55</v>
      </c>
      <c r="AG59" s="1380" t="s">
        <v>56</v>
      </c>
      <c r="AH59" s="1380" t="s">
        <v>86</v>
      </c>
      <c r="AI59" s="1380" t="s">
        <v>87</v>
      </c>
      <c r="AJ59" s="1380" t="s">
        <v>56</v>
      </c>
      <c r="AK59" s="1380" t="s">
        <v>149</v>
      </c>
      <c r="AL59" s="1419"/>
      <c r="AM59" s="1413">
        <v>1</v>
      </c>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O59" s="66"/>
    </row>
    <row r="60" spans="1:119" s="13" customFormat="1" ht="113.25" customHeight="1" x14ac:dyDescent="0.25">
      <c r="A60" s="14">
        <v>46113</v>
      </c>
      <c r="B60" s="1345" t="s">
        <v>604</v>
      </c>
      <c r="C60" s="1345" t="s">
        <v>605</v>
      </c>
      <c r="D60" s="1345" t="s">
        <v>606</v>
      </c>
      <c r="E60" s="1368" t="s">
        <v>39</v>
      </c>
      <c r="F60" s="1430">
        <v>1</v>
      </c>
      <c r="G60" s="1363"/>
      <c r="H60" s="1363"/>
      <c r="I60" s="44" t="s">
        <v>607</v>
      </c>
      <c r="J60" s="1365">
        <v>40</v>
      </c>
      <c r="K60" s="1466" t="s">
        <v>608</v>
      </c>
      <c r="L60" s="50" t="s">
        <v>63</v>
      </c>
      <c r="M60" s="1368" t="s">
        <v>55</v>
      </c>
      <c r="N60" s="48" t="s">
        <v>609</v>
      </c>
      <c r="O60" s="1370"/>
      <c r="P60" s="1370" t="s">
        <v>610</v>
      </c>
      <c r="Q60" s="1370" t="s">
        <v>611</v>
      </c>
      <c r="R60" s="1371">
        <v>79</v>
      </c>
      <c r="S60" s="1371">
        <v>395</v>
      </c>
      <c r="T60" s="1372" t="s">
        <v>67</v>
      </c>
      <c r="U60" s="1372">
        <v>12</v>
      </c>
      <c r="V60" s="1438">
        <f t="shared" si="1"/>
        <v>480</v>
      </c>
      <c r="W60" s="1372" t="s">
        <v>48</v>
      </c>
      <c r="X60" s="1416" t="s">
        <v>550</v>
      </c>
      <c r="Y60" s="1417" t="s">
        <v>50</v>
      </c>
      <c r="Z60" s="32"/>
      <c r="AA60" s="1418" t="s">
        <v>612</v>
      </c>
      <c r="AB60" s="1378" t="s">
        <v>266</v>
      </c>
      <c r="AC60" s="1379">
        <v>8175.8</v>
      </c>
      <c r="AD60" s="1413"/>
      <c r="AE60" s="67" t="s">
        <v>73</v>
      </c>
      <c r="AF60" s="67" t="s">
        <v>73</v>
      </c>
      <c r="AG60" s="1380" t="s">
        <v>56</v>
      </c>
      <c r="AH60" s="1380" t="s">
        <v>56</v>
      </c>
      <c r="AI60" s="1413"/>
      <c r="AJ60" s="66"/>
      <c r="AK60" s="66"/>
      <c r="AL60" s="1436" t="s">
        <v>613</v>
      </c>
      <c r="AM60" s="66">
        <v>1</v>
      </c>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row>
    <row r="61" spans="1:119" s="13" customFormat="1" ht="113.25" customHeight="1" x14ac:dyDescent="0.25">
      <c r="A61" s="14">
        <v>46113</v>
      </c>
      <c r="B61" s="1345" t="s">
        <v>614</v>
      </c>
      <c r="C61" s="1345" t="s">
        <v>615</v>
      </c>
      <c r="D61" s="1345"/>
      <c r="E61" s="1368" t="s">
        <v>39</v>
      </c>
      <c r="F61" s="1463"/>
      <c r="G61" s="1430">
        <v>1</v>
      </c>
      <c r="H61" s="1363"/>
      <c r="I61" s="44" t="s">
        <v>616</v>
      </c>
      <c r="J61" s="1365">
        <v>70</v>
      </c>
      <c r="K61" s="1464" t="s">
        <v>608</v>
      </c>
      <c r="L61" s="1459" t="s">
        <v>41</v>
      </c>
      <c r="M61" s="42" t="s">
        <v>42</v>
      </c>
      <c r="N61" s="48">
        <v>138506</v>
      </c>
      <c r="O61" s="1370" t="s">
        <v>617</v>
      </c>
      <c r="P61" s="1370"/>
      <c r="Q61" s="1370" t="s">
        <v>618</v>
      </c>
      <c r="R61" s="1371">
        <v>8</v>
      </c>
      <c r="S61" s="1371">
        <v>29</v>
      </c>
      <c r="T61" s="1372" t="s">
        <v>47</v>
      </c>
      <c r="U61" s="1372">
        <v>0</v>
      </c>
      <c r="V61" s="1373">
        <f t="shared" si="1"/>
        <v>0</v>
      </c>
      <c r="W61" s="1372" t="s">
        <v>48</v>
      </c>
      <c r="X61" s="1416" t="s">
        <v>49</v>
      </c>
      <c r="Y61" s="1417" t="s">
        <v>50</v>
      </c>
      <c r="Z61" s="32"/>
      <c r="AA61" s="1418" t="s">
        <v>417</v>
      </c>
      <c r="AB61" s="1378" t="s">
        <v>147</v>
      </c>
      <c r="AC61" s="1379">
        <v>4473</v>
      </c>
      <c r="AD61" s="1413"/>
      <c r="AE61" s="67" t="s">
        <v>73</v>
      </c>
      <c r="AF61" s="1380" t="s">
        <v>55</v>
      </c>
      <c r="AG61" s="1380" t="s">
        <v>56</v>
      </c>
      <c r="AH61" s="1380" t="s">
        <v>56</v>
      </c>
      <c r="AI61" s="1380" t="s">
        <v>87</v>
      </c>
      <c r="AJ61" s="1380" t="s">
        <v>56</v>
      </c>
      <c r="AK61" s="1380" t="s">
        <v>149</v>
      </c>
      <c r="AL61" s="1419"/>
      <c r="AM61" s="1413">
        <v>30</v>
      </c>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row>
    <row r="62" spans="1:119" s="13" customFormat="1" ht="113.25" customHeight="1" x14ac:dyDescent="0.25">
      <c r="A62" s="14">
        <v>46113</v>
      </c>
      <c r="B62" s="1345" t="s">
        <v>588</v>
      </c>
      <c r="C62" s="1345" t="s">
        <v>589</v>
      </c>
      <c r="D62" s="1345" t="s">
        <v>619</v>
      </c>
      <c r="E62" s="1368" t="s">
        <v>39</v>
      </c>
      <c r="F62" s="1363"/>
      <c r="G62" s="1363"/>
      <c r="H62" s="1430">
        <v>1</v>
      </c>
      <c r="I62" s="44" t="s">
        <v>620</v>
      </c>
      <c r="J62" s="1365">
        <v>2</v>
      </c>
      <c r="K62" s="1346" t="s">
        <v>621</v>
      </c>
      <c r="L62" s="1367" t="s">
        <v>63</v>
      </c>
      <c r="M62" s="42" t="s">
        <v>55</v>
      </c>
      <c r="N62" s="48" t="s">
        <v>622</v>
      </c>
      <c r="O62" s="1370"/>
      <c r="P62" s="1370" t="s">
        <v>623</v>
      </c>
      <c r="Q62" s="1370" t="s">
        <v>624</v>
      </c>
      <c r="R62" s="1371">
        <v>66</v>
      </c>
      <c r="S62" s="1371">
        <v>597</v>
      </c>
      <c r="T62" s="1372" t="s">
        <v>67</v>
      </c>
      <c r="U62" s="1372">
        <v>37</v>
      </c>
      <c r="V62" s="1373">
        <f t="shared" si="1"/>
        <v>74</v>
      </c>
      <c r="W62" s="1372" t="s">
        <v>48</v>
      </c>
      <c r="X62" s="1416" t="s">
        <v>625</v>
      </c>
      <c r="Y62" s="1417" t="s">
        <v>144</v>
      </c>
      <c r="Z62" s="32"/>
      <c r="AA62" s="1418" t="s">
        <v>417</v>
      </c>
      <c r="AB62" s="1378" t="s">
        <v>147</v>
      </c>
      <c r="AC62" s="1379">
        <v>8955</v>
      </c>
      <c r="AD62" s="1413"/>
      <c r="AE62" s="67" t="s">
        <v>73</v>
      </c>
      <c r="AF62" s="1380" t="s">
        <v>55</v>
      </c>
      <c r="AG62" s="1380" t="s">
        <v>56</v>
      </c>
      <c r="AH62" s="1380" t="s">
        <v>626</v>
      </c>
      <c r="AI62" s="1380"/>
      <c r="AJ62" s="1380"/>
      <c r="AK62" s="1380"/>
      <c r="AL62" s="1419"/>
      <c r="AM62" s="1413">
        <v>1</v>
      </c>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row>
    <row r="63" spans="1:119" s="13" customFormat="1" ht="113.25" customHeight="1" x14ac:dyDescent="0.25">
      <c r="A63" s="14">
        <v>46113</v>
      </c>
      <c r="B63" s="1412" t="s">
        <v>627</v>
      </c>
      <c r="C63" s="1412" t="s">
        <v>628</v>
      </c>
      <c r="D63" s="1412"/>
      <c r="E63" s="1427" t="s">
        <v>39</v>
      </c>
      <c r="F63" s="1405">
        <v>1</v>
      </c>
      <c r="G63" s="1449"/>
      <c r="H63" s="1449"/>
      <c r="I63" s="44" t="s">
        <v>629</v>
      </c>
      <c r="J63" s="1450">
        <v>5</v>
      </c>
      <c r="K63" s="1425" t="s">
        <v>630</v>
      </c>
      <c r="L63" s="1453" t="s">
        <v>63</v>
      </c>
      <c r="M63" s="1453" t="s">
        <v>42</v>
      </c>
      <c r="N63" s="1426" t="s">
        <v>631</v>
      </c>
      <c r="O63" s="1452" t="s">
        <v>632</v>
      </c>
      <c r="P63" s="1452" t="s">
        <v>633</v>
      </c>
      <c r="Q63" s="1452" t="s">
        <v>634</v>
      </c>
      <c r="R63" s="1453">
        <v>33</v>
      </c>
      <c r="S63" s="1453">
        <v>66</v>
      </c>
      <c r="T63" s="1427" t="s">
        <v>47</v>
      </c>
      <c r="U63" s="1427">
        <v>6</v>
      </c>
      <c r="V63" s="1457">
        <f t="shared" si="1"/>
        <v>30</v>
      </c>
      <c r="W63" s="1427" t="s">
        <v>48</v>
      </c>
      <c r="X63" s="1416" t="s">
        <v>49</v>
      </c>
      <c r="Y63" s="1417" t="s">
        <v>50</v>
      </c>
      <c r="Z63" s="1393" t="s">
        <v>51</v>
      </c>
      <c r="AA63" s="1418" t="s">
        <v>384</v>
      </c>
      <c r="AB63" s="1378" t="s">
        <v>453</v>
      </c>
      <c r="AC63" s="1379">
        <f>4945+820</f>
        <v>5765</v>
      </c>
      <c r="AD63" s="1413"/>
      <c r="AE63" s="67" t="s">
        <v>73</v>
      </c>
      <c r="AF63" s="1380" t="s">
        <v>55</v>
      </c>
      <c r="AG63" s="1380" t="s">
        <v>56</v>
      </c>
      <c r="AH63" s="1380" t="s">
        <v>56</v>
      </c>
      <c r="AI63" s="1380"/>
      <c r="AJ63" s="1380"/>
      <c r="AK63" s="1380"/>
      <c r="AL63" s="1419"/>
      <c r="AM63" s="1413">
        <v>4</v>
      </c>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row>
    <row r="64" spans="1:119" s="13" customFormat="1" ht="113.25" customHeight="1" x14ac:dyDescent="0.25">
      <c r="A64" s="14">
        <v>46113</v>
      </c>
      <c r="B64" s="82" t="s">
        <v>635</v>
      </c>
      <c r="C64" s="82" t="s">
        <v>636</v>
      </c>
      <c r="D64" s="82" t="s">
        <v>637</v>
      </c>
      <c r="E64" s="51" t="s">
        <v>39</v>
      </c>
      <c r="F64" s="1405">
        <v>1</v>
      </c>
      <c r="G64" s="108"/>
      <c r="H64" s="108"/>
      <c r="I64" s="109" t="s">
        <v>638</v>
      </c>
      <c r="J64" s="110">
        <v>215</v>
      </c>
      <c r="K64" s="1465" t="s">
        <v>639</v>
      </c>
      <c r="L64" s="47" t="s">
        <v>63</v>
      </c>
      <c r="M64" s="47" t="s">
        <v>42</v>
      </c>
      <c r="N64" s="48" t="s">
        <v>640</v>
      </c>
      <c r="O64" s="49" t="s">
        <v>641</v>
      </c>
      <c r="P64" s="49" t="s">
        <v>642</v>
      </c>
      <c r="Q64" s="49" t="s">
        <v>643</v>
      </c>
      <c r="R64" s="50">
        <v>28</v>
      </c>
      <c r="S64" s="50">
        <v>111</v>
      </c>
      <c r="T64" s="51" t="s">
        <v>549</v>
      </c>
      <c r="U64" s="51">
        <v>1</v>
      </c>
      <c r="V64" s="75">
        <f t="shared" si="1"/>
        <v>215</v>
      </c>
      <c r="W64" s="51" t="s">
        <v>510</v>
      </c>
      <c r="X64" s="93" t="s">
        <v>644</v>
      </c>
      <c r="Y64" s="75" t="s">
        <v>324</v>
      </c>
      <c r="Z64" s="32" t="s">
        <v>645</v>
      </c>
      <c r="AA64" s="33" t="s">
        <v>646</v>
      </c>
      <c r="AB64" s="34" t="s">
        <v>647</v>
      </c>
      <c r="AC64" s="35">
        <f>26973*J64/675</f>
        <v>8591.4</v>
      </c>
      <c r="AD64" s="36"/>
      <c r="AE64" s="67" t="s">
        <v>73</v>
      </c>
      <c r="AF64" s="38"/>
      <c r="AG64" s="38" t="s">
        <v>56</v>
      </c>
      <c r="AH64" s="38" t="s">
        <v>86</v>
      </c>
      <c r="AI64" s="38"/>
      <c r="AJ64" s="38" t="s">
        <v>56</v>
      </c>
      <c r="AK64" s="68" t="s">
        <v>74</v>
      </c>
      <c r="AL64" s="78" t="s">
        <v>648</v>
      </c>
      <c r="AM64" s="40">
        <v>1</v>
      </c>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36"/>
      <c r="BN64" s="36"/>
      <c r="BO64" s="36"/>
      <c r="BP64" s="36"/>
      <c r="BQ64" s="36"/>
      <c r="BR64" s="36"/>
      <c r="BS64" s="36"/>
      <c r="BT64" s="36"/>
      <c r="BU64" s="36"/>
      <c r="BV64" s="36"/>
      <c r="BW64" s="36"/>
      <c r="BX64" s="36"/>
      <c r="BY64" s="36"/>
      <c r="BZ64" s="36"/>
      <c r="CA64" s="36"/>
      <c r="CB64" s="36"/>
      <c r="CC64" s="36"/>
      <c r="CD64" s="36"/>
      <c r="CE64" s="36"/>
      <c r="CF64" s="36"/>
      <c r="CG64" s="36"/>
      <c r="CH64" s="36"/>
      <c r="CI64" s="36"/>
      <c r="CJ64" s="36"/>
      <c r="CK64" s="36"/>
      <c r="CL64" s="36"/>
      <c r="CM64" s="36"/>
      <c r="CN64" s="36"/>
      <c r="CO64" s="36"/>
      <c r="CP64" s="36"/>
      <c r="CQ64" s="36"/>
      <c r="CR64" s="36"/>
      <c r="CS64" s="36"/>
      <c r="CT64" s="36"/>
      <c r="CU64" s="36"/>
      <c r="CV64" s="36"/>
      <c r="CW64" s="36"/>
      <c r="CX64" s="36"/>
      <c r="CY64" s="36"/>
      <c r="CZ64" s="36"/>
      <c r="DA64" s="36"/>
      <c r="DB64" s="36"/>
      <c r="DC64" s="36"/>
      <c r="DD64" s="36"/>
      <c r="DE64" s="36"/>
      <c r="DF64" s="36"/>
      <c r="DG64" s="36"/>
      <c r="DH64" s="36"/>
      <c r="DI64" s="36"/>
      <c r="DJ64" s="36"/>
      <c r="DK64" s="36"/>
      <c r="DL64" s="36"/>
      <c r="DM64" s="36"/>
      <c r="DN64" s="36"/>
      <c r="DO64" s="36"/>
    </row>
    <row r="65" spans="1:119" s="13" customFormat="1" ht="113.25" customHeight="1" x14ac:dyDescent="0.25">
      <c r="A65" s="14">
        <v>46113</v>
      </c>
      <c r="B65" s="1345" t="s">
        <v>649</v>
      </c>
      <c r="C65" s="1345" t="s">
        <v>593</v>
      </c>
      <c r="D65" s="1345"/>
      <c r="E65" s="1368" t="s">
        <v>39</v>
      </c>
      <c r="F65" s="1430">
        <v>1</v>
      </c>
      <c r="G65" s="1363"/>
      <c r="H65" s="1363"/>
      <c r="I65" s="44" t="s">
        <v>650</v>
      </c>
      <c r="J65" s="1365">
        <v>50</v>
      </c>
      <c r="K65" s="46" t="s">
        <v>651</v>
      </c>
      <c r="L65" s="1367" t="s">
        <v>63</v>
      </c>
      <c r="M65" s="1368" t="s">
        <v>42</v>
      </c>
      <c r="N65" s="48" t="s">
        <v>518</v>
      </c>
      <c r="O65" s="1370"/>
      <c r="P65" s="1370" t="s">
        <v>652</v>
      </c>
      <c r="Q65" s="1370" t="s">
        <v>653</v>
      </c>
      <c r="R65" s="1371">
        <v>23</v>
      </c>
      <c r="S65" s="1371">
        <v>82</v>
      </c>
      <c r="T65" s="1372" t="s">
        <v>96</v>
      </c>
      <c r="U65" s="1372">
        <v>12</v>
      </c>
      <c r="V65" s="1438">
        <f t="shared" si="1"/>
        <v>600</v>
      </c>
      <c r="W65" s="1372" t="s">
        <v>221</v>
      </c>
      <c r="X65" s="1416" t="s">
        <v>654</v>
      </c>
      <c r="Y65" s="1417" t="s">
        <v>324</v>
      </c>
      <c r="Z65" s="32" t="s">
        <v>51</v>
      </c>
      <c r="AA65" s="1418" t="s">
        <v>200</v>
      </c>
      <c r="AB65" s="1378" t="s">
        <v>595</v>
      </c>
      <c r="AC65" s="1379">
        <v>4362.5</v>
      </c>
      <c r="AD65" s="1413"/>
      <c r="AE65" s="67" t="s">
        <v>73</v>
      </c>
      <c r="AF65" s="1380" t="s">
        <v>55</v>
      </c>
      <c r="AG65" s="1380" t="s">
        <v>56</v>
      </c>
      <c r="AH65" s="1380" t="s">
        <v>56</v>
      </c>
      <c r="AI65" s="1380"/>
      <c r="AJ65" s="1380"/>
      <c r="AK65" s="1380"/>
      <c r="AL65" s="1419"/>
      <c r="AM65" s="1413">
        <v>2</v>
      </c>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66"/>
      <c r="CO65" s="66"/>
      <c r="CP65" s="66"/>
      <c r="CQ65" s="66"/>
      <c r="CR65" s="66"/>
      <c r="CS65" s="66"/>
      <c r="CT65" s="66"/>
      <c r="CU65" s="66"/>
      <c r="CV65" s="66"/>
      <c r="CW65" s="66"/>
      <c r="CX65" s="66"/>
      <c r="CY65" s="66"/>
      <c r="CZ65" s="66"/>
      <c r="DA65" s="66"/>
      <c r="DB65" s="66"/>
      <c r="DC65" s="66"/>
      <c r="DD65" s="66"/>
      <c r="DE65" s="66"/>
      <c r="DF65" s="66"/>
      <c r="DG65" s="66"/>
      <c r="DH65" s="66"/>
      <c r="DI65" s="66"/>
      <c r="DJ65" s="66"/>
      <c r="DK65" s="66"/>
      <c r="DL65" s="66"/>
      <c r="DM65" s="66"/>
      <c r="DN65" s="66"/>
      <c r="DO65" s="66"/>
    </row>
    <row r="66" spans="1:119" s="13" customFormat="1" ht="60" customHeight="1" x14ac:dyDescent="0.25">
      <c r="A66" s="14">
        <v>46112</v>
      </c>
      <c r="B66" s="1345" t="s">
        <v>655</v>
      </c>
      <c r="C66" s="1345" t="s">
        <v>656</v>
      </c>
      <c r="D66" s="41"/>
      <c r="E66" s="42" t="s">
        <v>39</v>
      </c>
      <c r="F66" s="43"/>
      <c r="G66" s="1430">
        <v>2</v>
      </c>
      <c r="H66" s="43"/>
      <c r="I66" s="72" t="s">
        <v>657</v>
      </c>
      <c r="J66" s="45">
        <v>5</v>
      </c>
      <c r="K66" s="1346" t="s">
        <v>658</v>
      </c>
      <c r="L66" s="1367" t="s">
        <v>63</v>
      </c>
      <c r="M66" s="42" t="s">
        <v>42</v>
      </c>
      <c r="N66" s="48" t="s">
        <v>659</v>
      </c>
      <c r="O66" s="49" t="s">
        <v>660</v>
      </c>
      <c r="P66" s="49" t="s">
        <v>661</v>
      </c>
      <c r="Q66" s="49" t="s">
        <v>662</v>
      </c>
      <c r="R66" s="50">
        <v>2</v>
      </c>
      <c r="S66" s="50">
        <v>2</v>
      </c>
      <c r="T66" s="51" t="s">
        <v>47</v>
      </c>
      <c r="U66" s="51">
        <v>0</v>
      </c>
      <c r="V66" s="52">
        <f t="shared" ref="V66:V97" si="2">U66*J66</f>
        <v>0</v>
      </c>
      <c r="W66" s="51" t="s">
        <v>142</v>
      </c>
      <c r="X66" s="30" t="s">
        <v>434</v>
      </c>
      <c r="Y66" s="64" t="s">
        <v>82</v>
      </c>
      <c r="Z66" s="32"/>
      <c r="AA66" s="33" t="s">
        <v>224</v>
      </c>
      <c r="AB66" s="65" t="s">
        <v>435</v>
      </c>
      <c r="AC66" s="35">
        <f>2270 * J66/50</f>
        <v>227</v>
      </c>
      <c r="AD66" s="66"/>
      <c r="AE66" s="67" t="s">
        <v>85</v>
      </c>
      <c r="AF66" s="1380" t="s">
        <v>55</v>
      </c>
      <c r="AG66" s="38" t="s">
        <v>56</v>
      </c>
      <c r="AH66" s="38" t="s">
        <v>56</v>
      </c>
      <c r="AI66" s="38"/>
      <c r="AJ66" s="38"/>
      <c r="AK66" s="38"/>
      <c r="AL66" s="68"/>
      <c r="AM66" s="66">
        <v>5</v>
      </c>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66"/>
      <c r="CO66" s="66"/>
      <c r="CP66" s="66"/>
      <c r="CQ66" s="66"/>
      <c r="CR66" s="66"/>
      <c r="CS66" s="66"/>
      <c r="CT66" s="66"/>
      <c r="CU66" s="66"/>
      <c r="CV66" s="66"/>
      <c r="CW66" s="66"/>
      <c r="CX66" s="66"/>
      <c r="CY66" s="66"/>
      <c r="CZ66" s="66"/>
      <c r="DA66" s="66"/>
      <c r="DB66" s="66"/>
      <c r="DC66" s="66"/>
      <c r="DD66" s="66"/>
      <c r="DE66" s="66"/>
      <c r="DF66" s="66"/>
      <c r="DG66" s="66"/>
      <c r="DH66" s="66"/>
      <c r="DI66" s="66"/>
      <c r="DJ66" s="66"/>
      <c r="DK66" s="66"/>
      <c r="DL66" s="66"/>
      <c r="DM66" s="66"/>
    </row>
    <row r="67" spans="1:119" s="13" customFormat="1" ht="30" customHeight="1" x14ac:dyDescent="0.25">
      <c r="A67" s="14">
        <v>46112</v>
      </c>
      <c r="B67" s="1345" t="s">
        <v>663</v>
      </c>
      <c r="C67" s="1345" t="s">
        <v>515</v>
      </c>
      <c r="D67" s="1345"/>
      <c r="E67" s="1368" t="s">
        <v>39</v>
      </c>
      <c r="F67" s="1430">
        <v>1</v>
      </c>
      <c r="G67" s="1363"/>
      <c r="H67" s="1363"/>
      <c r="I67" s="44" t="s">
        <v>664</v>
      </c>
      <c r="J67" s="1365">
        <v>70</v>
      </c>
      <c r="K67" s="1346" t="s">
        <v>658</v>
      </c>
      <c r="L67" s="1367" t="s">
        <v>63</v>
      </c>
      <c r="M67" s="42" t="s">
        <v>42</v>
      </c>
      <c r="N67" s="48" t="s">
        <v>518</v>
      </c>
      <c r="O67" s="1370" t="s">
        <v>665</v>
      </c>
      <c r="P67" s="1370" t="s">
        <v>666</v>
      </c>
      <c r="Q67" s="1370" t="s">
        <v>667</v>
      </c>
      <c r="R67" s="1461">
        <v>35</v>
      </c>
      <c r="S67" s="1371">
        <v>72</v>
      </c>
      <c r="T67" s="1372" t="s">
        <v>47</v>
      </c>
      <c r="U67" s="1372">
        <v>2</v>
      </c>
      <c r="V67" s="1373">
        <f t="shared" si="2"/>
        <v>140</v>
      </c>
      <c r="W67" s="1372" t="s">
        <v>48</v>
      </c>
      <c r="X67" s="1416" t="s">
        <v>49</v>
      </c>
      <c r="Y67" s="1417" t="s">
        <v>50</v>
      </c>
      <c r="Z67" s="32"/>
      <c r="AA67" s="1418" t="s">
        <v>275</v>
      </c>
      <c r="AB67" s="1378" t="s">
        <v>521</v>
      </c>
      <c r="AC67" s="1379">
        <v>5810</v>
      </c>
      <c r="AD67" s="1413"/>
      <c r="AE67" s="67" t="s">
        <v>73</v>
      </c>
      <c r="AF67" s="1380" t="s">
        <v>55</v>
      </c>
      <c r="AG67" s="38" t="s">
        <v>56</v>
      </c>
      <c r="AH67" s="38" t="s">
        <v>56</v>
      </c>
      <c r="AI67" s="1380"/>
      <c r="AJ67" s="1380"/>
      <c r="AK67" s="1380"/>
      <c r="AL67" s="1419"/>
      <c r="AM67" s="1413">
        <v>4</v>
      </c>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66"/>
      <c r="CO67" s="66"/>
      <c r="CP67" s="66"/>
      <c r="CQ67" s="66"/>
      <c r="CR67" s="66"/>
      <c r="CS67" s="66"/>
      <c r="CT67" s="66"/>
      <c r="CU67" s="66"/>
      <c r="CV67" s="66"/>
      <c r="CW67" s="66"/>
      <c r="CX67" s="66"/>
      <c r="CY67" s="66"/>
      <c r="CZ67" s="66"/>
      <c r="DA67" s="66"/>
      <c r="DB67" s="66"/>
      <c r="DC67" s="66"/>
      <c r="DD67" s="66"/>
      <c r="DE67" s="66"/>
      <c r="DF67" s="66"/>
      <c r="DG67" s="66"/>
      <c r="DH67" s="66"/>
      <c r="DI67" s="66"/>
      <c r="DJ67" s="66"/>
      <c r="DK67" s="66"/>
      <c r="DL67" s="66"/>
      <c r="DM67" s="66"/>
    </row>
    <row r="68" spans="1:119" s="13" customFormat="1" ht="90.75" customHeight="1" x14ac:dyDescent="0.25">
      <c r="A68" s="14">
        <v>46112</v>
      </c>
      <c r="B68" s="1345" t="s">
        <v>668</v>
      </c>
      <c r="C68" s="1345" t="s">
        <v>593</v>
      </c>
      <c r="D68" s="1345" t="s">
        <v>669</v>
      </c>
      <c r="E68" s="1368" t="s">
        <v>39</v>
      </c>
      <c r="F68" s="1363"/>
      <c r="G68" s="1405">
        <v>1</v>
      </c>
      <c r="H68" s="1363"/>
      <c r="I68" s="44" t="s">
        <v>670</v>
      </c>
      <c r="J68" s="1365">
        <v>85</v>
      </c>
      <c r="K68" s="1346" t="s">
        <v>671</v>
      </c>
      <c r="L68" s="1367" t="s">
        <v>63</v>
      </c>
      <c r="M68" s="1368" t="s">
        <v>42</v>
      </c>
      <c r="N68" s="48" t="s">
        <v>672</v>
      </c>
      <c r="O68" s="1370"/>
      <c r="P68" s="1370" t="s">
        <v>652</v>
      </c>
      <c r="Q68" s="1370" t="s">
        <v>653</v>
      </c>
      <c r="R68" s="1371">
        <v>3</v>
      </c>
      <c r="S68" s="1371">
        <v>5</v>
      </c>
      <c r="T68" s="1372" t="s">
        <v>96</v>
      </c>
      <c r="U68" s="1372">
        <v>0</v>
      </c>
      <c r="V68" s="1373">
        <f t="shared" si="2"/>
        <v>0</v>
      </c>
      <c r="W68" s="1372" t="s">
        <v>48</v>
      </c>
      <c r="X68" s="1416" t="s">
        <v>49</v>
      </c>
      <c r="Y68" s="1417" t="s">
        <v>50</v>
      </c>
      <c r="Z68" s="1393" t="s">
        <v>51</v>
      </c>
      <c r="AA68" s="1418" t="s">
        <v>326</v>
      </c>
      <c r="AB68" s="1378" t="s">
        <v>673</v>
      </c>
      <c r="AC68" s="1379">
        <v>1938</v>
      </c>
      <c r="AD68" s="1413"/>
      <c r="AE68" s="67" t="s">
        <v>85</v>
      </c>
      <c r="AF68" s="1380" t="s">
        <v>55</v>
      </c>
      <c r="AG68" s="1380" t="s">
        <v>56</v>
      </c>
      <c r="AH68" s="1380" t="s">
        <v>56</v>
      </c>
      <c r="AI68" s="1380"/>
      <c r="AJ68" s="1380" t="s">
        <v>56</v>
      </c>
      <c r="AK68" s="1380" t="s">
        <v>74</v>
      </c>
      <c r="AL68" s="1419"/>
      <c r="AM68" s="1413">
        <v>40</v>
      </c>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row>
    <row r="69" spans="1:119" s="13" customFormat="1" ht="60" customHeight="1" x14ac:dyDescent="0.25">
      <c r="A69" s="14">
        <v>46112</v>
      </c>
      <c r="B69" s="1345" t="s">
        <v>674</v>
      </c>
      <c r="C69" s="1345" t="s">
        <v>675</v>
      </c>
      <c r="D69" s="1345" t="s">
        <v>676</v>
      </c>
      <c r="E69" s="1368" t="s">
        <v>39</v>
      </c>
      <c r="F69" s="1405">
        <v>1</v>
      </c>
      <c r="G69" s="1363"/>
      <c r="H69" s="1363"/>
      <c r="I69" s="44" t="s">
        <v>677</v>
      </c>
      <c r="J69" s="1365">
        <v>30</v>
      </c>
      <c r="K69" s="46" t="s">
        <v>671</v>
      </c>
      <c r="L69" s="1367" t="s">
        <v>63</v>
      </c>
      <c r="M69" s="42" t="s">
        <v>42</v>
      </c>
      <c r="N69" s="48" t="s">
        <v>678</v>
      </c>
      <c r="O69" s="1370" t="s">
        <v>679</v>
      </c>
      <c r="P69" s="1370" t="s">
        <v>680</v>
      </c>
      <c r="Q69" s="1370" t="s">
        <v>681</v>
      </c>
      <c r="R69" s="1371">
        <v>66</v>
      </c>
      <c r="S69" s="1371">
        <v>207</v>
      </c>
      <c r="T69" s="1372" t="s">
        <v>47</v>
      </c>
      <c r="U69" s="1372">
        <v>25</v>
      </c>
      <c r="V69" s="1438">
        <f t="shared" si="2"/>
        <v>750</v>
      </c>
      <c r="W69" s="1372" t="s">
        <v>68</v>
      </c>
      <c r="X69" s="1416" t="s">
        <v>682</v>
      </c>
      <c r="Y69" s="1417" t="s">
        <v>324</v>
      </c>
      <c r="Z69" s="32" t="s">
        <v>51</v>
      </c>
      <c r="AA69" s="1418" t="s">
        <v>468</v>
      </c>
      <c r="AB69" s="1378" t="s">
        <v>683</v>
      </c>
      <c r="AC69" s="1379">
        <v>7447.5</v>
      </c>
      <c r="AD69" s="1413"/>
      <c r="AE69" s="67" t="s">
        <v>85</v>
      </c>
      <c r="AF69" s="1380" t="s">
        <v>55</v>
      </c>
      <c r="AG69" s="1380" t="s">
        <v>56</v>
      </c>
      <c r="AH69" s="1380" t="s">
        <v>56</v>
      </c>
      <c r="AI69" s="1380"/>
      <c r="AJ69" s="1380"/>
      <c r="AK69" s="1380"/>
      <c r="AL69" s="1419"/>
      <c r="AM69" s="1413">
        <v>2</v>
      </c>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row>
    <row r="70" spans="1:119" s="13" customFormat="1" ht="113.25" customHeight="1" x14ac:dyDescent="0.25">
      <c r="A70" s="14">
        <v>46112</v>
      </c>
      <c r="B70" s="1348" t="s">
        <v>684</v>
      </c>
      <c r="C70" s="1348" t="s">
        <v>685</v>
      </c>
      <c r="D70" s="1345" t="s">
        <v>686</v>
      </c>
      <c r="E70" s="1368" t="s">
        <v>39</v>
      </c>
      <c r="F70" s="1363"/>
      <c r="G70" s="1363"/>
      <c r="H70" s="1430">
        <v>1</v>
      </c>
      <c r="I70" s="44" t="s">
        <v>687</v>
      </c>
      <c r="J70" s="1365">
        <v>20</v>
      </c>
      <c r="K70" s="1346" t="s">
        <v>658</v>
      </c>
      <c r="L70" s="1367" t="s">
        <v>63</v>
      </c>
      <c r="M70" s="1368" t="s">
        <v>55</v>
      </c>
      <c r="N70" s="1344" t="s">
        <v>688</v>
      </c>
      <c r="O70" s="1370" t="s">
        <v>689</v>
      </c>
      <c r="P70" s="1370" t="s">
        <v>498</v>
      </c>
      <c r="Q70" s="1370" t="s">
        <v>535</v>
      </c>
      <c r="R70" s="1446">
        <v>121</v>
      </c>
      <c r="S70" s="1371">
        <v>716</v>
      </c>
      <c r="T70" s="1372" t="s">
        <v>180</v>
      </c>
      <c r="U70" s="1372">
        <v>37</v>
      </c>
      <c r="V70" s="1438">
        <f t="shared" si="2"/>
        <v>740</v>
      </c>
      <c r="W70" s="1462" t="s">
        <v>690</v>
      </c>
      <c r="X70" s="1416" t="s">
        <v>691</v>
      </c>
      <c r="Y70" s="1417" t="s">
        <v>324</v>
      </c>
      <c r="Z70" s="32" t="s">
        <v>692</v>
      </c>
      <c r="AA70" s="1418" t="s">
        <v>693</v>
      </c>
      <c r="AB70" s="1378" t="s">
        <v>694</v>
      </c>
      <c r="AC70" s="1379">
        <f xml:space="preserve"> (14356 * J70/40) + 3500</f>
        <v>10678</v>
      </c>
      <c r="AD70" s="1413"/>
      <c r="AE70" s="67" t="s">
        <v>85</v>
      </c>
      <c r="AF70" s="38" t="s">
        <v>55</v>
      </c>
      <c r="AG70" s="1380" t="s">
        <v>56</v>
      </c>
      <c r="AH70" s="1380" t="s">
        <v>56</v>
      </c>
      <c r="AI70" s="1380"/>
      <c r="AJ70" s="1380"/>
      <c r="AK70" s="1380"/>
      <c r="AL70" s="78" t="s">
        <v>695</v>
      </c>
      <c r="AM70" s="1413">
        <v>1</v>
      </c>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row>
    <row r="71" spans="1:119" s="13" customFormat="1" ht="30" customHeight="1" x14ac:dyDescent="0.25">
      <c r="A71" s="14">
        <v>46112</v>
      </c>
      <c r="B71" s="1412" t="s">
        <v>696</v>
      </c>
      <c r="C71" s="1412" t="s">
        <v>697</v>
      </c>
      <c r="D71" s="1412" t="s">
        <v>698</v>
      </c>
      <c r="E71" s="1427" t="s">
        <v>39</v>
      </c>
      <c r="F71" s="1449"/>
      <c r="G71" s="1430">
        <v>1</v>
      </c>
      <c r="H71" s="1449"/>
      <c r="I71" s="44" t="s">
        <v>699</v>
      </c>
      <c r="J71" s="1450">
        <v>73</v>
      </c>
      <c r="K71" s="1425" t="s">
        <v>700</v>
      </c>
      <c r="L71" s="1451" t="s">
        <v>63</v>
      </c>
      <c r="M71" s="1451" t="s">
        <v>42</v>
      </c>
      <c r="N71" s="1426" t="s">
        <v>240</v>
      </c>
      <c r="O71" s="1452" t="s">
        <v>601</v>
      </c>
      <c r="P71" s="1452" t="s">
        <v>602</v>
      </c>
      <c r="Q71" s="1452" t="s">
        <v>603</v>
      </c>
      <c r="R71" s="1453">
        <v>50</v>
      </c>
      <c r="S71" s="1453">
        <v>107</v>
      </c>
      <c r="T71" s="1427" t="s">
        <v>47</v>
      </c>
      <c r="U71" s="1427">
        <v>29</v>
      </c>
      <c r="V71" s="1438">
        <f t="shared" si="2"/>
        <v>2117</v>
      </c>
      <c r="W71" s="1427" t="s">
        <v>48</v>
      </c>
      <c r="X71" s="1416" t="s">
        <v>49</v>
      </c>
      <c r="Y71" s="1417" t="s">
        <v>50</v>
      </c>
      <c r="Z71" s="1393" t="s">
        <v>51</v>
      </c>
      <c r="AA71" s="1418" t="s">
        <v>326</v>
      </c>
      <c r="AB71" s="1378" t="s">
        <v>540</v>
      </c>
      <c r="AC71" s="1379">
        <f>14862.75*J71/75</f>
        <v>14466.41</v>
      </c>
      <c r="AD71" s="1413"/>
      <c r="AE71" s="67" t="s">
        <v>73</v>
      </c>
      <c r="AF71" s="1380" t="s">
        <v>55</v>
      </c>
      <c r="AG71" s="1380" t="s">
        <v>56</v>
      </c>
      <c r="AH71" s="1380" t="s">
        <v>86</v>
      </c>
      <c r="AI71" s="1380" t="s">
        <v>87</v>
      </c>
      <c r="AJ71" s="1380" t="s">
        <v>56</v>
      </c>
      <c r="AK71" s="1380" t="s">
        <v>149</v>
      </c>
      <c r="AL71" s="1419"/>
      <c r="AM71" s="1413">
        <v>1</v>
      </c>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66"/>
      <c r="CO71" s="66"/>
      <c r="CP71" s="66"/>
      <c r="CQ71" s="66"/>
      <c r="CR71" s="66"/>
      <c r="CS71" s="66"/>
      <c r="CT71" s="66"/>
      <c r="CU71" s="66"/>
      <c r="CV71" s="66"/>
      <c r="CW71" s="66"/>
      <c r="CX71" s="66"/>
      <c r="CY71" s="66"/>
      <c r="CZ71" s="66"/>
      <c r="DA71" s="66"/>
      <c r="DB71" s="66"/>
      <c r="DC71" s="66"/>
      <c r="DD71" s="66"/>
      <c r="DE71" s="66"/>
      <c r="DF71" s="66"/>
      <c r="DG71" s="66"/>
      <c r="DH71" s="66"/>
      <c r="DI71" s="66"/>
      <c r="DJ71" s="66"/>
      <c r="DK71" s="66"/>
      <c r="DL71" s="66"/>
      <c r="DM71" s="66"/>
    </row>
    <row r="72" spans="1:119" s="13" customFormat="1" ht="113.25" customHeight="1" x14ac:dyDescent="0.25">
      <c r="A72" s="14">
        <v>46111</v>
      </c>
      <c r="B72" s="1345" t="s">
        <v>701</v>
      </c>
      <c r="C72" s="1345" t="s">
        <v>702</v>
      </c>
      <c r="D72" s="1345" t="s">
        <v>703</v>
      </c>
      <c r="E72" s="42" t="s">
        <v>39</v>
      </c>
      <c r="F72" s="1430">
        <v>1</v>
      </c>
      <c r="G72" s="1363"/>
      <c r="H72" s="1363"/>
      <c r="I72" s="44" t="s">
        <v>704</v>
      </c>
      <c r="J72" s="1365">
        <v>80</v>
      </c>
      <c r="K72" s="1346" t="s">
        <v>705</v>
      </c>
      <c r="L72" s="1367" t="s">
        <v>63</v>
      </c>
      <c r="M72" s="42" t="s">
        <v>42</v>
      </c>
      <c r="N72" s="48" t="s">
        <v>706</v>
      </c>
      <c r="O72" s="1370" t="s">
        <v>707</v>
      </c>
      <c r="P72" s="1370"/>
      <c r="Q72" s="1370"/>
      <c r="R72" s="1371">
        <v>16</v>
      </c>
      <c r="S72" s="1371">
        <v>37</v>
      </c>
      <c r="T72" s="1372" t="s">
        <v>47</v>
      </c>
      <c r="U72" s="1372">
        <v>0</v>
      </c>
      <c r="V72" s="1373">
        <f t="shared" si="2"/>
        <v>0</v>
      </c>
      <c r="W72" s="1372" t="s">
        <v>48</v>
      </c>
      <c r="X72" s="1416" t="s">
        <v>49</v>
      </c>
      <c r="Y72" s="1417" t="s">
        <v>50</v>
      </c>
      <c r="Z72" s="32" t="s">
        <v>325</v>
      </c>
      <c r="AA72" s="1418" t="s">
        <v>275</v>
      </c>
      <c r="AB72" s="1378" t="s">
        <v>453</v>
      </c>
      <c r="AC72" s="1379">
        <v>4055.2</v>
      </c>
      <c r="AD72" s="1413"/>
      <c r="AE72" s="67" t="s">
        <v>73</v>
      </c>
      <c r="AF72" s="1380" t="s">
        <v>55</v>
      </c>
      <c r="AG72" s="1380" t="s">
        <v>56</v>
      </c>
      <c r="AH72" s="1380" t="s">
        <v>56</v>
      </c>
      <c r="AI72" s="1380" t="s">
        <v>57</v>
      </c>
      <c r="AJ72" s="1380" t="s">
        <v>56</v>
      </c>
      <c r="AK72" s="1380" t="s">
        <v>149</v>
      </c>
      <c r="AL72" s="1419"/>
      <c r="AM72" s="1413">
        <v>15</v>
      </c>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66"/>
      <c r="CO72" s="66"/>
      <c r="CP72" s="66"/>
      <c r="CQ72" s="66"/>
      <c r="CR72" s="66"/>
      <c r="CS72" s="66"/>
      <c r="CT72" s="66"/>
      <c r="CU72" s="66"/>
      <c r="CV72" s="66"/>
      <c r="CW72" s="66"/>
      <c r="CX72" s="66"/>
      <c r="CY72" s="66"/>
      <c r="CZ72" s="66"/>
      <c r="DA72" s="66"/>
      <c r="DB72" s="66"/>
      <c r="DC72" s="66"/>
      <c r="DD72" s="66"/>
      <c r="DE72" s="66"/>
      <c r="DF72" s="66"/>
      <c r="DG72" s="66"/>
      <c r="DH72" s="66"/>
      <c r="DI72" s="66"/>
      <c r="DJ72" s="66"/>
      <c r="DK72" s="66"/>
      <c r="DL72" s="66"/>
      <c r="DM72" s="66"/>
    </row>
    <row r="73" spans="1:119" s="13" customFormat="1" ht="113.25" customHeight="1" x14ac:dyDescent="0.25">
      <c r="A73" s="14">
        <v>46111</v>
      </c>
      <c r="B73" s="1345" t="s">
        <v>495</v>
      </c>
      <c r="C73" s="1345" t="s">
        <v>437</v>
      </c>
      <c r="D73" s="1345" t="s">
        <v>703</v>
      </c>
      <c r="E73" s="42" t="s">
        <v>39</v>
      </c>
      <c r="F73" s="1363"/>
      <c r="G73" s="1430">
        <v>1</v>
      </c>
      <c r="H73" s="1363"/>
      <c r="I73" s="44" t="s">
        <v>708</v>
      </c>
      <c r="J73" s="1365">
        <v>90</v>
      </c>
      <c r="K73" s="1346" t="s">
        <v>705</v>
      </c>
      <c r="L73" s="1367" t="s">
        <v>63</v>
      </c>
      <c r="M73" s="42" t="s">
        <v>42</v>
      </c>
      <c r="N73" s="48" t="s">
        <v>518</v>
      </c>
      <c r="O73" s="1370" t="s">
        <v>709</v>
      </c>
      <c r="P73" s="1370"/>
      <c r="Q73" s="1370" t="s">
        <v>662</v>
      </c>
      <c r="R73" s="1371">
        <v>8</v>
      </c>
      <c r="S73" s="1371">
        <v>36</v>
      </c>
      <c r="T73" s="1372" t="s">
        <v>393</v>
      </c>
      <c r="U73" s="1372">
        <v>0</v>
      </c>
      <c r="V73" s="1373">
        <f t="shared" si="2"/>
        <v>0</v>
      </c>
      <c r="W73" s="1372" t="s">
        <v>48</v>
      </c>
      <c r="X73" s="1416" t="s">
        <v>49</v>
      </c>
      <c r="Y73" s="1417" t="s">
        <v>50</v>
      </c>
      <c r="Z73" s="1393" t="s">
        <v>51</v>
      </c>
      <c r="AA73" s="1418" t="s">
        <v>427</v>
      </c>
      <c r="AB73" s="1378" t="s">
        <v>710</v>
      </c>
      <c r="AC73" s="1379">
        <v>5579</v>
      </c>
      <c r="AD73" s="1413"/>
      <c r="AE73" s="67" t="s">
        <v>73</v>
      </c>
      <c r="AF73" s="1380" t="s">
        <v>55</v>
      </c>
      <c r="AG73" s="1380" t="s">
        <v>56</v>
      </c>
      <c r="AH73" s="1380" t="s">
        <v>56</v>
      </c>
      <c r="AI73" s="1380"/>
      <c r="AJ73" s="1380" t="s">
        <v>56</v>
      </c>
      <c r="AK73" s="1380" t="s">
        <v>149</v>
      </c>
      <c r="AL73" s="1419"/>
      <c r="AM73" s="1413">
        <v>20</v>
      </c>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c r="CS73" s="66"/>
      <c r="CT73" s="66"/>
      <c r="CU73" s="66"/>
      <c r="CV73" s="66"/>
      <c r="CW73" s="66"/>
      <c r="CX73" s="66"/>
      <c r="CY73" s="66"/>
      <c r="CZ73" s="66"/>
      <c r="DA73" s="66"/>
      <c r="DB73" s="66"/>
      <c r="DC73" s="66"/>
      <c r="DD73" s="66"/>
      <c r="DE73" s="66"/>
      <c r="DF73" s="66"/>
      <c r="DG73" s="66"/>
      <c r="DH73" s="66"/>
      <c r="DI73" s="66"/>
      <c r="DJ73" s="66"/>
      <c r="DK73" s="66"/>
      <c r="DL73" s="66"/>
      <c r="DM73" s="66"/>
    </row>
    <row r="74" spans="1:119" s="13" customFormat="1" ht="66.75" customHeight="1" x14ac:dyDescent="0.25">
      <c r="A74" s="14">
        <v>46111</v>
      </c>
      <c r="B74" s="1345" t="s">
        <v>495</v>
      </c>
      <c r="C74" s="1345" t="s">
        <v>269</v>
      </c>
      <c r="D74" s="1345"/>
      <c r="E74" s="1368" t="s">
        <v>39</v>
      </c>
      <c r="F74" s="1363"/>
      <c r="G74" s="1430">
        <v>1</v>
      </c>
      <c r="H74" s="1363"/>
      <c r="I74" s="44" t="s">
        <v>711</v>
      </c>
      <c r="J74" s="1365">
        <v>65</v>
      </c>
      <c r="K74" s="1346" t="s">
        <v>705</v>
      </c>
      <c r="L74" s="1367" t="s">
        <v>63</v>
      </c>
      <c r="M74" s="42" t="s">
        <v>42</v>
      </c>
      <c r="N74" s="48" t="s">
        <v>712</v>
      </c>
      <c r="O74" s="1370" t="s">
        <v>713</v>
      </c>
      <c r="P74" s="1370" t="s">
        <v>714</v>
      </c>
      <c r="Q74" s="1370" t="s">
        <v>715</v>
      </c>
      <c r="R74" s="1371">
        <v>2</v>
      </c>
      <c r="S74" s="1371">
        <v>4</v>
      </c>
      <c r="T74" s="1372" t="s">
        <v>47</v>
      </c>
      <c r="U74" s="1372">
        <v>0</v>
      </c>
      <c r="V74" s="1373">
        <f t="shared" si="2"/>
        <v>0</v>
      </c>
      <c r="W74" s="1372" t="s">
        <v>48</v>
      </c>
      <c r="X74" s="1416" t="s">
        <v>49</v>
      </c>
      <c r="Y74" s="1417" t="s">
        <v>50</v>
      </c>
      <c r="Z74" s="32"/>
      <c r="AA74" s="1418" t="s">
        <v>190</v>
      </c>
      <c r="AB74" s="1378" t="s">
        <v>191</v>
      </c>
      <c r="AC74" s="1379">
        <v>2379</v>
      </c>
      <c r="AD74" s="1413"/>
      <c r="AE74" s="67" t="s">
        <v>73</v>
      </c>
      <c r="AF74" s="1380" t="s">
        <v>55</v>
      </c>
      <c r="AG74" s="38" t="s">
        <v>56</v>
      </c>
      <c r="AH74" s="38" t="s">
        <v>56</v>
      </c>
      <c r="AI74" s="1380"/>
      <c r="AJ74" s="1380" t="s">
        <v>56</v>
      </c>
      <c r="AK74" s="1380" t="s">
        <v>149</v>
      </c>
      <c r="AL74" s="1419"/>
      <c r="AM74" s="1413">
        <v>20</v>
      </c>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c r="CS74" s="66"/>
      <c r="CT74" s="66"/>
      <c r="CU74" s="66"/>
      <c r="CV74" s="66"/>
      <c r="CW74" s="66"/>
      <c r="CX74" s="66"/>
      <c r="CY74" s="66"/>
      <c r="CZ74" s="66"/>
      <c r="DA74" s="66"/>
      <c r="DB74" s="66"/>
      <c r="DC74" s="66"/>
      <c r="DD74" s="66"/>
      <c r="DE74" s="66"/>
      <c r="DF74" s="66"/>
      <c r="DG74" s="66"/>
      <c r="DH74" s="66"/>
      <c r="DI74" s="66"/>
      <c r="DJ74" s="66"/>
      <c r="DK74" s="66"/>
      <c r="DL74" s="66"/>
      <c r="DM74" s="66"/>
    </row>
    <row r="75" spans="1:119" s="13" customFormat="1" ht="30" customHeight="1" x14ac:dyDescent="0.25">
      <c r="A75" s="14">
        <v>46111</v>
      </c>
      <c r="B75" s="1345" t="s">
        <v>588</v>
      </c>
      <c r="C75" s="1345" t="s">
        <v>716</v>
      </c>
      <c r="D75" s="1345"/>
      <c r="E75" s="1368" t="s">
        <v>195</v>
      </c>
      <c r="F75" s="1363"/>
      <c r="G75" s="1363"/>
      <c r="H75" s="1363"/>
      <c r="I75" s="44" t="s">
        <v>717</v>
      </c>
      <c r="J75" s="1365">
        <v>80</v>
      </c>
      <c r="K75" s="1346" t="s">
        <v>705</v>
      </c>
      <c r="L75" s="1367" t="s">
        <v>42</v>
      </c>
      <c r="M75" s="1368" t="s">
        <v>55</v>
      </c>
      <c r="N75" s="48" t="s">
        <v>718</v>
      </c>
      <c r="O75" s="1370"/>
      <c r="P75" s="1370"/>
      <c r="Q75" s="1370"/>
      <c r="R75" s="1371">
        <v>0</v>
      </c>
      <c r="S75" s="1371">
        <v>0</v>
      </c>
      <c r="T75" s="1372">
        <v>0</v>
      </c>
      <c r="U75" s="1372">
        <v>1</v>
      </c>
      <c r="V75" s="1373">
        <f t="shared" si="2"/>
        <v>80</v>
      </c>
      <c r="W75" s="1372" t="s">
        <v>48</v>
      </c>
      <c r="X75" s="1416" t="s">
        <v>49</v>
      </c>
      <c r="Y75" s="1417" t="s">
        <v>50</v>
      </c>
      <c r="Z75" s="1393" t="s">
        <v>51</v>
      </c>
      <c r="AA75" s="1418" t="s">
        <v>326</v>
      </c>
      <c r="AB75" s="1378" t="s">
        <v>147</v>
      </c>
      <c r="AC75" s="1379">
        <v>2800</v>
      </c>
      <c r="AD75" s="1413"/>
      <c r="AE75" s="67" t="s">
        <v>73</v>
      </c>
      <c r="AF75" s="1380" t="s">
        <v>55</v>
      </c>
      <c r="AG75" s="38" t="s">
        <v>56</v>
      </c>
      <c r="AH75" s="38" t="s">
        <v>56</v>
      </c>
      <c r="AI75" s="1380"/>
      <c r="AJ75" s="1380"/>
      <c r="AK75" s="1380"/>
      <c r="AL75" s="1419"/>
      <c r="AM75" s="1413"/>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row>
    <row r="76" spans="1:119" s="13" customFormat="1" ht="113.25" customHeight="1" x14ac:dyDescent="0.25">
      <c r="A76" s="14">
        <v>46111</v>
      </c>
      <c r="B76" s="1345" t="s">
        <v>719</v>
      </c>
      <c r="C76" s="1345" t="s">
        <v>720</v>
      </c>
      <c r="D76" s="1345" t="s">
        <v>721</v>
      </c>
      <c r="E76" s="1368" t="s">
        <v>39</v>
      </c>
      <c r="F76" s="1430">
        <v>1</v>
      </c>
      <c r="G76" s="1363"/>
      <c r="H76" s="1363"/>
      <c r="I76" s="44" t="s">
        <v>722</v>
      </c>
      <c r="J76" s="1365">
        <f>80-53</f>
        <v>27</v>
      </c>
      <c r="K76" s="1346" t="s">
        <v>705</v>
      </c>
      <c r="L76" s="1367" t="s">
        <v>63</v>
      </c>
      <c r="M76" s="42" t="s">
        <v>42</v>
      </c>
      <c r="N76" s="48" t="s">
        <v>723</v>
      </c>
      <c r="O76" s="1370"/>
      <c r="P76" s="1370" t="s">
        <v>715</v>
      </c>
      <c r="Q76" s="1370" t="s">
        <v>715</v>
      </c>
      <c r="R76" s="1371">
        <v>16</v>
      </c>
      <c r="S76" s="1371">
        <v>33</v>
      </c>
      <c r="T76" s="1372" t="s">
        <v>96</v>
      </c>
      <c r="U76" s="1372">
        <v>0</v>
      </c>
      <c r="V76" s="1373">
        <f t="shared" si="2"/>
        <v>0</v>
      </c>
      <c r="W76" s="1372" t="s">
        <v>48</v>
      </c>
      <c r="X76" s="1416" t="s">
        <v>49</v>
      </c>
      <c r="Y76" s="1417" t="s">
        <v>50</v>
      </c>
      <c r="Z76" s="32" t="s">
        <v>325</v>
      </c>
      <c r="AA76" s="1418" t="s">
        <v>275</v>
      </c>
      <c r="AB76" s="1378" t="s">
        <v>453</v>
      </c>
      <c r="AC76" s="1379">
        <f>3616.8*J76/80</f>
        <v>1220.67</v>
      </c>
      <c r="AD76" s="1413"/>
      <c r="AE76" s="67" t="s">
        <v>73</v>
      </c>
      <c r="AF76" s="1380" t="s">
        <v>55</v>
      </c>
      <c r="AG76" s="1380" t="s">
        <v>56</v>
      </c>
      <c r="AH76" s="1380" t="s">
        <v>56</v>
      </c>
      <c r="AI76" s="1380"/>
      <c r="AJ76" s="1380" t="s">
        <v>56</v>
      </c>
      <c r="AK76" s="1380" t="s">
        <v>149</v>
      </c>
      <c r="AL76" s="1419"/>
      <c r="AM76" s="1413">
        <v>15</v>
      </c>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row>
    <row r="77" spans="1:119" s="13" customFormat="1" ht="72.75" customHeight="1" x14ac:dyDescent="0.25">
      <c r="A77" s="14">
        <v>46111</v>
      </c>
      <c r="B77" s="1345" t="s">
        <v>724</v>
      </c>
      <c r="C77" s="1345" t="s">
        <v>725</v>
      </c>
      <c r="D77" s="1458" t="s">
        <v>726</v>
      </c>
      <c r="E77" s="1368" t="s">
        <v>39</v>
      </c>
      <c r="F77" s="1430">
        <v>1</v>
      </c>
      <c r="G77" s="1363"/>
      <c r="H77" s="1363"/>
      <c r="I77" s="44" t="s">
        <v>727</v>
      </c>
      <c r="J77" s="1365">
        <v>145</v>
      </c>
      <c r="K77" s="1346" t="s">
        <v>705</v>
      </c>
      <c r="L77" s="1460" t="s">
        <v>261</v>
      </c>
      <c r="M77" s="42" t="s">
        <v>42</v>
      </c>
      <c r="N77" s="48" t="s">
        <v>728</v>
      </c>
      <c r="O77" s="1370" t="s">
        <v>729</v>
      </c>
      <c r="P77" s="1370" t="s">
        <v>730</v>
      </c>
      <c r="Q77" s="1370" t="s">
        <v>731</v>
      </c>
      <c r="R77" s="1371">
        <v>45</v>
      </c>
      <c r="S77" s="1371">
        <v>133</v>
      </c>
      <c r="T77" s="1372" t="s">
        <v>47</v>
      </c>
      <c r="U77" s="1372">
        <v>0</v>
      </c>
      <c r="V77" s="1373">
        <f t="shared" si="2"/>
        <v>0</v>
      </c>
      <c r="W77" s="1372" t="s">
        <v>68</v>
      </c>
      <c r="X77" s="1416" t="s">
        <v>732</v>
      </c>
      <c r="Y77" s="1417" t="s">
        <v>70</v>
      </c>
      <c r="Z77" s="32"/>
      <c r="AA77" s="1418" t="s">
        <v>120</v>
      </c>
      <c r="AB77" s="1378" t="s">
        <v>385</v>
      </c>
      <c r="AC77" s="1379">
        <v>7474</v>
      </c>
      <c r="AD77" s="1413"/>
      <c r="AE77" s="37" t="s">
        <v>85</v>
      </c>
      <c r="AF77" s="1380" t="s">
        <v>55</v>
      </c>
      <c r="AG77" s="1380" t="s">
        <v>56</v>
      </c>
      <c r="AH77" s="1380" t="s">
        <v>56</v>
      </c>
      <c r="AI77" s="1413"/>
      <c r="AJ77" s="66"/>
      <c r="AK77" s="66"/>
      <c r="AL77" s="66"/>
      <c r="AM77" s="66">
        <v>4</v>
      </c>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6"/>
      <c r="DJ77" s="66"/>
      <c r="DK77" s="66"/>
      <c r="DL77" s="66"/>
      <c r="DM77" s="66"/>
    </row>
    <row r="78" spans="1:119" s="13" customFormat="1" ht="60" customHeight="1" x14ac:dyDescent="0.25">
      <c r="A78" s="14">
        <v>46111</v>
      </c>
      <c r="B78" s="1345" t="s">
        <v>733</v>
      </c>
      <c r="C78" s="1345" t="s">
        <v>734</v>
      </c>
      <c r="D78" s="1345"/>
      <c r="E78" s="1368" t="s">
        <v>39</v>
      </c>
      <c r="F78" s="1405">
        <v>1</v>
      </c>
      <c r="G78" s="1363"/>
      <c r="H78" s="1363"/>
      <c r="I78" s="69" t="s">
        <v>735</v>
      </c>
      <c r="J78" s="1365">
        <v>50</v>
      </c>
      <c r="K78" s="1346" t="s">
        <v>736</v>
      </c>
      <c r="L78" s="1367" t="s">
        <v>63</v>
      </c>
      <c r="M78" s="1368" t="s">
        <v>55</v>
      </c>
      <c r="N78" s="48" t="s">
        <v>737</v>
      </c>
      <c r="O78" s="1370"/>
      <c r="P78" s="1370" t="s">
        <v>738</v>
      </c>
      <c r="Q78" s="1370" t="s">
        <v>739</v>
      </c>
      <c r="R78" s="1371">
        <v>6</v>
      </c>
      <c r="S78" s="1371">
        <v>22</v>
      </c>
      <c r="T78" s="1372" t="s">
        <v>96</v>
      </c>
      <c r="U78" s="1372">
        <v>1</v>
      </c>
      <c r="V78" s="1373">
        <f t="shared" si="2"/>
        <v>50</v>
      </c>
      <c r="W78" s="1372" t="s">
        <v>740</v>
      </c>
      <c r="X78" s="1416" t="s">
        <v>741</v>
      </c>
      <c r="Y78" s="1417" t="s">
        <v>324</v>
      </c>
      <c r="Z78" s="32" t="s">
        <v>51</v>
      </c>
      <c r="AA78" s="1418" t="s">
        <v>612</v>
      </c>
      <c r="AB78" s="1378" t="s">
        <v>742</v>
      </c>
      <c r="AC78" s="1379">
        <v>3200</v>
      </c>
      <c r="AD78" s="1413"/>
      <c r="AE78" s="67" t="s">
        <v>73</v>
      </c>
      <c r="AF78" s="1380" t="s">
        <v>55</v>
      </c>
      <c r="AG78" s="38" t="s">
        <v>56</v>
      </c>
      <c r="AH78" s="38" t="s">
        <v>56</v>
      </c>
      <c r="AI78" s="1380"/>
      <c r="AJ78" s="66"/>
      <c r="AK78" s="66"/>
      <c r="AL78" s="1419"/>
      <c r="AM78" s="1413">
        <v>2</v>
      </c>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6"/>
      <c r="DI78" s="66"/>
      <c r="DJ78" s="66"/>
      <c r="DK78" s="66"/>
      <c r="DL78" s="66"/>
      <c r="DM78" s="66"/>
    </row>
    <row r="79" spans="1:119" s="13" customFormat="1" ht="113.25" customHeight="1" x14ac:dyDescent="0.25">
      <c r="A79" s="14">
        <v>46109</v>
      </c>
      <c r="B79" s="1345" t="s">
        <v>396</v>
      </c>
      <c r="C79" s="1345" t="s">
        <v>397</v>
      </c>
      <c r="D79" s="1391" t="s">
        <v>743</v>
      </c>
      <c r="E79" s="1368" t="s">
        <v>39</v>
      </c>
      <c r="F79" s="1430">
        <v>1</v>
      </c>
      <c r="G79" s="1363"/>
      <c r="H79" s="1363"/>
      <c r="I79" s="44" t="s">
        <v>744</v>
      </c>
      <c r="J79" s="1365">
        <v>20</v>
      </c>
      <c r="K79" s="1441" t="s">
        <v>745</v>
      </c>
      <c r="L79" s="1459" t="s">
        <v>261</v>
      </c>
      <c r="M79" s="42" t="s">
        <v>42</v>
      </c>
      <c r="N79" s="1344" t="s">
        <v>746</v>
      </c>
      <c r="O79" s="1370" t="s">
        <v>611</v>
      </c>
      <c r="P79" s="1370" t="s">
        <v>747</v>
      </c>
      <c r="Q79" s="1370" t="s">
        <v>748</v>
      </c>
      <c r="R79" s="1446">
        <v>105</v>
      </c>
      <c r="S79" s="1371">
        <v>363</v>
      </c>
      <c r="T79" s="1372" t="s">
        <v>180</v>
      </c>
      <c r="U79" s="1372">
        <v>21</v>
      </c>
      <c r="V79" s="1438">
        <f t="shared" si="2"/>
        <v>420</v>
      </c>
      <c r="W79" s="1372" t="s">
        <v>48</v>
      </c>
      <c r="X79" s="1416" t="s">
        <v>49</v>
      </c>
      <c r="Y79" s="1417" t="s">
        <v>50</v>
      </c>
      <c r="Z79" s="32" t="s">
        <v>400</v>
      </c>
      <c r="AA79" s="1418" t="s">
        <v>384</v>
      </c>
      <c r="AB79" s="1378" t="s">
        <v>453</v>
      </c>
      <c r="AC79" s="1379">
        <f>1065+320+18674.4*J79/80</f>
        <v>6053.6</v>
      </c>
      <c r="AD79" s="1413"/>
      <c r="AE79" s="67" t="s">
        <v>73</v>
      </c>
      <c r="AF79" s="1380" t="s">
        <v>55</v>
      </c>
      <c r="AG79" s="1380" t="s">
        <v>56</v>
      </c>
      <c r="AH79" s="1380" t="s">
        <v>56</v>
      </c>
      <c r="AI79" s="1380" t="s">
        <v>87</v>
      </c>
      <c r="AJ79" s="1380"/>
      <c r="AK79" s="1380"/>
      <c r="AL79" s="39" t="s">
        <v>401</v>
      </c>
      <c r="AM79" s="1413">
        <v>2</v>
      </c>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c r="CD79" s="66"/>
      <c r="CE79" s="66"/>
      <c r="CF79" s="66"/>
      <c r="CG79" s="66"/>
      <c r="CH79" s="66"/>
      <c r="CI79" s="66"/>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6"/>
      <c r="DI79" s="66"/>
      <c r="DJ79" s="66"/>
      <c r="DK79" s="66"/>
      <c r="DL79" s="66"/>
      <c r="DM79" s="66"/>
    </row>
    <row r="80" spans="1:119" s="13" customFormat="1" ht="30" customHeight="1" x14ac:dyDescent="0.25">
      <c r="A80" s="14">
        <v>46108</v>
      </c>
      <c r="B80" s="1345" t="s">
        <v>749</v>
      </c>
      <c r="C80" s="1345" t="s">
        <v>750</v>
      </c>
      <c r="D80" s="1345"/>
      <c r="E80" s="1368" t="s">
        <v>39</v>
      </c>
      <c r="F80" s="1363"/>
      <c r="G80" s="1405">
        <v>1</v>
      </c>
      <c r="H80" s="1363"/>
      <c r="I80" s="44" t="s">
        <v>751</v>
      </c>
      <c r="J80" s="1365">
        <v>50</v>
      </c>
      <c r="K80" s="1346" t="s">
        <v>752</v>
      </c>
      <c r="L80" s="1367" t="s">
        <v>63</v>
      </c>
      <c r="M80" s="1368" t="s">
        <v>42</v>
      </c>
      <c r="N80" s="48" t="s">
        <v>753</v>
      </c>
      <c r="O80" s="1370" t="s">
        <v>754</v>
      </c>
      <c r="P80" s="1370" t="s">
        <v>755</v>
      </c>
      <c r="Q80" s="1370" t="s">
        <v>756</v>
      </c>
      <c r="R80" s="1371">
        <v>41</v>
      </c>
      <c r="S80" s="1371">
        <v>235</v>
      </c>
      <c r="T80" s="1372" t="s">
        <v>47</v>
      </c>
      <c r="U80" s="1372">
        <v>21</v>
      </c>
      <c r="V80" s="1438">
        <f t="shared" si="2"/>
        <v>1050</v>
      </c>
      <c r="W80" s="1372" t="s">
        <v>221</v>
      </c>
      <c r="X80" s="1416" t="s">
        <v>654</v>
      </c>
      <c r="Y80" s="1417" t="s">
        <v>324</v>
      </c>
      <c r="Z80" s="32" t="s">
        <v>51</v>
      </c>
      <c r="AA80" s="1418" t="s">
        <v>757</v>
      </c>
      <c r="AB80" s="1378" t="s">
        <v>758</v>
      </c>
      <c r="AC80" s="1379">
        <v>6145</v>
      </c>
      <c r="AD80" s="1413"/>
      <c r="AE80" s="67" t="s">
        <v>73</v>
      </c>
      <c r="AF80" s="1380" t="s">
        <v>55</v>
      </c>
      <c r="AG80" s="1380" t="s">
        <v>56</v>
      </c>
      <c r="AH80" s="1380" t="s">
        <v>56</v>
      </c>
      <c r="AI80" s="1380"/>
      <c r="AJ80" s="1380"/>
      <c r="AK80" s="1380"/>
      <c r="AL80" s="1419"/>
      <c r="AM80" s="1413">
        <v>1</v>
      </c>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6"/>
      <c r="CD80" s="66"/>
      <c r="CE80" s="66"/>
      <c r="CF80" s="66"/>
      <c r="CG80" s="66"/>
      <c r="CH80" s="66"/>
      <c r="CI80" s="66"/>
      <c r="CJ80" s="66"/>
      <c r="CK80" s="66"/>
      <c r="CL80" s="66"/>
      <c r="CM80" s="66"/>
      <c r="CN80" s="66"/>
      <c r="CO80" s="66"/>
      <c r="CP80" s="66"/>
      <c r="CQ80" s="66"/>
      <c r="CR80" s="66"/>
      <c r="CS80" s="66"/>
      <c r="CT80" s="66"/>
      <c r="CU80" s="66"/>
      <c r="CV80" s="66"/>
      <c r="CW80" s="66"/>
      <c r="CX80" s="66"/>
      <c r="CY80" s="66"/>
      <c r="CZ80" s="66"/>
      <c r="DA80" s="66"/>
      <c r="DB80" s="66"/>
      <c r="DC80" s="66"/>
      <c r="DD80" s="66"/>
      <c r="DE80" s="66"/>
      <c r="DF80" s="66"/>
      <c r="DG80" s="66"/>
      <c r="DH80" s="66"/>
      <c r="DI80" s="66"/>
      <c r="DJ80" s="66"/>
      <c r="DK80" s="66"/>
      <c r="DM80" s="1264"/>
    </row>
    <row r="81" spans="1:117" s="13" customFormat="1" ht="30" customHeight="1" x14ac:dyDescent="0.25">
      <c r="A81" s="14">
        <v>46108</v>
      </c>
      <c r="B81" s="1345" t="s">
        <v>759</v>
      </c>
      <c r="C81" s="1345" t="s">
        <v>615</v>
      </c>
      <c r="D81" s="1345"/>
      <c r="E81" s="1368" t="s">
        <v>39</v>
      </c>
      <c r="F81" s="1363"/>
      <c r="G81" s="1363"/>
      <c r="H81" s="1430">
        <v>1</v>
      </c>
      <c r="I81" s="44" t="s">
        <v>760</v>
      </c>
      <c r="J81" s="1365">
        <v>5</v>
      </c>
      <c r="K81" s="1346" t="s">
        <v>761</v>
      </c>
      <c r="L81" s="1367" t="s">
        <v>63</v>
      </c>
      <c r="M81" s="42" t="s">
        <v>55</v>
      </c>
      <c r="N81" s="48" t="s">
        <v>762</v>
      </c>
      <c r="O81" s="1370" t="s">
        <v>763</v>
      </c>
      <c r="P81" s="1370"/>
      <c r="Q81" s="1370" t="s">
        <v>764</v>
      </c>
      <c r="R81" s="1371">
        <v>151</v>
      </c>
      <c r="S81" s="1371">
        <v>803</v>
      </c>
      <c r="T81" s="1372" t="s">
        <v>141</v>
      </c>
      <c r="U81" s="1372">
        <v>13</v>
      </c>
      <c r="V81" s="1373">
        <f t="shared" si="2"/>
        <v>65</v>
      </c>
      <c r="W81" s="1372" t="s">
        <v>48</v>
      </c>
      <c r="X81" s="1416" t="s">
        <v>765</v>
      </c>
      <c r="Y81" s="1417" t="s">
        <v>50</v>
      </c>
      <c r="Z81" s="32"/>
      <c r="AA81" s="1418" t="s">
        <v>190</v>
      </c>
      <c r="AB81" s="1378" t="s">
        <v>147</v>
      </c>
      <c r="AC81" s="1379">
        <v>13421.25</v>
      </c>
      <c r="AD81" s="1413"/>
      <c r="AE81" s="67" t="s">
        <v>73</v>
      </c>
      <c r="AF81" s="38" t="s">
        <v>42</v>
      </c>
      <c r="AG81" s="38" t="s">
        <v>56</v>
      </c>
      <c r="AH81" s="38" t="s">
        <v>56</v>
      </c>
      <c r="AI81" s="1380"/>
      <c r="AJ81" s="1380"/>
      <c r="AK81" s="1380"/>
      <c r="AL81" s="1419"/>
      <c r="AM81" s="1413">
        <v>1</v>
      </c>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6"/>
      <c r="CD81" s="66"/>
      <c r="CE81" s="66"/>
      <c r="CF81" s="66"/>
      <c r="CG81" s="66"/>
      <c r="CH81" s="66"/>
      <c r="CI81" s="66"/>
      <c r="CJ81" s="66"/>
      <c r="CK81" s="66"/>
      <c r="CL81" s="66"/>
      <c r="CM81" s="66"/>
      <c r="CN81" s="66"/>
      <c r="CO81" s="66"/>
      <c r="CP81" s="66"/>
      <c r="CQ81" s="66"/>
      <c r="CR81" s="66"/>
      <c r="CS81" s="66"/>
      <c r="CT81" s="66"/>
      <c r="CU81" s="66"/>
      <c r="CV81" s="66"/>
      <c r="CW81" s="66"/>
      <c r="CX81" s="66"/>
      <c r="CY81" s="66"/>
      <c r="CZ81" s="66"/>
      <c r="DA81" s="66"/>
      <c r="DB81" s="66"/>
      <c r="DC81" s="66"/>
      <c r="DD81" s="66"/>
      <c r="DE81" s="66"/>
      <c r="DF81" s="66"/>
      <c r="DG81" s="66"/>
      <c r="DH81" s="66"/>
      <c r="DI81" s="66"/>
      <c r="DJ81" s="66"/>
      <c r="DK81" s="66"/>
      <c r="DL81" s="66"/>
      <c r="DM81" s="66"/>
    </row>
    <row r="82" spans="1:117" s="13" customFormat="1" ht="113.25" customHeight="1" x14ac:dyDescent="0.25">
      <c r="A82" s="14">
        <v>46108</v>
      </c>
      <c r="B82" s="1345" t="s">
        <v>766</v>
      </c>
      <c r="C82" s="1345" t="s">
        <v>767</v>
      </c>
      <c r="D82" s="41"/>
      <c r="E82" s="42" t="s">
        <v>39</v>
      </c>
      <c r="F82" s="43"/>
      <c r="G82" s="43"/>
      <c r="H82" s="1430">
        <v>1</v>
      </c>
      <c r="I82" s="72" t="s">
        <v>768</v>
      </c>
      <c r="J82" s="45">
        <v>150</v>
      </c>
      <c r="K82" s="1346" t="s">
        <v>761</v>
      </c>
      <c r="L82" s="1367" t="s">
        <v>63</v>
      </c>
      <c r="M82" s="42" t="s">
        <v>55</v>
      </c>
      <c r="N82" s="77" t="s">
        <v>769</v>
      </c>
      <c r="O82" s="49" t="s">
        <v>770</v>
      </c>
      <c r="P82" s="49" t="s">
        <v>771</v>
      </c>
      <c r="Q82" s="49" t="s">
        <v>772</v>
      </c>
      <c r="R82" s="50">
        <v>78</v>
      </c>
      <c r="S82" s="50">
        <v>268</v>
      </c>
      <c r="T82" s="51" t="s">
        <v>180</v>
      </c>
      <c r="U82" s="51">
        <v>1</v>
      </c>
      <c r="V82" s="52">
        <f t="shared" si="2"/>
        <v>150</v>
      </c>
      <c r="W82" s="51" t="s">
        <v>68</v>
      </c>
      <c r="X82" s="30" t="s">
        <v>773</v>
      </c>
      <c r="Y82" s="64" t="s">
        <v>70</v>
      </c>
      <c r="Z82" s="32"/>
      <c r="AA82" s="33" t="s">
        <v>774</v>
      </c>
      <c r="AB82" s="65" t="s">
        <v>513</v>
      </c>
      <c r="AC82" s="35">
        <v>14896</v>
      </c>
      <c r="AD82" s="66"/>
      <c r="AE82" s="37" t="s">
        <v>85</v>
      </c>
      <c r="AF82" s="38" t="s">
        <v>55</v>
      </c>
      <c r="AG82" s="38" t="s">
        <v>56</v>
      </c>
      <c r="AH82" s="38" t="s">
        <v>56</v>
      </c>
      <c r="AI82" s="38"/>
      <c r="AJ82" s="38"/>
      <c r="AK82" s="38"/>
      <c r="AL82" s="68"/>
      <c r="AM82" s="66">
        <v>1</v>
      </c>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6"/>
      <c r="CG82" s="66"/>
      <c r="CH82" s="66"/>
      <c r="CI82" s="66"/>
      <c r="CJ82" s="66"/>
      <c r="CK82" s="66"/>
      <c r="CL82" s="66"/>
      <c r="CM82" s="66"/>
      <c r="CN82" s="66"/>
      <c r="CO82" s="66"/>
      <c r="CP82" s="66"/>
      <c r="CQ82" s="66"/>
      <c r="CR82" s="66"/>
      <c r="CS82" s="66"/>
      <c r="CT82" s="66"/>
      <c r="CU82" s="66"/>
      <c r="CV82" s="66"/>
      <c r="CW82" s="66"/>
      <c r="CX82" s="66"/>
      <c r="CY82" s="66"/>
      <c r="CZ82" s="66"/>
      <c r="DA82" s="66"/>
      <c r="DB82" s="66"/>
      <c r="DC82" s="66"/>
      <c r="DD82" s="66"/>
      <c r="DE82" s="66"/>
      <c r="DF82" s="66"/>
      <c r="DG82" s="66"/>
      <c r="DH82" s="66"/>
      <c r="DI82" s="66"/>
      <c r="DJ82" s="66"/>
      <c r="DK82" s="66"/>
      <c r="DL82" s="66"/>
      <c r="DM82" s="66"/>
    </row>
    <row r="83" spans="1:117" s="13" customFormat="1" ht="113.25" customHeight="1" x14ac:dyDescent="0.25">
      <c r="A83" s="14">
        <v>46108</v>
      </c>
      <c r="B83" s="1345" t="s">
        <v>775</v>
      </c>
      <c r="C83" s="1345" t="s">
        <v>776</v>
      </c>
      <c r="D83" s="1348" t="s">
        <v>777</v>
      </c>
      <c r="E83" s="1368" t="s">
        <v>39</v>
      </c>
      <c r="F83" s="1430">
        <v>1</v>
      </c>
      <c r="G83" s="1363"/>
      <c r="H83" s="1363"/>
      <c r="I83" s="44" t="s">
        <v>778</v>
      </c>
      <c r="J83" s="1365">
        <v>80</v>
      </c>
      <c r="K83" s="1346" t="s">
        <v>761</v>
      </c>
      <c r="L83" s="1367" t="s">
        <v>63</v>
      </c>
      <c r="M83" s="42" t="s">
        <v>55</v>
      </c>
      <c r="N83" s="48" t="s">
        <v>779</v>
      </c>
      <c r="O83" s="1370"/>
      <c r="P83" s="1370" t="s">
        <v>780</v>
      </c>
      <c r="Q83" s="1370" t="s">
        <v>781</v>
      </c>
      <c r="R83" s="1371">
        <v>14</v>
      </c>
      <c r="S83" s="1371">
        <v>30</v>
      </c>
      <c r="T83" s="1372" t="s">
        <v>96</v>
      </c>
      <c r="U83" s="1372">
        <v>0</v>
      </c>
      <c r="V83" s="1373">
        <f t="shared" si="2"/>
        <v>0</v>
      </c>
      <c r="W83" s="1372" t="s">
        <v>48</v>
      </c>
      <c r="X83" s="1416" t="s">
        <v>49</v>
      </c>
      <c r="Y83" s="1417" t="s">
        <v>50</v>
      </c>
      <c r="Z83" s="32"/>
      <c r="AA83" s="1418" t="s">
        <v>384</v>
      </c>
      <c r="AB83" s="1378" t="s">
        <v>453</v>
      </c>
      <c r="AC83" s="1379">
        <v>4528</v>
      </c>
      <c r="AD83" s="1413"/>
      <c r="AE83" s="67" t="s">
        <v>73</v>
      </c>
      <c r="AF83" s="1380" t="s">
        <v>55</v>
      </c>
      <c r="AG83" s="1380" t="s">
        <v>56</v>
      </c>
      <c r="AH83" s="1380" t="s">
        <v>56</v>
      </c>
      <c r="AI83" s="1380"/>
      <c r="AJ83" s="1380" t="s">
        <v>56</v>
      </c>
      <c r="AK83" s="1380" t="s">
        <v>149</v>
      </c>
      <c r="AL83" s="1419"/>
      <c r="AM83" s="1413">
        <v>36</v>
      </c>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66"/>
      <c r="CO83" s="66"/>
      <c r="CP83" s="66"/>
      <c r="CQ83" s="66"/>
      <c r="CR83" s="66"/>
      <c r="CS83" s="66"/>
      <c r="CT83" s="66"/>
      <c r="CU83" s="66"/>
      <c r="CV83" s="66"/>
      <c r="CW83" s="66"/>
      <c r="CX83" s="66"/>
      <c r="CY83" s="66"/>
      <c r="CZ83" s="66"/>
      <c r="DA83" s="66"/>
      <c r="DB83" s="66"/>
      <c r="DC83" s="66"/>
      <c r="DD83" s="66"/>
      <c r="DE83" s="66"/>
      <c r="DF83" s="66"/>
      <c r="DG83" s="66"/>
      <c r="DH83" s="66"/>
      <c r="DI83" s="66"/>
      <c r="DJ83" s="66"/>
      <c r="DK83" s="66"/>
      <c r="DL83" s="66"/>
      <c r="DM83" s="66"/>
    </row>
    <row r="84" spans="1:117" s="13" customFormat="1" ht="113.25" customHeight="1" x14ac:dyDescent="0.25">
      <c r="A84" s="14">
        <v>46108</v>
      </c>
      <c r="B84" s="1412" t="s">
        <v>782</v>
      </c>
      <c r="C84" s="1412" t="s">
        <v>783</v>
      </c>
      <c r="D84" s="1412"/>
      <c r="E84" s="1427" t="s">
        <v>39</v>
      </c>
      <c r="F84" s="1449"/>
      <c r="G84" s="1449"/>
      <c r="H84" s="1430">
        <v>1</v>
      </c>
      <c r="I84" s="69" t="s">
        <v>784</v>
      </c>
      <c r="J84" s="1450">
        <v>10</v>
      </c>
      <c r="K84" s="1425" t="s">
        <v>785</v>
      </c>
      <c r="L84" s="1453" t="s">
        <v>63</v>
      </c>
      <c r="M84" s="1453" t="s">
        <v>42</v>
      </c>
      <c r="N84" s="1426" t="s">
        <v>786</v>
      </c>
      <c r="O84" s="1452" t="s">
        <v>787</v>
      </c>
      <c r="P84" s="1452" t="s">
        <v>788</v>
      </c>
      <c r="Q84" s="1452" t="s">
        <v>537</v>
      </c>
      <c r="R84" s="1446">
        <v>127</v>
      </c>
      <c r="S84" s="1453">
        <v>1018</v>
      </c>
      <c r="T84" s="1427" t="s">
        <v>180</v>
      </c>
      <c r="U84" s="1427">
        <v>13</v>
      </c>
      <c r="V84" s="1457">
        <f t="shared" si="2"/>
        <v>130</v>
      </c>
      <c r="W84" s="1427" t="s">
        <v>48</v>
      </c>
      <c r="X84" s="1416" t="s">
        <v>789</v>
      </c>
      <c r="Y84" s="1417" t="s">
        <v>144</v>
      </c>
      <c r="Z84" s="32" t="s">
        <v>790</v>
      </c>
      <c r="AA84" s="1418" t="s">
        <v>200</v>
      </c>
      <c r="AB84" s="1378" t="s">
        <v>540</v>
      </c>
      <c r="AC84" s="1379">
        <v>15747.5</v>
      </c>
      <c r="AD84" s="1413"/>
      <c r="AE84" s="67" t="s">
        <v>73</v>
      </c>
      <c r="AF84" s="1380" t="s">
        <v>55</v>
      </c>
      <c r="AG84" s="1380" t="s">
        <v>56</v>
      </c>
      <c r="AH84" s="1380" t="s">
        <v>56</v>
      </c>
      <c r="AI84" s="1380"/>
      <c r="AJ84" s="1380"/>
      <c r="AK84" s="1380"/>
      <c r="AL84" s="1419"/>
      <c r="AM84" s="1413">
        <v>1</v>
      </c>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66"/>
      <c r="CO84" s="66"/>
      <c r="CP84" s="66"/>
      <c r="CQ84" s="66"/>
      <c r="CR84" s="66"/>
      <c r="CS84" s="66"/>
      <c r="CT84" s="66"/>
      <c r="CU84" s="66"/>
      <c r="CV84" s="66"/>
      <c r="CW84" s="66"/>
      <c r="CX84" s="66"/>
      <c r="CY84" s="66"/>
      <c r="CZ84" s="66"/>
      <c r="DA84" s="66"/>
      <c r="DB84" s="66"/>
      <c r="DC84" s="66"/>
      <c r="DD84" s="66"/>
      <c r="DE84" s="66"/>
      <c r="DF84" s="66"/>
      <c r="DG84" s="66"/>
      <c r="DH84" s="66"/>
      <c r="DI84" s="66"/>
      <c r="DJ84" s="66"/>
      <c r="DK84" s="66"/>
      <c r="DL84" s="66"/>
      <c r="DM84" s="66"/>
    </row>
    <row r="85" spans="1:117" s="13" customFormat="1" ht="113.25" customHeight="1" x14ac:dyDescent="0.25">
      <c r="A85" s="14">
        <v>46107</v>
      </c>
      <c r="B85" s="1412" t="s">
        <v>495</v>
      </c>
      <c r="C85" s="1412" t="s">
        <v>269</v>
      </c>
      <c r="D85" s="1412"/>
      <c r="E85" s="1427" t="s">
        <v>39</v>
      </c>
      <c r="F85" s="1430">
        <v>2</v>
      </c>
      <c r="G85" s="1449"/>
      <c r="H85" s="1449"/>
      <c r="I85" s="44" t="s">
        <v>791</v>
      </c>
      <c r="J85" s="1450">
        <v>10</v>
      </c>
      <c r="K85" s="1425" t="s">
        <v>792</v>
      </c>
      <c r="L85" s="1451" t="s">
        <v>63</v>
      </c>
      <c r="M85" s="1451" t="s">
        <v>55</v>
      </c>
      <c r="N85" s="1426" t="s">
        <v>793</v>
      </c>
      <c r="O85" s="1452" t="s">
        <v>169</v>
      </c>
      <c r="P85" s="1452"/>
      <c r="Q85" s="1452" t="s">
        <v>709</v>
      </c>
      <c r="R85" s="1453">
        <v>13</v>
      </c>
      <c r="S85" s="1453">
        <v>14</v>
      </c>
      <c r="T85" s="1427" t="s">
        <v>47</v>
      </c>
      <c r="U85" s="1427">
        <v>1</v>
      </c>
      <c r="V85" s="1457">
        <f t="shared" si="2"/>
        <v>10</v>
      </c>
      <c r="W85" s="1427" t="s">
        <v>48</v>
      </c>
      <c r="X85" s="1416" t="s">
        <v>49</v>
      </c>
      <c r="Y85" s="1417" t="s">
        <v>50</v>
      </c>
      <c r="Z85" s="1393" t="s">
        <v>51</v>
      </c>
      <c r="AA85" s="1418" t="s">
        <v>190</v>
      </c>
      <c r="AB85" s="1378" t="s">
        <v>191</v>
      </c>
      <c r="AC85" s="1379">
        <f>4725+825</f>
        <v>5550</v>
      </c>
      <c r="AD85" s="1413"/>
      <c r="AE85" s="67" t="s">
        <v>73</v>
      </c>
      <c r="AF85" s="1380" t="s">
        <v>55</v>
      </c>
      <c r="AG85" s="1380" t="s">
        <v>56</v>
      </c>
      <c r="AH85" s="1380" t="s">
        <v>56</v>
      </c>
      <c r="AI85" s="1380"/>
      <c r="AJ85" s="1380"/>
      <c r="AK85" s="1380"/>
      <c r="AL85" s="1419"/>
      <c r="AM85" s="1413">
        <v>20</v>
      </c>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6"/>
      <c r="CD85" s="66"/>
      <c r="CE85" s="66"/>
      <c r="CF85" s="66"/>
      <c r="CG85" s="66"/>
      <c r="CH85" s="66"/>
      <c r="CI85" s="66"/>
      <c r="CJ85" s="66"/>
      <c r="CK85" s="66"/>
      <c r="CL85" s="66"/>
      <c r="CM85" s="66"/>
      <c r="CN85" s="66"/>
      <c r="CO85" s="66"/>
      <c r="CP85" s="66"/>
      <c r="CQ85" s="66"/>
      <c r="CR85" s="66"/>
      <c r="CS85" s="66"/>
      <c r="CT85" s="66"/>
      <c r="CU85" s="66"/>
      <c r="CV85" s="66"/>
      <c r="CW85" s="66"/>
      <c r="CX85" s="66"/>
      <c r="CY85" s="66"/>
      <c r="CZ85" s="66"/>
      <c r="DA85" s="66"/>
      <c r="DB85" s="66"/>
      <c r="DC85" s="66"/>
      <c r="DD85" s="66"/>
      <c r="DE85" s="66"/>
      <c r="DF85" s="66"/>
      <c r="DG85" s="66"/>
      <c r="DH85" s="66"/>
      <c r="DI85" s="66"/>
      <c r="DJ85" s="66"/>
      <c r="DK85" s="66"/>
      <c r="DL85" s="66"/>
      <c r="DM85" s="66"/>
    </row>
    <row r="86" spans="1:117" s="13" customFormat="1" ht="113.25" customHeight="1" x14ac:dyDescent="0.25">
      <c r="A86" s="14">
        <v>46107</v>
      </c>
      <c r="B86" s="1345" t="s">
        <v>588</v>
      </c>
      <c r="C86" s="1345" t="s">
        <v>589</v>
      </c>
      <c r="D86" s="1345"/>
      <c r="E86" s="1368" t="s">
        <v>39</v>
      </c>
      <c r="F86" s="1430">
        <v>6</v>
      </c>
      <c r="G86" s="1363"/>
      <c r="H86" s="1363"/>
      <c r="I86" s="44" t="s">
        <v>794</v>
      </c>
      <c r="J86" s="1365">
        <v>55</v>
      </c>
      <c r="K86" s="1346" t="s">
        <v>795</v>
      </c>
      <c r="L86" s="1367" t="s">
        <v>63</v>
      </c>
      <c r="M86" s="1368" t="s">
        <v>42</v>
      </c>
      <c r="N86" s="48" t="s">
        <v>518</v>
      </c>
      <c r="O86" s="1370"/>
      <c r="P86" s="1370"/>
      <c r="Q86" s="1370" t="s">
        <v>568</v>
      </c>
      <c r="R86" s="1371">
        <v>9</v>
      </c>
      <c r="S86" s="1371">
        <v>16</v>
      </c>
      <c r="T86" s="1372" t="s">
        <v>96</v>
      </c>
      <c r="U86" s="1372">
        <v>0</v>
      </c>
      <c r="V86" s="1373">
        <f t="shared" si="2"/>
        <v>0</v>
      </c>
      <c r="W86" s="1372" t="s">
        <v>48</v>
      </c>
      <c r="X86" s="1416" t="s">
        <v>49</v>
      </c>
      <c r="Y86" s="1417" t="s">
        <v>50</v>
      </c>
      <c r="Z86" s="1393" t="s">
        <v>51</v>
      </c>
      <c r="AA86" s="1418" t="s">
        <v>190</v>
      </c>
      <c r="AB86" s="1378" t="s">
        <v>147</v>
      </c>
      <c r="AC86" s="1379">
        <v>3740</v>
      </c>
      <c r="AD86" s="1413"/>
      <c r="AE86" s="67" t="s">
        <v>73</v>
      </c>
      <c r="AF86" s="1380" t="s">
        <v>55</v>
      </c>
      <c r="AG86" s="1380" t="s">
        <v>56</v>
      </c>
      <c r="AH86" s="38" t="s">
        <v>56</v>
      </c>
      <c r="AI86" s="1380"/>
      <c r="AJ86" s="1380" t="s">
        <v>56</v>
      </c>
      <c r="AK86" s="1380" t="s">
        <v>149</v>
      </c>
      <c r="AL86" s="1419"/>
      <c r="AM86" s="1413">
        <v>16</v>
      </c>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6"/>
      <c r="CD86" s="66"/>
      <c r="CE86" s="66"/>
      <c r="CF86" s="66"/>
      <c r="CG86" s="66"/>
      <c r="CH86" s="66"/>
      <c r="CI86" s="66"/>
      <c r="CJ86" s="66"/>
      <c r="CK86" s="66"/>
      <c r="CL86" s="66"/>
      <c r="CM86" s="66"/>
      <c r="CN86" s="66"/>
      <c r="CO86" s="66"/>
      <c r="CP86" s="66"/>
      <c r="CQ86" s="66"/>
      <c r="CR86" s="66"/>
      <c r="CS86" s="66"/>
      <c r="CT86" s="66"/>
      <c r="CU86" s="66"/>
      <c r="CV86" s="66"/>
      <c r="CW86" s="66"/>
      <c r="CX86" s="66"/>
      <c r="CY86" s="66"/>
      <c r="CZ86" s="66"/>
      <c r="DA86" s="66"/>
      <c r="DB86" s="66"/>
      <c r="DC86" s="66"/>
      <c r="DD86" s="66"/>
      <c r="DE86" s="66"/>
      <c r="DF86" s="66"/>
      <c r="DG86" s="66"/>
      <c r="DH86" s="66"/>
      <c r="DI86" s="66"/>
      <c r="DJ86" s="66"/>
      <c r="DK86" s="66"/>
      <c r="DL86" s="66"/>
      <c r="DM86" s="66"/>
    </row>
    <row r="87" spans="1:117" s="13" customFormat="1" ht="113.25" customHeight="1" x14ac:dyDescent="0.25">
      <c r="A87" s="14">
        <v>46107</v>
      </c>
      <c r="B87" s="1345" t="s">
        <v>541</v>
      </c>
      <c r="C87" s="1345" t="s">
        <v>796</v>
      </c>
      <c r="D87" s="1345"/>
      <c r="E87" s="1368" t="s">
        <v>797</v>
      </c>
      <c r="F87" s="1430">
        <v>7</v>
      </c>
      <c r="G87" s="1363"/>
      <c r="H87" s="1363"/>
      <c r="I87" s="44" t="s">
        <v>798</v>
      </c>
      <c r="J87" s="1365">
        <v>75</v>
      </c>
      <c r="K87" s="1346" t="s">
        <v>795</v>
      </c>
      <c r="L87" s="1367" t="s">
        <v>63</v>
      </c>
      <c r="M87" s="42" t="s">
        <v>42</v>
      </c>
      <c r="N87" s="48" t="s">
        <v>799</v>
      </c>
      <c r="O87" s="1370"/>
      <c r="P87" s="1370"/>
      <c r="Q87" s="1370" t="s">
        <v>568</v>
      </c>
      <c r="R87" s="1371">
        <v>23</v>
      </c>
      <c r="S87" s="1371">
        <v>54</v>
      </c>
      <c r="T87" s="1372" t="s">
        <v>47</v>
      </c>
      <c r="U87" s="1372">
        <v>0</v>
      </c>
      <c r="V87" s="1373">
        <f t="shared" si="2"/>
        <v>0</v>
      </c>
      <c r="W87" s="1372" t="s">
        <v>48</v>
      </c>
      <c r="X87" s="1416" t="s">
        <v>49</v>
      </c>
      <c r="Y87" s="1417" t="s">
        <v>50</v>
      </c>
      <c r="Z87" s="32"/>
      <c r="AA87" s="1418" t="s">
        <v>190</v>
      </c>
      <c r="AB87" s="1378" t="s">
        <v>191</v>
      </c>
      <c r="AC87" s="1379">
        <f>3119+850</f>
        <v>3969</v>
      </c>
      <c r="AD87" s="1413"/>
      <c r="AE87" s="67" t="s">
        <v>73</v>
      </c>
      <c r="AF87" s="1380" t="s">
        <v>55</v>
      </c>
      <c r="AG87" s="38" t="s">
        <v>56</v>
      </c>
      <c r="AH87" s="38" t="s">
        <v>56</v>
      </c>
      <c r="AI87" s="1380"/>
      <c r="AJ87" s="1347"/>
      <c r="AK87" s="1347"/>
      <c r="AL87" s="1419"/>
      <c r="AM87" s="1413">
        <v>6</v>
      </c>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c r="CD87" s="66"/>
      <c r="CE87" s="66"/>
      <c r="CF87" s="66"/>
      <c r="CG87" s="66"/>
      <c r="CH87" s="66"/>
      <c r="CI87" s="66"/>
      <c r="CJ87" s="66"/>
      <c r="CK87" s="66"/>
      <c r="CL87" s="66"/>
      <c r="CM87" s="66"/>
      <c r="CN87" s="66"/>
      <c r="CO87" s="66"/>
      <c r="CP87" s="66"/>
      <c r="CQ87" s="66"/>
      <c r="CR87" s="66"/>
      <c r="CS87" s="66"/>
      <c r="CT87" s="66"/>
      <c r="CU87" s="66"/>
      <c r="CV87" s="66"/>
      <c r="CW87" s="66"/>
      <c r="CX87" s="66"/>
      <c r="CY87" s="66"/>
      <c r="CZ87" s="66"/>
      <c r="DA87" s="66"/>
      <c r="DB87" s="66"/>
      <c r="DC87" s="66"/>
      <c r="DD87" s="66"/>
      <c r="DE87" s="66"/>
      <c r="DF87" s="66"/>
      <c r="DG87" s="66"/>
      <c r="DH87" s="66"/>
      <c r="DI87" s="66"/>
      <c r="DJ87" s="66"/>
      <c r="DK87" s="66"/>
      <c r="DL87" s="66"/>
      <c r="DM87" s="66"/>
    </row>
    <row r="88" spans="1:117" s="13" customFormat="1" ht="113.25" customHeight="1" x14ac:dyDescent="0.25">
      <c r="A88" s="14">
        <v>46107</v>
      </c>
      <c r="B88" s="1345" t="s">
        <v>800</v>
      </c>
      <c r="C88" s="1345" t="s">
        <v>801</v>
      </c>
      <c r="D88" s="1458" t="s">
        <v>802</v>
      </c>
      <c r="E88" s="1368" t="s">
        <v>39</v>
      </c>
      <c r="F88" s="1405">
        <v>1</v>
      </c>
      <c r="G88" s="1363"/>
      <c r="H88" s="1363"/>
      <c r="I88" s="44" t="s">
        <v>803</v>
      </c>
      <c r="J88" s="1365">
        <v>310</v>
      </c>
      <c r="K88" s="1346" t="s">
        <v>804</v>
      </c>
      <c r="L88" s="1367" t="s">
        <v>63</v>
      </c>
      <c r="M88" s="42" t="s">
        <v>42</v>
      </c>
      <c r="N88" s="48" t="s">
        <v>805</v>
      </c>
      <c r="O88" s="1370"/>
      <c r="P88" s="1370" t="s">
        <v>806</v>
      </c>
      <c r="Q88" s="1370" t="s">
        <v>807</v>
      </c>
      <c r="R88" s="1371">
        <v>79</v>
      </c>
      <c r="S88" s="1371">
        <v>275</v>
      </c>
      <c r="T88" s="1372" t="s">
        <v>67</v>
      </c>
      <c r="U88" s="1372">
        <v>28</v>
      </c>
      <c r="V88" s="1438">
        <f t="shared" si="2"/>
        <v>8680</v>
      </c>
      <c r="W88" s="1372" t="s">
        <v>221</v>
      </c>
      <c r="X88" s="1416" t="s">
        <v>808</v>
      </c>
      <c r="Y88" s="1375" t="s">
        <v>324</v>
      </c>
      <c r="Z88" s="32" t="s">
        <v>51</v>
      </c>
      <c r="AA88" s="1418" t="s">
        <v>693</v>
      </c>
      <c r="AB88" s="1378" t="s">
        <v>809</v>
      </c>
      <c r="AC88" s="1379">
        <v>27026.5</v>
      </c>
      <c r="AD88" s="1413"/>
      <c r="AE88" s="37" t="s">
        <v>85</v>
      </c>
      <c r="AF88" s="38" t="s">
        <v>55</v>
      </c>
      <c r="AG88" s="1380" t="s">
        <v>56</v>
      </c>
      <c r="AH88" s="1380" t="s">
        <v>56</v>
      </c>
      <c r="AI88" s="1380"/>
      <c r="AJ88" s="1380" t="s">
        <v>56</v>
      </c>
      <c r="AK88" s="1380" t="s">
        <v>74</v>
      </c>
      <c r="AL88" s="1419"/>
      <c r="AM88" s="1413">
        <v>1</v>
      </c>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6"/>
      <c r="BZ88" s="66"/>
      <c r="CA88" s="66"/>
      <c r="CB88" s="66"/>
      <c r="CC88" s="66"/>
      <c r="CD88" s="66"/>
      <c r="CE88" s="66"/>
      <c r="CF88" s="66"/>
      <c r="CG88" s="66"/>
      <c r="CH88" s="66"/>
      <c r="CI88" s="66"/>
      <c r="CJ88" s="66"/>
      <c r="CK88" s="66"/>
      <c r="CL88" s="66"/>
      <c r="CM88" s="66"/>
      <c r="CN88" s="66"/>
      <c r="CO88" s="66"/>
      <c r="CP88" s="66"/>
      <c r="CQ88" s="66"/>
      <c r="CR88" s="66"/>
      <c r="CS88" s="66"/>
      <c r="CT88" s="66"/>
      <c r="CU88" s="66"/>
      <c r="CV88" s="66"/>
      <c r="CW88" s="66"/>
      <c r="CX88" s="66"/>
      <c r="CY88" s="66"/>
      <c r="CZ88" s="66"/>
      <c r="DA88" s="66"/>
      <c r="DB88" s="66"/>
      <c r="DC88" s="66"/>
      <c r="DD88" s="66"/>
      <c r="DE88" s="66"/>
      <c r="DF88" s="66"/>
      <c r="DG88" s="66"/>
      <c r="DH88" s="66"/>
      <c r="DI88" s="66"/>
      <c r="DJ88" s="66"/>
      <c r="DK88" s="66"/>
      <c r="DL88" s="66"/>
      <c r="DM88" s="66"/>
    </row>
    <row r="89" spans="1:117" s="13" customFormat="1" ht="113.25" customHeight="1" x14ac:dyDescent="0.25">
      <c r="A89" s="14">
        <v>46106</v>
      </c>
      <c r="B89" s="1345" t="s">
        <v>541</v>
      </c>
      <c r="C89" s="1345" t="s">
        <v>796</v>
      </c>
      <c r="D89" s="1345"/>
      <c r="E89" s="1368" t="s">
        <v>39</v>
      </c>
      <c r="F89" s="1430">
        <v>4</v>
      </c>
      <c r="G89" s="1363"/>
      <c r="H89" s="1363"/>
      <c r="I89" s="44" t="s">
        <v>810</v>
      </c>
      <c r="J89" s="1365">
        <v>330</v>
      </c>
      <c r="K89" s="1346" t="s">
        <v>795</v>
      </c>
      <c r="L89" s="1367" t="s">
        <v>63</v>
      </c>
      <c r="M89" s="42" t="s">
        <v>42</v>
      </c>
      <c r="N89" s="48" t="s">
        <v>457</v>
      </c>
      <c r="O89" s="1370"/>
      <c r="P89" s="1370"/>
      <c r="Q89" s="1370" t="s">
        <v>568</v>
      </c>
      <c r="R89" s="1371">
        <v>1</v>
      </c>
      <c r="S89" s="1371">
        <v>1</v>
      </c>
      <c r="T89" s="1372" t="s">
        <v>393</v>
      </c>
      <c r="U89" s="1372">
        <v>1</v>
      </c>
      <c r="V89" s="1373">
        <f t="shared" si="2"/>
        <v>330</v>
      </c>
      <c r="W89" s="1372" t="s">
        <v>48</v>
      </c>
      <c r="X89" s="1416" t="s">
        <v>49</v>
      </c>
      <c r="Y89" s="1417" t="s">
        <v>50</v>
      </c>
      <c r="Z89" s="32"/>
      <c r="AA89" s="1418" t="s">
        <v>190</v>
      </c>
      <c r="AB89" s="1378" t="s">
        <v>191</v>
      </c>
      <c r="AC89" s="1379">
        <v>4375.5</v>
      </c>
      <c r="AD89" s="1413"/>
      <c r="AE89" s="67" t="s">
        <v>73</v>
      </c>
      <c r="AF89" s="1380" t="s">
        <v>55</v>
      </c>
      <c r="AG89" s="38" t="s">
        <v>56</v>
      </c>
      <c r="AH89" s="38" t="s">
        <v>56</v>
      </c>
      <c r="AI89" s="1380"/>
      <c r="AJ89" s="1347"/>
      <c r="AK89" s="1347"/>
      <c r="AL89" s="1419"/>
      <c r="AM89" s="1413">
        <v>70</v>
      </c>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c r="BZ89" s="66"/>
      <c r="CA89" s="66"/>
      <c r="CB89" s="66"/>
      <c r="CC89" s="66"/>
      <c r="CD89" s="66"/>
      <c r="CE89" s="66"/>
      <c r="CF89" s="66"/>
      <c r="CG89" s="66"/>
      <c r="CH89" s="66"/>
      <c r="CI89" s="66"/>
      <c r="CJ89" s="66"/>
      <c r="CK89" s="66"/>
      <c r="CL89" s="66"/>
      <c r="CM89" s="66"/>
      <c r="CN89" s="66"/>
      <c r="CO89" s="66"/>
      <c r="CP89" s="66"/>
      <c r="CQ89" s="66"/>
      <c r="CR89" s="66"/>
      <c r="CS89" s="66"/>
      <c r="CT89" s="66"/>
      <c r="CU89" s="66"/>
      <c r="CV89" s="66"/>
      <c r="CW89" s="66"/>
      <c r="CX89" s="66"/>
      <c r="CY89" s="66"/>
      <c r="CZ89" s="66"/>
      <c r="DA89" s="66"/>
      <c r="DB89" s="66"/>
      <c r="DC89" s="66"/>
      <c r="DD89" s="66"/>
      <c r="DE89" s="66"/>
      <c r="DF89" s="66"/>
      <c r="DG89" s="66"/>
      <c r="DH89" s="66"/>
      <c r="DI89" s="66"/>
      <c r="DJ89" s="66"/>
      <c r="DK89" s="66"/>
      <c r="DL89" s="66"/>
      <c r="DM89" s="66"/>
    </row>
    <row r="90" spans="1:117" s="13" customFormat="1" ht="113.25" customHeight="1" x14ac:dyDescent="0.25">
      <c r="A90" s="14">
        <v>46106</v>
      </c>
      <c r="B90" s="1412" t="s">
        <v>811</v>
      </c>
      <c r="C90" s="1412" t="s">
        <v>812</v>
      </c>
      <c r="D90" s="1456" t="s">
        <v>813</v>
      </c>
      <c r="E90" s="1427" t="s">
        <v>39</v>
      </c>
      <c r="F90" s="1430">
        <v>3</v>
      </c>
      <c r="G90" s="1449"/>
      <c r="H90" s="1449"/>
      <c r="I90" s="44" t="s">
        <v>814</v>
      </c>
      <c r="J90" s="1450">
        <v>5</v>
      </c>
      <c r="K90" s="1425" t="s">
        <v>815</v>
      </c>
      <c r="L90" s="1451" t="s">
        <v>63</v>
      </c>
      <c r="M90" s="1451" t="s">
        <v>55</v>
      </c>
      <c r="N90" s="1426" t="s">
        <v>816</v>
      </c>
      <c r="O90" s="1452"/>
      <c r="P90" s="1452"/>
      <c r="Q90" s="1452" t="s">
        <v>568</v>
      </c>
      <c r="R90" s="1453">
        <v>4</v>
      </c>
      <c r="S90" s="1453">
        <v>5</v>
      </c>
      <c r="T90" s="1427" t="s">
        <v>47</v>
      </c>
      <c r="U90" s="1427">
        <v>86</v>
      </c>
      <c r="V90" s="1457">
        <f t="shared" si="2"/>
        <v>430</v>
      </c>
      <c r="W90" s="1427" t="s">
        <v>48</v>
      </c>
      <c r="X90" s="1439" t="s">
        <v>232</v>
      </c>
      <c r="Y90" s="1417" t="s">
        <v>50</v>
      </c>
      <c r="Z90" s="32" t="s">
        <v>817</v>
      </c>
      <c r="AA90" s="1418" t="s">
        <v>512</v>
      </c>
      <c r="AB90" s="1378" t="s">
        <v>513</v>
      </c>
      <c r="AC90" s="1379">
        <v>7895</v>
      </c>
      <c r="AD90" s="1413"/>
      <c r="AE90" s="37" t="s">
        <v>85</v>
      </c>
      <c r="AF90" s="38" t="s">
        <v>42</v>
      </c>
      <c r="AG90" s="38" t="s">
        <v>56</v>
      </c>
      <c r="AH90" s="38" t="s">
        <v>56</v>
      </c>
      <c r="AI90" s="1380"/>
      <c r="AJ90" s="1380" t="s">
        <v>818</v>
      </c>
      <c r="AK90" s="1380" t="s">
        <v>74</v>
      </c>
      <c r="AL90" s="78" t="s">
        <v>819</v>
      </c>
      <c r="AM90" s="1413">
        <v>1</v>
      </c>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X90" s="66"/>
      <c r="BY90" s="66"/>
      <c r="BZ90" s="66"/>
      <c r="CA90" s="66"/>
      <c r="CB90" s="66"/>
      <c r="CC90" s="66"/>
      <c r="CD90" s="66"/>
      <c r="CE90" s="66"/>
      <c r="CF90" s="66"/>
      <c r="CG90" s="66"/>
      <c r="CH90" s="66"/>
      <c r="CI90" s="66"/>
      <c r="CJ90" s="66"/>
      <c r="CK90" s="66"/>
      <c r="CL90" s="66"/>
      <c r="CM90" s="66"/>
      <c r="CN90" s="66"/>
      <c r="CO90" s="66"/>
      <c r="CP90" s="66"/>
      <c r="CQ90" s="66"/>
      <c r="CR90" s="66"/>
      <c r="CS90" s="66"/>
      <c r="CT90" s="66"/>
      <c r="CU90" s="66"/>
      <c r="CV90" s="66"/>
      <c r="CW90" s="66"/>
      <c r="CX90" s="66"/>
      <c r="CY90" s="66"/>
      <c r="CZ90" s="66"/>
      <c r="DA90" s="66"/>
      <c r="DB90" s="66"/>
      <c r="DC90" s="66"/>
      <c r="DD90" s="66"/>
      <c r="DE90" s="66"/>
      <c r="DF90" s="66"/>
      <c r="DG90" s="66"/>
      <c r="DH90" s="66"/>
      <c r="DI90" s="66"/>
      <c r="DJ90" s="66"/>
      <c r="DK90" s="66"/>
      <c r="DL90" s="66"/>
      <c r="DM90" s="66"/>
    </row>
    <row r="91" spans="1:117" s="13" customFormat="1" ht="113.25" customHeight="1" x14ac:dyDescent="0.25">
      <c r="A91" s="14">
        <v>46106</v>
      </c>
      <c r="B91" s="1345" t="s">
        <v>588</v>
      </c>
      <c r="C91" s="1345" t="s">
        <v>589</v>
      </c>
      <c r="D91" s="1345"/>
      <c r="E91" s="1368" t="s">
        <v>39</v>
      </c>
      <c r="F91" s="1363"/>
      <c r="G91" s="1363"/>
      <c r="H91" s="1430">
        <v>1</v>
      </c>
      <c r="I91" s="44" t="s">
        <v>820</v>
      </c>
      <c r="J91" s="1365">
        <v>70</v>
      </c>
      <c r="K91" s="1346" t="s">
        <v>821</v>
      </c>
      <c r="L91" s="1367" t="s">
        <v>63</v>
      </c>
      <c r="M91" s="1368" t="s">
        <v>42</v>
      </c>
      <c r="N91" s="48" t="s">
        <v>240</v>
      </c>
      <c r="O91" s="1370" t="s">
        <v>822</v>
      </c>
      <c r="P91" s="1370"/>
      <c r="Q91" s="1370" t="s">
        <v>568</v>
      </c>
      <c r="R91" s="1371">
        <v>12</v>
      </c>
      <c r="S91" s="1371">
        <v>13</v>
      </c>
      <c r="T91" s="1372" t="s">
        <v>47</v>
      </c>
      <c r="U91" s="1372">
        <v>0</v>
      </c>
      <c r="V91" s="1373">
        <f t="shared" si="2"/>
        <v>0</v>
      </c>
      <c r="W91" s="1372" t="s">
        <v>48</v>
      </c>
      <c r="X91" s="1416" t="s">
        <v>49</v>
      </c>
      <c r="Y91" s="1417" t="s">
        <v>50</v>
      </c>
      <c r="Z91" s="32"/>
      <c r="AA91" s="1418" t="s">
        <v>417</v>
      </c>
      <c r="AB91" s="1378" t="s">
        <v>147</v>
      </c>
      <c r="AC91" s="1379">
        <v>3276</v>
      </c>
      <c r="AD91" s="1413"/>
      <c r="AE91" s="67" t="s">
        <v>73</v>
      </c>
      <c r="AF91" s="1380" t="s">
        <v>55</v>
      </c>
      <c r="AG91" s="1380" t="s">
        <v>56</v>
      </c>
      <c r="AH91" s="1380" t="s">
        <v>56</v>
      </c>
      <c r="AI91" s="1380"/>
      <c r="AJ91" s="1380" t="s">
        <v>56</v>
      </c>
      <c r="AK91" s="1380" t="s">
        <v>149</v>
      </c>
      <c r="AL91" s="1419"/>
      <c r="AM91" s="1413">
        <v>40</v>
      </c>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c r="CY91" s="66"/>
      <c r="CZ91" s="66"/>
      <c r="DA91" s="66"/>
      <c r="DB91" s="66"/>
      <c r="DC91" s="66"/>
      <c r="DD91" s="66"/>
      <c r="DE91" s="66"/>
      <c r="DF91" s="66"/>
      <c r="DG91" s="66"/>
      <c r="DH91" s="66"/>
      <c r="DI91" s="66"/>
      <c r="DJ91" s="66"/>
      <c r="DK91" s="66"/>
      <c r="DL91" s="66"/>
      <c r="DM91" s="66"/>
    </row>
    <row r="92" spans="1:117" s="13" customFormat="1" ht="113.25" customHeight="1" x14ac:dyDescent="0.25">
      <c r="A92" s="14">
        <v>46106</v>
      </c>
      <c r="B92" s="1345" t="s">
        <v>823</v>
      </c>
      <c r="C92" s="1345" t="s">
        <v>437</v>
      </c>
      <c r="D92" s="1345"/>
      <c r="E92" s="1368" t="s">
        <v>39</v>
      </c>
      <c r="F92" s="1363"/>
      <c r="G92" s="1363"/>
      <c r="H92" s="1430">
        <v>2</v>
      </c>
      <c r="I92" s="44" t="s">
        <v>824</v>
      </c>
      <c r="J92" s="1365">
        <v>90</v>
      </c>
      <c r="K92" s="1346" t="s">
        <v>821</v>
      </c>
      <c r="L92" s="1367" t="s">
        <v>63</v>
      </c>
      <c r="M92" s="1368" t="s">
        <v>42</v>
      </c>
      <c r="N92" s="48" t="s">
        <v>240</v>
      </c>
      <c r="O92" s="1370"/>
      <c r="P92" s="1370"/>
      <c r="Q92" s="1370" t="s">
        <v>568</v>
      </c>
      <c r="R92" s="1371">
        <v>7</v>
      </c>
      <c r="S92" s="1371">
        <v>27</v>
      </c>
      <c r="T92" s="1372" t="s">
        <v>393</v>
      </c>
      <c r="U92" s="1372">
        <v>0</v>
      </c>
      <c r="V92" s="1373">
        <f t="shared" si="2"/>
        <v>0</v>
      </c>
      <c r="W92" s="1372" t="s">
        <v>48</v>
      </c>
      <c r="X92" s="1416" t="s">
        <v>49</v>
      </c>
      <c r="Y92" s="1417" t="s">
        <v>50</v>
      </c>
      <c r="Z92" s="32"/>
      <c r="AA92" s="1418" t="s">
        <v>427</v>
      </c>
      <c r="AB92" s="1378" t="s">
        <v>710</v>
      </c>
      <c r="AC92" s="1379">
        <v>4980.5</v>
      </c>
      <c r="AD92" s="1413"/>
      <c r="AE92" s="67" t="s">
        <v>73</v>
      </c>
      <c r="AF92" s="38" t="s">
        <v>55</v>
      </c>
      <c r="AG92" s="38" t="s">
        <v>56</v>
      </c>
      <c r="AH92" s="38" t="s">
        <v>56</v>
      </c>
      <c r="AI92" s="1380"/>
      <c r="AJ92" s="1380" t="s">
        <v>56</v>
      </c>
      <c r="AK92" s="1380" t="s">
        <v>149</v>
      </c>
      <c r="AL92" s="1419"/>
      <c r="AM92" s="1413">
        <v>10</v>
      </c>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66"/>
      <c r="CY92" s="66"/>
      <c r="CZ92" s="66"/>
      <c r="DA92" s="66"/>
      <c r="DB92" s="66"/>
      <c r="DC92" s="66"/>
      <c r="DD92" s="66"/>
      <c r="DE92" s="66"/>
      <c r="DF92" s="66"/>
      <c r="DG92" s="66"/>
      <c r="DH92" s="66"/>
      <c r="DI92" s="66"/>
      <c r="DJ92" s="66"/>
      <c r="DK92" s="66"/>
      <c r="DL92" s="66"/>
      <c r="DM92" s="66"/>
    </row>
    <row r="93" spans="1:117" s="13" customFormat="1" ht="113.25" customHeight="1" x14ac:dyDescent="0.25">
      <c r="A93" s="14">
        <v>46106</v>
      </c>
      <c r="B93" s="1345" t="s">
        <v>541</v>
      </c>
      <c r="C93" s="1345" t="s">
        <v>796</v>
      </c>
      <c r="D93" s="1345"/>
      <c r="E93" s="1368" t="s">
        <v>39</v>
      </c>
      <c r="F93" s="1430">
        <v>5</v>
      </c>
      <c r="G93" s="1363"/>
      <c r="H93" s="1363"/>
      <c r="I93" s="44" t="s">
        <v>825</v>
      </c>
      <c r="J93" s="1365">
        <v>80</v>
      </c>
      <c r="K93" s="1346" t="s">
        <v>795</v>
      </c>
      <c r="L93" s="1367" t="s">
        <v>63</v>
      </c>
      <c r="M93" s="42" t="s">
        <v>42</v>
      </c>
      <c r="N93" s="48" t="s">
        <v>826</v>
      </c>
      <c r="O93" s="1370"/>
      <c r="P93" s="1370"/>
      <c r="Q93" s="1370" t="s">
        <v>568</v>
      </c>
      <c r="R93" s="1371">
        <v>2</v>
      </c>
      <c r="S93" s="1371">
        <v>3</v>
      </c>
      <c r="T93" s="1372" t="s">
        <v>47</v>
      </c>
      <c r="U93" s="1372">
        <v>0</v>
      </c>
      <c r="V93" s="1373">
        <f t="shared" si="2"/>
        <v>0</v>
      </c>
      <c r="W93" s="1372" t="s">
        <v>48</v>
      </c>
      <c r="X93" s="1416" t="s">
        <v>49</v>
      </c>
      <c r="Y93" s="1417" t="s">
        <v>50</v>
      </c>
      <c r="Z93" s="32"/>
      <c r="AA93" s="1418" t="s">
        <v>190</v>
      </c>
      <c r="AB93" s="1378" t="s">
        <v>191</v>
      </c>
      <c r="AC93" s="1379">
        <v>3044</v>
      </c>
      <c r="AD93" s="1413"/>
      <c r="AE93" s="67" t="s">
        <v>73</v>
      </c>
      <c r="AF93" s="1380" t="s">
        <v>55</v>
      </c>
      <c r="AG93" s="38" t="s">
        <v>56</v>
      </c>
      <c r="AH93" s="38" t="s">
        <v>56</v>
      </c>
      <c r="AI93" s="1380"/>
      <c r="AJ93" s="1380"/>
      <c r="AK93" s="1380"/>
      <c r="AL93" s="1419"/>
      <c r="AM93" s="1413">
        <v>20</v>
      </c>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s="66"/>
      <c r="CT93" s="66"/>
      <c r="CU93" s="66"/>
      <c r="CV93" s="66"/>
      <c r="CW93" s="66"/>
      <c r="CX93" s="66"/>
      <c r="CY93" s="66"/>
      <c r="CZ93" s="66"/>
      <c r="DA93" s="66"/>
      <c r="DB93" s="66"/>
      <c r="DC93" s="66"/>
      <c r="DD93" s="66"/>
      <c r="DE93" s="66"/>
      <c r="DF93" s="66"/>
      <c r="DG93" s="66"/>
      <c r="DH93" s="66"/>
      <c r="DI93" s="66"/>
      <c r="DJ93" s="66"/>
      <c r="DK93" s="66"/>
      <c r="DL93" s="66"/>
      <c r="DM93" s="66"/>
    </row>
    <row r="94" spans="1:117" s="13" customFormat="1" ht="113.25" customHeight="1" x14ac:dyDescent="0.25">
      <c r="A94" s="14">
        <v>46106</v>
      </c>
      <c r="B94" s="1348" t="s">
        <v>827</v>
      </c>
      <c r="C94" s="1348" t="s">
        <v>828</v>
      </c>
      <c r="D94" s="1345"/>
      <c r="E94" s="1368" t="s">
        <v>39</v>
      </c>
      <c r="F94" s="1363"/>
      <c r="G94" s="1363"/>
      <c r="H94" s="1405">
        <v>1</v>
      </c>
      <c r="I94" s="44" t="s">
        <v>829</v>
      </c>
      <c r="J94" s="1365">
        <v>43</v>
      </c>
      <c r="K94" s="1346" t="s">
        <v>830</v>
      </c>
      <c r="L94" s="1367" t="s">
        <v>63</v>
      </c>
      <c r="M94" s="42" t="s">
        <v>42</v>
      </c>
      <c r="N94" s="48" t="s">
        <v>831</v>
      </c>
      <c r="O94" s="1370"/>
      <c r="P94" s="1370" t="s">
        <v>679</v>
      </c>
      <c r="Q94" s="1370" t="s">
        <v>580</v>
      </c>
      <c r="R94" s="1446">
        <v>147</v>
      </c>
      <c r="S94" s="1371">
        <v>767</v>
      </c>
      <c r="T94" s="1372" t="s">
        <v>582</v>
      </c>
      <c r="U94" s="1372">
        <v>26</v>
      </c>
      <c r="V94" s="1438">
        <f t="shared" si="2"/>
        <v>1118</v>
      </c>
      <c r="W94" s="1372" t="s">
        <v>142</v>
      </c>
      <c r="X94" s="1416" t="s">
        <v>832</v>
      </c>
      <c r="Y94" s="1417" t="s">
        <v>324</v>
      </c>
      <c r="Z94" s="32"/>
      <c r="AA94" s="1418" t="s">
        <v>612</v>
      </c>
      <c r="AB94" s="1378" t="s">
        <v>833</v>
      </c>
      <c r="AC94" s="1379">
        <v>13711.11</v>
      </c>
      <c r="AD94" s="1413"/>
      <c r="AE94" s="67" t="s">
        <v>834</v>
      </c>
      <c r="AF94" s="38" t="s">
        <v>55</v>
      </c>
      <c r="AG94" s="1380" t="s">
        <v>56</v>
      </c>
      <c r="AH94" s="1380" t="s">
        <v>56</v>
      </c>
      <c r="AI94" s="1380"/>
      <c r="AJ94" s="1380"/>
      <c r="AK94" s="1380"/>
      <c r="AL94" s="1419"/>
      <c r="AM94" s="1413">
        <v>1</v>
      </c>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c r="CY94" s="66"/>
      <c r="CZ94" s="66"/>
      <c r="DA94" s="66"/>
      <c r="DB94" s="66"/>
      <c r="DC94" s="66"/>
      <c r="DD94" s="66"/>
      <c r="DE94" s="66"/>
      <c r="DF94" s="66"/>
      <c r="DG94" s="66"/>
      <c r="DH94" s="66"/>
      <c r="DI94" s="66"/>
      <c r="DJ94" s="66"/>
      <c r="DK94" s="66"/>
      <c r="DL94" s="66"/>
      <c r="DM94" s="66"/>
    </row>
    <row r="95" spans="1:117" s="13" customFormat="1" ht="113.25" customHeight="1" x14ac:dyDescent="0.25">
      <c r="A95" s="14">
        <v>46105</v>
      </c>
      <c r="B95" s="1345" t="s">
        <v>627</v>
      </c>
      <c r="C95" s="1345" t="s">
        <v>835</v>
      </c>
      <c r="D95" s="1345" t="s">
        <v>836</v>
      </c>
      <c r="E95" s="1368" t="s">
        <v>39</v>
      </c>
      <c r="F95" s="1430">
        <v>2</v>
      </c>
      <c r="G95" s="1363"/>
      <c r="H95" s="1363"/>
      <c r="I95" s="44" t="s">
        <v>837</v>
      </c>
      <c r="J95" s="1365">
        <v>53</v>
      </c>
      <c r="K95" s="1346" t="s">
        <v>838</v>
      </c>
      <c r="L95" s="1367" t="s">
        <v>63</v>
      </c>
      <c r="M95" s="1368" t="s">
        <v>42</v>
      </c>
      <c r="N95" s="48" t="s">
        <v>839</v>
      </c>
      <c r="O95" s="1370"/>
      <c r="P95" s="1370" t="s">
        <v>653</v>
      </c>
      <c r="Q95" s="1370" t="s">
        <v>566</v>
      </c>
      <c r="R95" s="1371">
        <v>16</v>
      </c>
      <c r="S95" s="1371">
        <v>33</v>
      </c>
      <c r="T95" s="1372" t="s">
        <v>96</v>
      </c>
      <c r="U95" s="1372">
        <v>0</v>
      </c>
      <c r="V95" s="1373">
        <f t="shared" si="2"/>
        <v>0</v>
      </c>
      <c r="W95" s="1372" t="s">
        <v>48</v>
      </c>
      <c r="X95" s="1416" t="s">
        <v>840</v>
      </c>
      <c r="Y95" s="1375" t="s">
        <v>50</v>
      </c>
      <c r="Z95" s="1454" t="s">
        <v>51</v>
      </c>
      <c r="AA95" s="1418" t="s">
        <v>275</v>
      </c>
      <c r="AB95" s="1378" t="s">
        <v>453</v>
      </c>
      <c r="AC95" s="1379">
        <f>3616.8*J95/80</f>
        <v>2396.13</v>
      </c>
      <c r="AD95" s="1413"/>
      <c r="AE95" s="67" t="s">
        <v>73</v>
      </c>
      <c r="AF95" s="1380" t="s">
        <v>55</v>
      </c>
      <c r="AG95" s="1380" t="s">
        <v>56</v>
      </c>
      <c r="AH95" s="1380" t="s">
        <v>56</v>
      </c>
      <c r="AI95" s="1380"/>
      <c r="AJ95" s="1380" t="s">
        <v>56</v>
      </c>
      <c r="AK95" s="1380" t="s">
        <v>149</v>
      </c>
      <c r="AL95" s="1419"/>
      <c r="AM95" s="1413">
        <v>15</v>
      </c>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c r="CY95" s="66"/>
      <c r="CZ95" s="66"/>
      <c r="DA95" s="66"/>
      <c r="DB95" s="66"/>
      <c r="DC95" s="66"/>
      <c r="DD95" s="66"/>
      <c r="DE95" s="66"/>
      <c r="DF95" s="66"/>
      <c r="DG95" s="66"/>
      <c r="DH95" s="66"/>
      <c r="DI95" s="66"/>
      <c r="DJ95" s="66"/>
      <c r="DK95" s="66"/>
    </row>
    <row r="96" spans="1:117" s="13" customFormat="1" ht="113.25" customHeight="1" x14ac:dyDescent="0.25">
      <c r="A96" s="14">
        <v>46104</v>
      </c>
      <c r="B96" s="1345" t="s">
        <v>841</v>
      </c>
      <c r="C96" s="1345" t="s">
        <v>842</v>
      </c>
      <c r="D96" s="1345" t="s">
        <v>669</v>
      </c>
      <c r="E96" s="1368" t="s">
        <v>39</v>
      </c>
      <c r="F96" s="1430">
        <v>2</v>
      </c>
      <c r="G96" s="1363"/>
      <c r="H96" s="1363"/>
      <c r="I96" s="44" t="s">
        <v>843</v>
      </c>
      <c r="J96" s="1365">
        <v>330</v>
      </c>
      <c r="K96" s="1346" t="s">
        <v>844</v>
      </c>
      <c r="L96" s="1367" t="s">
        <v>63</v>
      </c>
      <c r="M96" s="1368" t="s">
        <v>55</v>
      </c>
      <c r="N96" s="48" t="s">
        <v>240</v>
      </c>
      <c r="O96" s="1370" t="s">
        <v>681</v>
      </c>
      <c r="P96" s="1370"/>
      <c r="Q96" s="1370" t="s">
        <v>845</v>
      </c>
      <c r="R96" s="1371">
        <v>1</v>
      </c>
      <c r="S96" s="1371">
        <v>1</v>
      </c>
      <c r="T96" s="1372" t="s">
        <v>393</v>
      </c>
      <c r="U96" s="1372">
        <v>1</v>
      </c>
      <c r="V96" s="1373">
        <f t="shared" si="2"/>
        <v>330</v>
      </c>
      <c r="W96" s="1372" t="s">
        <v>48</v>
      </c>
      <c r="X96" s="1416" t="s">
        <v>49</v>
      </c>
      <c r="Y96" s="1375" t="s">
        <v>50</v>
      </c>
      <c r="Z96" s="1393"/>
      <c r="AA96" s="1418" t="s">
        <v>427</v>
      </c>
      <c r="AB96" s="1378" t="s">
        <v>521</v>
      </c>
      <c r="AC96" s="1379">
        <v>4055.5</v>
      </c>
      <c r="AD96" s="1413"/>
      <c r="AE96" s="67" t="s">
        <v>846</v>
      </c>
      <c r="AF96" s="1380" t="s">
        <v>55</v>
      </c>
      <c r="AG96" s="1380" t="s">
        <v>56</v>
      </c>
      <c r="AH96" s="1380" t="s">
        <v>56</v>
      </c>
      <c r="AI96" s="1380"/>
      <c r="AJ96" s="1380" t="s">
        <v>56</v>
      </c>
      <c r="AK96" s="1380" t="s">
        <v>74</v>
      </c>
      <c r="AL96" s="1419"/>
      <c r="AM96" s="1413">
        <v>100</v>
      </c>
      <c r="AN96" s="1264"/>
      <c r="AO96" s="1264"/>
      <c r="AP96" s="1264"/>
      <c r="AQ96" s="1264"/>
      <c r="AR96" s="1264"/>
      <c r="AS96" s="1264"/>
      <c r="AT96" s="1264"/>
      <c r="AU96" s="1264"/>
      <c r="AV96" s="1264"/>
      <c r="AW96" s="1264"/>
      <c r="AX96" s="1264"/>
      <c r="AY96" s="1264"/>
      <c r="AZ96" s="1264"/>
      <c r="BA96" s="1264"/>
      <c r="BB96" s="1264"/>
      <c r="BC96" s="1264"/>
      <c r="BD96" s="1264"/>
      <c r="BE96" s="1264"/>
      <c r="BF96" s="1264"/>
      <c r="BG96" s="1264"/>
      <c r="BH96" s="1264"/>
      <c r="BI96" s="1264"/>
      <c r="BJ96" s="1264"/>
      <c r="BK96" s="1264"/>
      <c r="BL96" s="1264"/>
      <c r="BM96" s="1264"/>
      <c r="BN96" s="1264"/>
      <c r="BO96" s="1264"/>
      <c r="BP96" s="1264"/>
      <c r="BQ96" s="1264"/>
      <c r="BR96" s="1264"/>
      <c r="BS96" s="1264"/>
      <c r="BT96" s="1264"/>
      <c r="BU96" s="1264"/>
      <c r="BV96" s="1264"/>
      <c r="BW96" s="1264"/>
      <c r="BX96" s="1264"/>
      <c r="BY96" s="1264"/>
      <c r="BZ96" s="1264"/>
      <c r="CA96" s="1264"/>
      <c r="CB96" s="1264"/>
      <c r="CC96" s="1264"/>
      <c r="CD96" s="1264"/>
      <c r="CE96" s="1264"/>
      <c r="CF96" s="1264"/>
      <c r="CG96" s="1264"/>
      <c r="CH96" s="1264"/>
      <c r="CI96" s="1264"/>
      <c r="CJ96" s="1264"/>
      <c r="CK96" s="1264"/>
      <c r="CL96" s="1264"/>
      <c r="CM96" s="1264"/>
      <c r="CN96" s="1264"/>
      <c r="CO96" s="1264"/>
      <c r="CP96" s="1264"/>
      <c r="CQ96" s="1264"/>
      <c r="CR96" s="1264"/>
      <c r="CS96" s="1264"/>
      <c r="CT96" s="1264"/>
      <c r="CU96" s="1264"/>
      <c r="CV96" s="1264"/>
      <c r="CW96" s="1264"/>
      <c r="CX96" s="1264"/>
      <c r="CY96" s="1264"/>
      <c r="CZ96" s="1264"/>
      <c r="DA96" s="1264"/>
      <c r="DB96" s="1264"/>
      <c r="DC96" s="1264"/>
      <c r="DD96" s="1264"/>
      <c r="DE96" s="1264"/>
      <c r="DF96" s="1264"/>
      <c r="DG96" s="1264"/>
      <c r="DH96" s="1264"/>
      <c r="DI96" s="1264"/>
      <c r="DJ96" s="1264"/>
      <c r="DK96" s="1264"/>
    </row>
    <row r="97" spans="1:115" s="13" customFormat="1" ht="113.25" customHeight="1" x14ac:dyDescent="0.25">
      <c r="A97" s="14">
        <v>46104</v>
      </c>
      <c r="B97" s="1345" t="s">
        <v>847</v>
      </c>
      <c r="C97" s="1345" t="s">
        <v>848</v>
      </c>
      <c r="D97" s="1345"/>
      <c r="E97" s="1368" t="s">
        <v>39</v>
      </c>
      <c r="F97" s="1363"/>
      <c r="G97" s="1363"/>
      <c r="H97" s="1405">
        <v>2</v>
      </c>
      <c r="I97" s="44" t="s">
        <v>849</v>
      </c>
      <c r="J97" s="1365">
        <v>267</v>
      </c>
      <c r="K97" s="1346" t="s">
        <v>850</v>
      </c>
      <c r="L97" s="1367" t="s">
        <v>63</v>
      </c>
      <c r="M97" s="1368" t="s">
        <v>55</v>
      </c>
      <c r="N97" s="48" t="s">
        <v>851</v>
      </c>
      <c r="O97" s="1370" t="s">
        <v>852</v>
      </c>
      <c r="P97" s="1370" t="s">
        <v>853</v>
      </c>
      <c r="Q97" s="1370" t="s">
        <v>464</v>
      </c>
      <c r="R97" s="1371">
        <v>15</v>
      </c>
      <c r="S97" s="1371">
        <v>27</v>
      </c>
      <c r="T97" s="1372" t="s">
        <v>47</v>
      </c>
      <c r="U97" s="1372">
        <v>3</v>
      </c>
      <c r="V97" s="1438">
        <f t="shared" si="2"/>
        <v>801</v>
      </c>
      <c r="W97" s="1372" t="s">
        <v>48</v>
      </c>
      <c r="X97" s="1416" t="s">
        <v>232</v>
      </c>
      <c r="Y97" s="1417" t="s">
        <v>50</v>
      </c>
      <c r="Z97" s="32" t="s">
        <v>51</v>
      </c>
      <c r="AA97" s="1418" t="s">
        <v>71</v>
      </c>
      <c r="AB97" s="1378" t="s">
        <v>854</v>
      </c>
      <c r="AC97" s="1379">
        <v>3113.84</v>
      </c>
      <c r="AD97" s="1413"/>
      <c r="AE97" s="37" t="s">
        <v>85</v>
      </c>
      <c r="AF97" s="38" t="s">
        <v>42</v>
      </c>
      <c r="AG97" s="38" t="s">
        <v>56</v>
      </c>
      <c r="AH97" s="38" t="s">
        <v>56</v>
      </c>
      <c r="AI97" s="1380"/>
      <c r="AJ97" s="1380" t="s">
        <v>56</v>
      </c>
      <c r="AK97" s="1380" t="s">
        <v>855</v>
      </c>
      <c r="AL97" s="1419"/>
      <c r="AM97" s="1413">
        <v>6</v>
      </c>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c r="CY97" s="66"/>
      <c r="CZ97" s="66"/>
      <c r="DA97" s="66"/>
      <c r="DB97" s="66"/>
      <c r="DC97" s="66"/>
      <c r="DD97" s="66"/>
      <c r="DE97" s="66"/>
      <c r="DF97" s="66"/>
      <c r="DG97" s="66"/>
      <c r="DH97" s="66"/>
      <c r="DI97" s="66"/>
      <c r="DJ97" s="66"/>
      <c r="DK97" s="66"/>
    </row>
    <row r="98" spans="1:115" s="13" customFormat="1" ht="113.25" customHeight="1" x14ac:dyDescent="0.25">
      <c r="A98" s="14">
        <v>46101</v>
      </c>
      <c r="B98" s="1345" t="s">
        <v>856</v>
      </c>
      <c r="C98" s="1345" t="s">
        <v>857</v>
      </c>
      <c r="D98" s="1345"/>
      <c r="E98" s="1368" t="s">
        <v>39</v>
      </c>
      <c r="F98" s="1363"/>
      <c r="G98" s="1363"/>
      <c r="H98" s="1405">
        <v>2</v>
      </c>
      <c r="I98" s="44" t="s">
        <v>858</v>
      </c>
      <c r="J98" s="1365">
        <v>310</v>
      </c>
      <c r="K98" s="1346" t="s">
        <v>859</v>
      </c>
      <c r="L98" s="1367" t="s">
        <v>63</v>
      </c>
      <c r="M98" s="42" t="s">
        <v>42</v>
      </c>
      <c r="N98" s="48" t="s">
        <v>860</v>
      </c>
      <c r="O98" s="1370"/>
      <c r="P98" s="1370" t="s">
        <v>861</v>
      </c>
      <c r="Q98" s="1370" t="s">
        <v>862</v>
      </c>
      <c r="R98" s="1371">
        <v>12</v>
      </c>
      <c r="S98" s="1371">
        <v>28</v>
      </c>
      <c r="T98" s="1372" t="s">
        <v>96</v>
      </c>
      <c r="U98" s="1372">
        <v>2</v>
      </c>
      <c r="V98" s="1438">
        <f t="shared" ref="V98:V129" si="3">U98*J98</f>
        <v>620</v>
      </c>
      <c r="W98" s="1372" t="s">
        <v>221</v>
      </c>
      <c r="X98" s="1416" t="s">
        <v>808</v>
      </c>
      <c r="Y98" s="1417" t="s">
        <v>324</v>
      </c>
      <c r="Z98" s="32" t="s">
        <v>51</v>
      </c>
      <c r="AA98" s="1418" t="s">
        <v>693</v>
      </c>
      <c r="AB98" s="1378" t="s">
        <v>863</v>
      </c>
      <c r="AC98" s="1379">
        <v>3369.7</v>
      </c>
      <c r="AD98" s="1413"/>
      <c r="AE98" s="37" t="s">
        <v>85</v>
      </c>
      <c r="AF98" s="38" t="s">
        <v>55</v>
      </c>
      <c r="AG98" s="1380" t="s">
        <v>56</v>
      </c>
      <c r="AH98" s="1380" t="s">
        <v>86</v>
      </c>
      <c r="AI98" s="1380"/>
      <c r="AJ98" s="1380" t="s">
        <v>56</v>
      </c>
      <c r="AK98" s="1380" t="s">
        <v>74</v>
      </c>
      <c r="AL98" s="1419"/>
      <c r="AM98" s="1413">
        <v>2</v>
      </c>
      <c r="AN98" s="1413"/>
      <c r="AO98" s="1413"/>
      <c r="AP98" s="1413"/>
      <c r="AQ98" s="1413"/>
      <c r="AR98" s="1413"/>
      <c r="AS98" s="1413"/>
      <c r="AT98" s="1413"/>
      <c r="AU98" s="1413"/>
      <c r="AV98" s="1413"/>
      <c r="AW98" s="1413"/>
      <c r="AX98" s="1413"/>
      <c r="AY98" s="1413"/>
      <c r="AZ98" s="1413"/>
      <c r="BA98" s="1413"/>
      <c r="BB98" s="1413"/>
      <c r="BC98" s="1413"/>
      <c r="BD98" s="1413"/>
      <c r="BE98" s="1413"/>
      <c r="BF98" s="1413"/>
      <c r="BG98" s="1413"/>
      <c r="BH98" s="1413"/>
      <c r="BI98" s="1413"/>
      <c r="BJ98" s="1413"/>
      <c r="BK98" s="1413"/>
      <c r="BL98" s="1413"/>
      <c r="BM98" s="1413"/>
      <c r="BN98" s="1413"/>
      <c r="BO98" s="1413"/>
      <c r="BP98" s="1413"/>
      <c r="BQ98" s="1413"/>
      <c r="BR98" s="1413"/>
      <c r="BS98" s="1413"/>
      <c r="BT98" s="1413"/>
      <c r="BU98" s="1413"/>
      <c r="BV98" s="1413"/>
      <c r="BW98" s="1413"/>
      <c r="BX98" s="1413"/>
      <c r="BY98" s="1413"/>
      <c r="BZ98" s="1413"/>
      <c r="CA98" s="1413"/>
      <c r="CB98" s="1413"/>
      <c r="CC98" s="1413"/>
      <c r="CD98" s="1413"/>
      <c r="CE98" s="1413"/>
      <c r="CF98" s="1413"/>
      <c r="CG98" s="1413"/>
      <c r="CH98" s="1413"/>
      <c r="CI98" s="1413"/>
      <c r="CJ98" s="1413"/>
      <c r="CK98" s="1413"/>
      <c r="CL98" s="1413"/>
      <c r="CM98" s="1413"/>
      <c r="CN98" s="1413"/>
      <c r="CO98" s="1413"/>
      <c r="CP98" s="1413"/>
      <c r="CQ98" s="1413"/>
      <c r="CR98" s="1413"/>
      <c r="CS98" s="1413"/>
      <c r="CT98" s="1413"/>
      <c r="CU98" s="1413"/>
      <c r="CV98" s="1413"/>
      <c r="CW98" s="1413"/>
      <c r="CX98" s="1413"/>
      <c r="CY98" s="1413"/>
      <c r="CZ98" s="1413"/>
      <c r="DA98" s="1413"/>
      <c r="DB98" s="1413"/>
      <c r="DC98" s="1413"/>
      <c r="DD98" s="1413"/>
      <c r="DE98" s="66"/>
      <c r="DF98" s="66"/>
      <c r="DG98" s="66"/>
      <c r="DH98" s="66"/>
      <c r="DI98" s="66"/>
    </row>
    <row r="99" spans="1:115" s="13" customFormat="1" ht="77.25" customHeight="1" x14ac:dyDescent="0.25">
      <c r="A99" s="14">
        <v>46100</v>
      </c>
      <c r="B99" s="1345" t="s">
        <v>864</v>
      </c>
      <c r="C99" s="1345" t="s">
        <v>865</v>
      </c>
      <c r="D99" s="1345"/>
      <c r="E99" s="1368" t="s">
        <v>39</v>
      </c>
      <c r="F99" s="1405">
        <v>1</v>
      </c>
      <c r="G99" s="1363"/>
      <c r="H99" s="1363"/>
      <c r="I99" s="69" t="s">
        <v>866</v>
      </c>
      <c r="J99" s="1365">
        <v>185</v>
      </c>
      <c r="K99" s="1346" t="s">
        <v>867</v>
      </c>
      <c r="L99" s="1367" t="s">
        <v>63</v>
      </c>
      <c r="M99" s="73" t="s">
        <v>42</v>
      </c>
      <c r="N99" s="48" t="s">
        <v>868</v>
      </c>
      <c r="O99" s="1370" t="s">
        <v>869</v>
      </c>
      <c r="P99" s="1370" t="s">
        <v>870</v>
      </c>
      <c r="Q99" s="1370" t="s">
        <v>871</v>
      </c>
      <c r="R99" s="1371">
        <v>35</v>
      </c>
      <c r="S99" s="1371">
        <v>64</v>
      </c>
      <c r="T99" s="1372" t="s">
        <v>47</v>
      </c>
      <c r="U99" s="1372">
        <v>2</v>
      </c>
      <c r="V99" s="1373">
        <f t="shared" si="3"/>
        <v>370</v>
      </c>
      <c r="W99" s="1372" t="s">
        <v>68</v>
      </c>
      <c r="X99" s="1416" t="s">
        <v>69</v>
      </c>
      <c r="Y99" s="1417" t="s">
        <v>70</v>
      </c>
      <c r="Z99" s="32" t="s">
        <v>51</v>
      </c>
      <c r="AA99" s="1418" t="s">
        <v>71</v>
      </c>
      <c r="AB99" s="1378" t="s">
        <v>872</v>
      </c>
      <c r="AC99" s="1379">
        <v>2808.3</v>
      </c>
      <c r="AD99" s="1413"/>
      <c r="AE99" s="67" t="s">
        <v>846</v>
      </c>
      <c r="AF99" s="38" t="s">
        <v>55</v>
      </c>
      <c r="AG99" s="38" t="s">
        <v>56</v>
      </c>
      <c r="AH99" s="38" t="s">
        <v>56</v>
      </c>
      <c r="AI99" s="1380"/>
      <c r="AJ99" s="1380" t="s">
        <v>56</v>
      </c>
      <c r="AK99" s="1380" t="s">
        <v>74</v>
      </c>
      <c r="AL99" s="1419"/>
      <c r="AM99" s="1413">
        <v>4</v>
      </c>
      <c r="AN99" s="1413"/>
      <c r="AO99" s="1413"/>
      <c r="AP99" s="1413"/>
      <c r="AQ99" s="1413"/>
      <c r="AR99" s="1413"/>
      <c r="AS99" s="1413"/>
      <c r="AT99" s="1413"/>
      <c r="AU99" s="1413"/>
      <c r="AV99" s="1413"/>
      <c r="AW99" s="1413"/>
      <c r="AX99" s="1413"/>
      <c r="AY99" s="1413"/>
      <c r="AZ99" s="1413"/>
      <c r="BA99" s="1413"/>
      <c r="BB99" s="1413"/>
      <c r="BC99" s="1413"/>
      <c r="BD99" s="1413"/>
      <c r="BE99" s="1413"/>
      <c r="BF99" s="1413"/>
      <c r="BG99" s="1413"/>
      <c r="BH99" s="1413"/>
      <c r="BI99" s="1413"/>
      <c r="BJ99" s="1413"/>
      <c r="BK99" s="1413"/>
      <c r="BL99" s="1413"/>
      <c r="BM99" s="1413"/>
      <c r="BN99" s="1413"/>
      <c r="BO99" s="1413"/>
      <c r="BP99" s="1413"/>
      <c r="BQ99" s="1413"/>
      <c r="BR99" s="1413"/>
      <c r="BS99" s="1413"/>
      <c r="BT99" s="1413"/>
      <c r="BU99" s="1413"/>
      <c r="BV99" s="1413"/>
      <c r="BW99" s="1413"/>
      <c r="BX99" s="1413"/>
      <c r="BY99" s="1413"/>
      <c r="BZ99" s="1413"/>
      <c r="CA99" s="1413"/>
      <c r="CB99" s="1413"/>
      <c r="CC99" s="1413"/>
      <c r="CD99" s="1413"/>
      <c r="CE99" s="1413"/>
      <c r="CF99" s="1413"/>
      <c r="CG99" s="1413"/>
      <c r="CH99" s="1413"/>
      <c r="CI99" s="1413"/>
      <c r="CJ99" s="1413"/>
      <c r="CK99" s="1413"/>
      <c r="CL99" s="1413"/>
      <c r="CM99" s="1413"/>
      <c r="CN99" s="1413"/>
      <c r="CO99" s="1413"/>
      <c r="CP99" s="1413"/>
      <c r="CQ99" s="1413"/>
      <c r="CR99" s="1413"/>
      <c r="CS99" s="1413"/>
      <c r="CT99" s="1413"/>
      <c r="CU99" s="1413"/>
      <c r="CV99" s="1413"/>
      <c r="CW99" s="1413"/>
      <c r="CX99" s="1413"/>
      <c r="CY99" s="1413"/>
      <c r="CZ99" s="1413"/>
      <c r="DA99" s="1413"/>
      <c r="DB99" s="1413"/>
      <c r="DC99" s="1413"/>
      <c r="DD99" s="1413"/>
      <c r="DE99" s="66"/>
      <c r="DF99" s="66"/>
      <c r="DG99" s="66"/>
      <c r="DH99" s="66"/>
      <c r="DI99" s="66"/>
    </row>
    <row r="100" spans="1:115" s="13" customFormat="1" ht="113.25" customHeight="1" x14ac:dyDescent="0.25">
      <c r="A100" s="14">
        <v>46100</v>
      </c>
      <c r="B100" s="1348" t="s">
        <v>873</v>
      </c>
      <c r="C100" s="1348" t="s">
        <v>874</v>
      </c>
      <c r="D100" s="1345"/>
      <c r="E100" s="1368" t="s">
        <v>39</v>
      </c>
      <c r="F100" s="1405">
        <v>1</v>
      </c>
      <c r="G100" s="1363"/>
      <c r="H100" s="1363"/>
      <c r="I100" s="44" t="s">
        <v>875</v>
      </c>
      <c r="J100" s="1365">
        <v>6</v>
      </c>
      <c r="K100" s="1346" t="s">
        <v>876</v>
      </c>
      <c r="L100" s="1367" t="s">
        <v>63</v>
      </c>
      <c r="M100" s="1368" t="s">
        <v>55</v>
      </c>
      <c r="N100" s="48" t="s">
        <v>877</v>
      </c>
      <c r="O100" s="1370" t="s">
        <v>878</v>
      </c>
      <c r="P100" s="1370" t="s">
        <v>879</v>
      </c>
      <c r="Q100" s="1370" t="s">
        <v>880</v>
      </c>
      <c r="R100" s="1371">
        <v>95</v>
      </c>
      <c r="S100" s="1371">
        <v>527</v>
      </c>
      <c r="T100" s="1372" t="s">
        <v>180</v>
      </c>
      <c r="U100" s="1372">
        <v>2</v>
      </c>
      <c r="V100" s="1373">
        <f t="shared" si="3"/>
        <v>12</v>
      </c>
      <c r="W100" s="1372" t="s">
        <v>48</v>
      </c>
      <c r="X100" s="1416" t="s">
        <v>881</v>
      </c>
      <c r="Y100" s="1417" t="s">
        <v>50</v>
      </c>
      <c r="Z100" s="32" t="s">
        <v>51</v>
      </c>
      <c r="AA100" s="1418" t="s">
        <v>468</v>
      </c>
      <c r="AB100" s="1378" t="s">
        <v>882</v>
      </c>
      <c r="AC100" s="1379">
        <v>8867</v>
      </c>
      <c r="AD100" s="1413"/>
      <c r="AE100" s="67" t="s">
        <v>73</v>
      </c>
      <c r="AF100" s="1380" t="s">
        <v>55</v>
      </c>
      <c r="AG100" s="1380" t="s">
        <v>56</v>
      </c>
      <c r="AH100" s="1380" t="s">
        <v>86</v>
      </c>
      <c r="AI100" s="1380"/>
      <c r="AJ100" s="1380" t="s">
        <v>56</v>
      </c>
      <c r="AK100" s="1380" t="s">
        <v>149</v>
      </c>
      <c r="AL100" s="1419"/>
      <c r="AM100" s="1413">
        <v>1</v>
      </c>
      <c r="AN100" s="1413"/>
      <c r="AO100" s="1413"/>
      <c r="AP100" s="1413"/>
      <c r="AQ100" s="1413"/>
      <c r="AR100" s="1413"/>
      <c r="AS100" s="1413"/>
      <c r="AT100" s="1413"/>
      <c r="AU100" s="1413"/>
      <c r="AV100" s="1413"/>
      <c r="AW100" s="1413"/>
      <c r="AX100" s="1413"/>
      <c r="AY100" s="1413"/>
      <c r="AZ100" s="1413"/>
      <c r="BA100" s="1413"/>
      <c r="BB100" s="1413"/>
      <c r="BC100" s="1413"/>
      <c r="BD100" s="1413"/>
      <c r="BE100" s="1413"/>
      <c r="BF100" s="1413"/>
      <c r="BG100" s="1413"/>
      <c r="BH100" s="1413"/>
      <c r="BI100" s="1413"/>
      <c r="BJ100" s="1413"/>
      <c r="BK100" s="1413"/>
      <c r="BL100" s="1413"/>
      <c r="BM100" s="1413"/>
      <c r="BN100" s="1413"/>
      <c r="BO100" s="1413"/>
      <c r="BP100" s="1413"/>
      <c r="BQ100" s="1413"/>
      <c r="BR100" s="1413"/>
      <c r="BS100" s="1413"/>
      <c r="BT100" s="1413"/>
      <c r="BU100" s="1413"/>
      <c r="BV100" s="1413"/>
      <c r="BW100" s="1413"/>
      <c r="BX100" s="1413"/>
      <c r="BY100" s="1413"/>
      <c r="BZ100" s="1413"/>
      <c r="CA100" s="1413"/>
      <c r="CB100" s="1413"/>
      <c r="CC100" s="1413"/>
      <c r="CD100" s="1413"/>
      <c r="CE100" s="1413"/>
      <c r="CF100" s="1413"/>
      <c r="CG100" s="1413"/>
      <c r="CH100" s="1413"/>
      <c r="CI100" s="1413"/>
      <c r="CJ100" s="1413"/>
      <c r="CK100" s="1413"/>
      <c r="CL100" s="1413"/>
      <c r="CM100" s="1413"/>
      <c r="CN100" s="1413"/>
      <c r="CO100" s="1413"/>
      <c r="CP100" s="1413"/>
      <c r="CQ100" s="1413"/>
      <c r="CR100" s="1413"/>
      <c r="CS100" s="1413"/>
      <c r="CT100" s="1413"/>
      <c r="CU100" s="1413"/>
      <c r="CV100" s="1413"/>
      <c r="CW100" s="1413"/>
      <c r="CX100" s="1413"/>
      <c r="CY100" s="1413"/>
      <c r="CZ100" s="1413"/>
      <c r="DA100" s="1413"/>
      <c r="DB100" s="1413"/>
      <c r="DC100" s="1413"/>
      <c r="DD100" s="1413"/>
      <c r="DE100" s="66"/>
      <c r="DF100" s="66"/>
      <c r="DG100" s="66"/>
      <c r="DH100" s="66"/>
      <c r="DI100" s="66"/>
    </row>
    <row r="101" spans="1:115" s="13" customFormat="1" ht="113.25" customHeight="1" x14ac:dyDescent="0.25">
      <c r="A101" s="14">
        <v>46099</v>
      </c>
      <c r="B101" s="1412" t="s">
        <v>883</v>
      </c>
      <c r="C101" s="1412" t="s">
        <v>884</v>
      </c>
      <c r="D101" s="1412"/>
      <c r="E101" s="1427" t="s">
        <v>39</v>
      </c>
      <c r="F101" s="1449"/>
      <c r="G101" s="1449"/>
      <c r="H101" s="1405">
        <v>1</v>
      </c>
      <c r="I101" s="44" t="s">
        <v>885</v>
      </c>
      <c r="J101" s="1450">
        <v>57</v>
      </c>
      <c r="K101" s="1425" t="s">
        <v>886</v>
      </c>
      <c r="L101" s="1451" t="s">
        <v>63</v>
      </c>
      <c r="M101" s="1451" t="s">
        <v>55</v>
      </c>
      <c r="N101" s="1426" t="s">
        <v>887</v>
      </c>
      <c r="O101" s="1452"/>
      <c r="P101" s="1452" t="s">
        <v>888</v>
      </c>
      <c r="Q101" s="1452" t="s">
        <v>889</v>
      </c>
      <c r="R101" s="1453">
        <v>29</v>
      </c>
      <c r="S101" s="1453">
        <v>59</v>
      </c>
      <c r="T101" s="1427" t="s">
        <v>96</v>
      </c>
      <c r="U101" s="1427">
        <v>35</v>
      </c>
      <c r="V101" s="1438">
        <f t="shared" si="3"/>
        <v>1995</v>
      </c>
      <c r="W101" s="1427" t="s">
        <v>68</v>
      </c>
      <c r="X101" s="1416" t="s">
        <v>890</v>
      </c>
      <c r="Y101" s="1417" t="s">
        <v>70</v>
      </c>
      <c r="Z101" s="32"/>
      <c r="AA101" s="1418" t="s">
        <v>468</v>
      </c>
      <c r="AB101" s="1378" t="s">
        <v>882</v>
      </c>
      <c r="AC101" s="1379">
        <v>5587.71</v>
      </c>
      <c r="AD101" s="1413"/>
      <c r="AE101" s="37" t="s">
        <v>85</v>
      </c>
      <c r="AF101" s="1380" t="s">
        <v>55</v>
      </c>
      <c r="AG101" s="38" t="s">
        <v>56</v>
      </c>
      <c r="AH101" s="38" t="s">
        <v>56</v>
      </c>
      <c r="AI101" s="1380"/>
      <c r="AJ101" s="1380" t="s">
        <v>56</v>
      </c>
      <c r="AK101" s="1380" t="s">
        <v>149</v>
      </c>
      <c r="AL101" s="1419"/>
      <c r="AM101" s="1413">
        <v>6</v>
      </c>
      <c r="AN101" s="1413"/>
      <c r="AO101" s="1413"/>
      <c r="AP101" s="1413"/>
      <c r="AQ101" s="1413"/>
      <c r="AR101" s="1413"/>
      <c r="AS101" s="1413"/>
      <c r="AT101" s="1413"/>
      <c r="AU101" s="1413"/>
      <c r="AV101" s="1413"/>
      <c r="AW101" s="1413"/>
      <c r="AX101" s="1413"/>
      <c r="AY101" s="1413"/>
      <c r="AZ101" s="1413"/>
      <c r="BA101" s="1413"/>
      <c r="BB101" s="1413"/>
      <c r="BC101" s="1413"/>
      <c r="BD101" s="1413"/>
      <c r="BE101" s="1413"/>
      <c r="BF101" s="1413"/>
      <c r="BG101" s="1413"/>
      <c r="BH101" s="1413"/>
      <c r="BI101" s="1413"/>
      <c r="BJ101" s="1413"/>
      <c r="BK101" s="1413"/>
      <c r="BL101" s="1413"/>
      <c r="BM101" s="1413"/>
      <c r="BN101" s="1413"/>
      <c r="BO101" s="1413"/>
      <c r="BP101" s="1413"/>
      <c r="BQ101" s="1413"/>
      <c r="BR101" s="1413"/>
      <c r="BS101" s="1413"/>
      <c r="BT101" s="1413"/>
      <c r="BU101" s="1413"/>
      <c r="BV101" s="1413"/>
      <c r="BW101" s="1413"/>
      <c r="BX101" s="1413"/>
      <c r="BY101" s="1413"/>
      <c r="BZ101" s="1413"/>
      <c r="CA101" s="1413"/>
      <c r="CB101" s="1413"/>
      <c r="CC101" s="1413"/>
      <c r="CD101" s="1413"/>
      <c r="CE101" s="1413"/>
      <c r="CF101" s="1413"/>
      <c r="CG101" s="1413"/>
      <c r="CH101" s="1413"/>
      <c r="CI101" s="1413"/>
      <c r="CJ101" s="1413"/>
      <c r="CK101" s="1413"/>
      <c r="CL101" s="1413"/>
      <c r="CM101" s="1413"/>
      <c r="CN101" s="1413"/>
      <c r="CO101" s="1413"/>
      <c r="CP101" s="1413"/>
      <c r="CQ101" s="1413"/>
      <c r="CR101" s="1413"/>
      <c r="CS101" s="1413"/>
      <c r="CT101" s="1413"/>
      <c r="CU101" s="1413"/>
      <c r="CV101" s="1413"/>
      <c r="CW101" s="1413"/>
      <c r="CX101" s="1413"/>
      <c r="CY101" s="1413"/>
      <c r="CZ101" s="1413"/>
      <c r="DA101" s="1413"/>
      <c r="DB101" s="1413"/>
      <c r="DC101" s="1413"/>
      <c r="DD101" s="1413"/>
      <c r="DE101" s="66"/>
      <c r="DF101" s="66"/>
      <c r="DG101" s="66"/>
      <c r="DH101" s="66"/>
      <c r="DI101" s="66"/>
    </row>
    <row r="102" spans="1:115" s="13" customFormat="1" ht="113.25" customHeight="1" x14ac:dyDescent="0.25">
      <c r="A102" s="14">
        <v>46099</v>
      </c>
      <c r="B102" s="1348" t="s">
        <v>891</v>
      </c>
      <c r="C102" s="1348" t="s">
        <v>892</v>
      </c>
      <c r="D102" s="41"/>
      <c r="E102" s="42" t="s">
        <v>39</v>
      </c>
      <c r="F102" s="43"/>
      <c r="G102" s="43"/>
      <c r="H102" s="1405">
        <v>3</v>
      </c>
      <c r="I102" s="72" t="s">
        <v>893</v>
      </c>
      <c r="J102" s="45">
        <v>150</v>
      </c>
      <c r="K102" s="1346" t="s">
        <v>894</v>
      </c>
      <c r="L102" s="1367" t="s">
        <v>63</v>
      </c>
      <c r="M102" s="42" t="s">
        <v>42</v>
      </c>
      <c r="N102" s="77" t="s">
        <v>895</v>
      </c>
      <c r="O102" s="49"/>
      <c r="P102" s="49" t="s">
        <v>896</v>
      </c>
      <c r="Q102" s="49" t="s">
        <v>861</v>
      </c>
      <c r="R102" s="50">
        <v>2</v>
      </c>
      <c r="S102" s="50">
        <v>2</v>
      </c>
      <c r="T102" s="51" t="s">
        <v>96</v>
      </c>
      <c r="U102" s="51">
        <v>1</v>
      </c>
      <c r="V102" s="52">
        <f t="shared" si="3"/>
        <v>150</v>
      </c>
      <c r="W102" s="51" t="s">
        <v>68</v>
      </c>
      <c r="X102" s="30" t="s">
        <v>773</v>
      </c>
      <c r="Y102" s="64" t="s">
        <v>70</v>
      </c>
      <c r="Z102" s="32" t="s">
        <v>483</v>
      </c>
      <c r="AA102" s="33" t="s">
        <v>774</v>
      </c>
      <c r="AB102" s="65" t="s">
        <v>897</v>
      </c>
      <c r="AC102" s="35">
        <v>3375</v>
      </c>
      <c r="AD102" s="66"/>
      <c r="AE102" s="67" t="s">
        <v>73</v>
      </c>
      <c r="AF102" s="38" t="s">
        <v>42</v>
      </c>
      <c r="AG102" s="38" t="s">
        <v>56</v>
      </c>
      <c r="AH102" s="38" t="s">
        <v>56</v>
      </c>
      <c r="AI102" s="38"/>
      <c r="AJ102" s="38"/>
      <c r="AK102" s="38"/>
      <c r="AL102" s="68"/>
      <c r="AM102" s="66">
        <v>2</v>
      </c>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6"/>
      <c r="CG102" s="66"/>
      <c r="CH102" s="66"/>
      <c r="CI102" s="66"/>
      <c r="CJ102" s="66"/>
      <c r="CK102" s="66"/>
      <c r="CL102" s="66"/>
      <c r="CM102" s="66"/>
      <c r="CN102" s="66"/>
      <c r="CO102" s="66"/>
      <c r="CP102" s="66"/>
      <c r="CQ102" s="66"/>
      <c r="CR102" s="66"/>
      <c r="CS102" s="66"/>
      <c r="CT102" s="66"/>
      <c r="CU102" s="66"/>
      <c r="CV102" s="66"/>
      <c r="CW102" s="66"/>
      <c r="CX102" s="66"/>
      <c r="CY102" s="66"/>
      <c r="CZ102" s="66"/>
      <c r="DA102" s="66"/>
      <c r="DB102" s="66"/>
      <c r="DC102" s="66"/>
      <c r="DD102" s="66"/>
      <c r="DE102" s="66"/>
      <c r="DF102" s="66"/>
      <c r="DG102" s="66"/>
      <c r="DH102" s="66"/>
      <c r="DI102" s="66"/>
    </row>
    <row r="103" spans="1:115" s="13" customFormat="1" ht="113.25" customHeight="1" x14ac:dyDescent="0.25">
      <c r="A103" s="14">
        <v>46099</v>
      </c>
      <c r="B103" s="1345" t="s">
        <v>898</v>
      </c>
      <c r="C103" s="1345" t="s">
        <v>899</v>
      </c>
      <c r="D103" s="1345"/>
      <c r="E103" s="1368" t="s">
        <v>39</v>
      </c>
      <c r="F103" s="1405">
        <v>2</v>
      </c>
      <c r="G103" s="1363"/>
      <c r="H103" s="1363"/>
      <c r="I103" s="44" t="s">
        <v>900</v>
      </c>
      <c r="J103" s="1365">
        <v>10</v>
      </c>
      <c r="K103" s="1346" t="s">
        <v>894</v>
      </c>
      <c r="L103" s="1367" t="s">
        <v>63</v>
      </c>
      <c r="M103" s="42" t="s">
        <v>42</v>
      </c>
      <c r="N103" s="48" t="s">
        <v>901</v>
      </c>
      <c r="O103" s="1370" t="s">
        <v>902</v>
      </c>
      <c r="P103" s="1370" t="s">
        <v>903</v>
      </c>
      <c r="Q103" s="1370" t="s">
        <v>904</v>
      </c>
      <c r="R103" s="1371">
        <v>26</v>
      </c>
      <c r="S103" s="1371">
        <v>43</v>
      </c>
      <c r="T103" s="1372" t="s">
        <v>47</v>
      </c>
      <c r="U103" s="1372">
        <v>0</v>
      </c>
      <c r="V103" s="1373">
        <f t="shared" si="3"/>
        <v>0</v>
      </c>
      <c r="W103" s="1372" t="s">
        <v>48</v>
      </c>
      <c r="X103" s="1416" t="s">
        <v>905</v>
      </c>
      <c r="Y103" s="1417" t="s">
        <v>50</v>
      </c>
      <c r="Z103" s="32" t="s">
        <v>906</v>
      </c>
      <c r="AA103" s="1418" t="s">
        <v>757</v>
      </c>
      <c r="AB103" s="1378" t="s">
        <v>907</v>
      </c>
      <c r="AC103" s="1379">
        <v>3225</v>
      </c>
      <c r="AD103" s="1413"/>
      <c r="AE103" s="67" t="s">
        <v>73</v>
      </c>
      <c r="AF103" s="1380" t="s">
        <v>55</v>
      </c>
      <c r="AG103" s="1380" t="s">
        <v>56</v>
      </c>
      <c r="AH103" s="1380" t="s">
        <v>56</v>
      </c>
      <c r="AI103" s="1380"/>
      <c r="AJ103" s="1380"/>
      <c r="AK103" s="1380"/>
      <c r="AL103" s="78" t="s">
        <v>908</v>
      </c>
      <c r="AM103" s="1413">
        <v>12</v>
      </c>
      <c r="AN103" s="1413"/>
      <c r="AO103" s="1413"/>
      <c r="AP103" s="1413"/>
      <c r="AQ103" s="1413"/>
      <c r="AR103" s="1413"/>
      <c r="AS103" s="1413"/>
      <c r="AT103" s="1413"/>
      <c r="AU103" s="1413"/>
      <c r="AV103" s="1413"/>
      <c r="AW103" s="1413"/>
      <c r="AX103" s="1413"/>
      <c r="AY103" s="1413"/>
      <c r="AZ103" s="1413"/>
      <c r="BA103" s="1413"/>
      <c r="BB103" s="1413"/>
      <c r="BC103" s="1413"/>
      <c r="BD103" s="1413"/>
      <c r="BE103" s="1413"/>
      <c r="BF103" s="1413"/>
      <c r="BG103" s="1413"/>
      <c r="BH103" s="1413"/>
      <c r="BI103" s="1413"/>
      <c r="BJ103" s="1413"/>
      <c r="BK103" s="1413"/>
      <c r="BL103" s="1413"/>
      <c r="BM103" s="1413"/>
      <c r="BN103" s="1413"/>
      <c r="BO103" s="1413"/>
      <c r="BP103" s="1413"/>
      <c r="BQ103" s="1413"/>
      <c r="BR103" s="1413"/>
      <c r="BS103" s="1413"/>
      <c r="BT103" s="1413"/>
      <c r="BU103" s="1413"/>
      <c r="BV103" s="1413"/>
      <c r="BW103" s="1413"/>
      <c r="BX103" s="1413"/>
      <c r="BY103" s="1413"/>
      <c r="BZ103" s="1413"/>
      <c r="CA103" s="1413"/>
      <c r="CB103" s="1413"/>
      <c r="CC103" s="1413"/>
      <c r="CD103" s="1413"/>
      <c r="CE103" s="1413"/>
      <c r="CF103" s="1413"/>
      <c r="CG103" s="1413"/>
      <c r="CH103" s="1413"/>
      <c r="CI103" s="1413"/>
      <c r="CJ103" s="1413"/>
      <c r="CK103" s="1413"/>
      <c r="CL103" s="1413"/>
      <c r="CM103" s="1413"/>
      <c r="CN103" s="1413"/>
      <c r="CO103" s="1413"/>
      <c r="CP103" s="1413"/>
      <c r="CQ103" s="1413"/>
      <c r="CR103" s="1413"/>
      <c r="CS103" s="1413"/>
      <c r="CT103" s="1413"/>
      <c r="CU103" s="1413"/>
      <c r="CV103" s="1413"/>
      <c r="CW103" s="1413"/>
      <c r="CX103" s="1413"/>
      <c r="CY103" s="1413"/>
      <c r="CZ103" s="1413"/>
      <c r="DA103" s="1413"/>
      <c r="DB103" s="1413"/>
      <c r="DC103" s="1413"/>
      <c r="DD103" s="1413"/>
      <c r="DE103" s="66"/>
      <c r="DF103" s="66"/>
      <c r="DG103" s="66"/>
      <c r="DH103" s="66"/>
      <c r="DI103" s="66"/>
    </row>
    <row r="104" spans="1:115" s="13" customFormat="1" ht="113.25" customHeight="1" x14ac:dyDescent="0.25">
      <c r="A104" s="14">
        <v>46099</v>
      </c>
      <c r="B104" s="1345" t="s">
        <v>909</v>
      </c>
      <c r="C104" s="1345" t="s">
        <v>910</v>
      </c>
      <c r="D104" s="1345"/>
      <c r="E104" s="1368" t="s">
        <v>39</v>
      </c>
      <c r="F104" s="1363"/>
      <c r="G104" s="1363"/>
      <c r="H104" s="1405">
        <v>1</v>
      </c>
      <c r="I104" s="44" t="s">
        <v>911</v>
      </c>
      <c r="J104" s="1365">
        <v>15</v>
      </c>
      <c r="K104" s="1346" t="s">
        <v>912</v>
      </c>
      <c r="L104" s="1367" t="s">
        <v>63</v>
      </c>
      <c r="M104" s="42" t="s">
        <v>42</v>
      </c>
      <c r="N104" s="48" t="s">
        <v>913</v>
      </c>
      <c r="O104" s="1370" t="s">
        <v>861</v>
      </c>
      <c r="P104" s="1370" t="s">
        <v>879</v>
      </c>
      <c r="Q104" s="1370" t="s">
        <v>465</v>
      </c>
      <c r="R104" s="1446">
        <v>166</v>
      </c>
      <c r="S104" s="1371">
        <v>1045</v>
      </c>
      <c r="T104" s="1372" t="s">
        <v>141</v>
      </c>
      <c r="U104" s="1372">
        <v>26</v>
      </c>
      <c r="V104" s="1373">
        <f t="shared" si="3"/>
        <v>390</v>
      </c>
      <c r="W104" s="1372" t="s">
        <v>48</v>
      </c>
      <c r="X104" s="1416" t="s">
        <v>265</v>
      </c>
      <c r="Y104" s="1417" t="s">
        <v>82</v>
      </c>
      <c r="Z104" s="32" t="s">
        <v>51</v>
      </c>
      <c r="AA104" s="1418" t="s">
        <v>468</v>
      </c>
      <c r="AB104" s="1378" t="s">
        <v>907</v>
      </c>
      <c r="AC104" s="1379">
        <v>17800</v>
      </c>
      <c r="AD104" s="1413"/>
      <c r="AE104" s="67" t="s">
        <v>73</v>
      </c>
      <c r="AF104" s="1380" t="s">
        <v>55</v>
      </c>
      <c r="AG104" s="1380" t="s">
        <v>56</v>
      </c>
      <c r="AH104" s="1380" t="s">
        <v>56</v>
      </c>
      <c r="AI104" s="1380"/>
      <c r="AJ104" s="1380"/>
      <c r="AK104" s="1380"/>
      <c r="AL104" s="1419"/>
      <c r="AM104" s="1413">
        <v>1</v>
      </c>
      <c r="AN104" s="1413"/>
      <c r="AO104" s="1413"/>
      <c r="AP104" s="1413"/>
      <c r="AQ104" s="1413"/>
      <c r="AR104" s="1413"/>
      <c r="AS104" s="1413"/>
      <c r="AT104" s="1413"/>
      <c r="AU104" s="1413"/>
      <c r="AV104" s="1413"/>
      <c r="AW104" s="1413"/>
      <c r="AX104" s="1413"/>
      <c r="AY104" s="1413"/>
      <c r="AZ104" s="1413"/>
      <c r="BA104" s="1413"/>
      <c r="BB104" s="1413"/>
      <c r="BC104" s="1413"/>
      <c r="BD104" s="1413"/>
      <c r="BE104" s="1413"/>
      <c r="BF104" s="1413"/>
      <c r="BG104" s="1413"/>
      <c r="BH104" s="1413"/>
      <c r="BI104" s="1413"/>
      <c r="BJ104" s="1413"/>
      <c r="BK104" s="1413"/>
      <c r="BL104" s="1413"/>
      <c r="BM104" s="1413"/>
      <c r="BN104" s="1413"/>
      <c r="BO104" s="1413"/>
      <c r="BP104" s="1413"/>
      <c r="BQ104" s="1413"/>
      <c r="BR104" s="1413"/>
      <c r="BS104" s="1413"/>
      <c r="BT104" s="1413"/>
      <c r="BU104" s="1413"/>
      <c r="BV104" s="1413"/>
      <c r="BW104" s="1413"/>
      <c r="BX104" s="1413"/>
      <c r="BY104" s="1413"/>
      <c r="BZ104" s="1413"/>
      <c r="CA104" s="1413"/>
      <c r="CB104" s="1413"/>
      <c r="CC104" s="1413"/>
      <c r="CD104" s="1413"/>
      <c r="CE104" s="1413"/>
      <c r="CF104" s="1413"/>
      <c r="CG104" s="1413"/>
      <c r="CH104" s="1413"/>
      <c r="CI104" s="1413"/>
      <c r="CJ104" s="1413"/>
      <c r="CK104" s="1413"/>
      <c r="CL104" s="1413"/>
      <c r="CM104" s="1413"/>
      <c r="CN104" s="1413"/>
      <c r="CO104" s="1413"/>
      <c r="CP104" s="1413"/>
      <c r="CQ104" s="1413"/>
      <c r="CR104" s="1413"/>
      <c r="CS104" s="1413"/>
      <c r="CT104" s="1413"/>
      <c r="CU104" s="1413"/>
      <c r="CV104" s="1413"/>
      <c r="CW104" s="1413"/>
      <c r="CX104" s="1413"/>
      <c r="CY104" s="1413"/>
      <c r="CZ104" s="1413"/>
      <c r="DA104" s="1413"/>
      <c r="DB104" s="1413"/>
      <c r="DC104" s="1413"/>
      <c r="DD104" s="1413"/>
      <c r="DE104" s="66"/>
      <c r="DF104" s="66"/>
      <c r="DG104" s="66"/>
      <c r="DH104" s="66"/>
      <c r="DI104" s="66"/>
    </row>
    <row r="105" spans="1:115" s="13" customFormat="1" ht="113.25" customHeight="1" x14ac:dyDescent="0.25">
      <c r="A105" s="14">
        <v>46099</v>
      </c>
      <c r="B105" s="1348" t="s">
        <v>914</v>
      </c>
      <c r="C105" s="1348" t="s">
        <v>915</v>
      </c>
      <c r="D105" s="1348" t="s">
        <v>916</v>
      </c>
      <c r="E105" s="42" t="s">
        <v>39</v>
      </c>
      <c r="F105" s="1363"/>
      <c r="G105" s="1363"/>
      <c r="H105" s="1405">
        <v>1</v>
      </c>
      <c r="I105" s="44" t="s">
        <v>917</v>
      </c>
      <c r="J105" s="1365">
        <v>100</v>
      </c>
      <c r="K105" s="1346" t="s">
        <v>918</v>
      </c>
      <c r="L105" s="50" t="s">
        <v>63</v>
      </c>
      <c r="M105" s="1368" t="s">
        <v>55</v>
      </c>
      <c r="N105" s="48" t="s">
        <v>919</v>
      </c>
      <c r="O105" s="1370" t="s">
        <v>920</v>
      </c>
      <c r="P105" s="1370"/>
      <c r="Q105" s="1370" t="s">
        <v>921</v>
      </c>
      <c r="R105" s="1371">
        <v>2</v>
      </c>
      <c r="S105" s="1371">
        <v>2</v>
      </c>
      <c r="T105" s="1372" t="s">
        <v>393</v>
      </c>
      <c r="U105" s="1372">
        <v>0</v>
      </c>
      <c r="V105" s="1373">
        <f t="shared" si="3"/>
        <v>0</v>
      </c>
      <c r="W105" s="1372" t="s">
        <v>48</v>
      </c>
      <c r="X105" s="1416" t="s">
        <v>922</v>
      </c>
      <c r="Y105" s="1417" t="s">
        <v>82</v>
      </c>
      <c r="Z105" s="32" t="s">
        <v>483</v>
      </c>
      <c r="AA105" s="1418" t="s">
        <v>923</v>
      </c>
      <c r="AB105" s="1378" t="s">
        <v>924</v>
      </c>
      <c r="AC105" s="1379">
        <v>9315</v>
      </c>
      <c r="AD105" s="66"/>
      <c r="AE105" s="67" t="s">
        <v>73</v>
      </c>
      <c r="AF105" s="38" t="str">
        <f>IF(U105=0,"x","")</f>
        <v>x</v>
      </c>
      <c r="AG105" s="38" t="s">
        <v>56</v>
      </c>
      <c r="AH105" s="38" t="s">
        <v>56</v>
      </c>
      <c r="AI105" s="1380"/>
      <c r="AJ105" s="38"/>
      <c r="AK105" s="38"/>
      <c r="AL105" s="1419"/>
      <c r="AM105" s="66">
        <v>12</v>
      </c>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s="66"/>
      <c r="CU105" s="66"/>
      <c r="CV105" s="66"/>
      <c r="CW105" s="66"/>
      <c r="CX105" s="66"/>
      <c r="CY105" s="66"/>
      <c r="CZ105" s="66"/>
      <c r="DA105" s="66"/>
      <c r="DB105" s="66"/>
      <c r="DC105" s="66"/>
      <c r="DD105" s="66"/>
      <c r="DE105" s="66"/>
      <c r="DF105" s="66"/>
      <c r="DG105" s="66"/>
      <c r="DI105" s="1264"/>
    </row>
    <row r="106" spans="1:115" s="13" customFormat="1" ht="98.25" customHeight="1" x14ac:dyDescent="0.25">
      <c r="A106" s="14">
        <v>46098</v>
      </c>
      <c r="B106" s="1412" t="s">
        <v>925</v>
      </c>
      <c r="C106" s="1412" t="s">
        <v>926</v>
      </c>
      <c r="D106" s="1412"/>
      <c r="E106" s="1427" t="s">
        <v>39</v>
      </c>
      <c r="F106" s="1449"/>
      <c r="G106" s="1449"/>
      <c r="H106" s="1405">
        <v>1</v>
      </c>
      <c r="I106" s="69" t="s">
        <v>927</v>
      </c>
      <c r="J106" s="1450">
        <v>25</v>
      </c>
      <c r="K106" s="1425" t="s">
        <v>928</v>
      </c>
      <c r="L106" s="1451" t="s">
        <v>63</v>
      </c>
      <c r="M106" s="1451" t="s">
        <v>55</v>
      </c>
      <c r="N106" s="1426" t="s">
        <v>929</v>
      </c>
      <c r="O106" s="1452" t="s">
        <v>930</v>
      </c>
      <c r="P106" s="1452" t="s">
        <v>931</v>
      </c>
      <c r="Q106" s="1452" t="s">
        <v>932</v>
      </c>
      <c r="R106" s="1446">
        <v>188</v>
      </c>
      <c r="S106" s="1453">
        <v>669</v>
      </c>
      <c r="T106" s="1427" t="s">
        <v>933</v>
      </c>
      <c r="U106" s="1427">
        <v>28</v>
      </c>
      <c r="V106" s="1438">
        <f t="shared" si="3"/>
        <v>700</v>
      </c>
      <c r="W106" s="1427" t="s">
        <v>48</v>
      </c>
      <c r="X106" s="1416" t="s">
        <v>934</v>
      </c>
      <c r="Y106" s="1417" t="s">
        <v>99</v>
      </c>
      <c r="Z106" s="32" t="s">
        <v>935</v>
      </c>
      <c r="AA106" s="1418" t="s">
        <v>612</v>
      </c>
      <c r="AB106" s="1378" t="s">
        <v>882</v>
      </c>
      <c r="AC106" s="1379">
        <v>23238.25</v>
      </c>
      <c r="AD106" s="1413"/>
      <c r="AE106" s="37" t="s">
        <v>85</v>
      </c>
      <c r="AF106" s="1380" t="s">
        <v>55</v>
      </c>
      <c r="AG106" s="38" t="s">
        <v>56</v>
      </c>
      <c r="AH106" s="38" t="s">
        <v>56</v>
      </c>
      <c r="AI106" s="1380"/>
      <c r="AJ106" s="1380" t="s">
        <v>936</v>
      </c>
      <c r="AK106" s="1380" t="s">
        <v>74</v>
      </c>
      <c r="AL106" s="1419"/>
      <c r="AM106" s="1413">
        <v>1</v>
      </c>
      <c r="AN106" s="1413"/>
      <c r="AO106" s="1413"/>
      <c r="AP106" s="1413"/>
      <c r="AQ106" s="1413"/>
      <c r="AR106" s="1413"/>
      <c r="AS106" s="1413"/>
      <c r="AT106" s="1413"/>
      <c r="AU106" s="1413"/>
      <c r="AV106" s="1413"/>
      <c r="AW106" s="1413"/>
      <c r="AX106" s="1413"/>
      <c r="AY106" s="1413"/>
      <c r="AZ106" s="1413"/>
      <c r="BA106" s="1413"/>
      <c r="BB106" s="1413"/>
      <c r="BC106" s="1413"/>
      <c r="BD106" s="1413"/>
      <c r="BE106" s="1413"/>
      <c r="BF106" s="1413"/>
      <c r="BG106" s="1413"/>
      <c r="BH106" s="1413"/>
      <c r="BI106" s="1413"/>
      <c r="BJ106" s="1413"/>
      <c r="BK106" s="1413"/>
      <c r="BL106" s="1413"/>
      <c r="BM106" s="1413"/>
      <c r="BN106" s="1413"/>
      <c r="BO106" s="1413"/>
      <c r="BP106" s="1413"/>
      <c r="BQ106" s="1413"/>
      <c r="BR106" s="1413"/>
      <c r="BS106" s="1413"/>
      <c r="BT106" s="1413"/>
      <c r="BU106" s="1413"/>
      <c r="BV106" s="1413"/>
      <c r="BW106" s="1413"/>
      <c r="BX106" s="1413"/>
      <c r="BY106" s="1413"/>
      <c r="BZ106" s="1413"/>
      <c r="CA106" s="1413"/>
      <c r="CB106" s="1413"/>
      <c r="CC106" s="1413"/>
      <c r="CD106" s="1413"/>
      <c r="CE106" s="1413"/>
      <c r="CF106" s="1413"/>
      <c r="CG106" s="1413"/>
      <c r="CH106" s="1413"/>
      <c r="CI106" s="1413"/>
      <c r="CJ106" s="1413"/>
      <c r="CK106" s="1413"/>
      <c r="CL106" s="1413"/>
      <c r="CM106" s="1413"/>
      <c r="CN106" s="1413"/>
      <c r="CO106" s="1413"/>
      <c r="CP106" s="1413"/>
      <c r="CQ106" s="1413"/>
      <c r="CR106" s="1413"/>
      <c r="CS106" s="1413"/>
      <c r="CT106" s="1413"/>
      <c r="CU106" s="1413"/>
      <c r="CV106" s="1413"/>
      <c r="CW106" s="1413"/>
      <c r="CX106" s="1413"/>
      <c r="CY106" s="1413"/>
      <c r="CZ106" s="1413"/>
      <c r="DA106" s="1413"/>
      <c r="DB106" s="1413"/>
      <c r="DC106" s="1413"/>
      <c r="DD106" s="1413"/>
      <c r="DE106" s="66"/>
      <c r="DF106" s="66"/>
      <c r="DG106" s="66"/>
    </row>
    <row r="107" spans="1:115" s="13" customFormat="1" ht="46.5" customHeight="1" x14ac:dyDescent="0.25">
      <c r="A107" s="14">
        <v>46098</v>
      </c>
      <c r="B107" s="1345" t="s">
        <v>937</v>
      </c>
      <c r="C107" s="41" t="s">
        <v>938</v>
      </c>
      <c r="D107" s="41"/>
      <c r="E107" s="42" t="s">
        <v>39</v>
      </c>
      <c r="F107" s="43"/>
      <c r="G107" s="43"/>
      <c r="H107" s="1405">
        <v>4</v>
      </c>
      <c r="I107" s="72" t="s">
        <v>939</v>
      </c>
      <c r="J107" s="45">
        <v>150</v>
      </c>
      <c r="K107" s="1346" t="s">
        <v>894</v>
      </c>
      <c r="L107" s="47" t="s">
        <v>63</v>
      </c>
      <c r="M107" s="42" t="s">
        <v>42</v>
      </c>
      <c r="N107" s="77" t="s">
        <v>940</v>
      </c>
      <c r="O107" s="49" t="s">
        <v>941</v>
      </c>
      <c r="P107" s="49" t="s">
        <v>942</v>
      </c>
      <c r="Q107" s="49" t="s">
        <v>943</v>
      </c>
      <c r="R107" s="50">
        <v>7</v>
      </c>
      <c r="S107" s="50">
        <v>9</v>
      </c>
      <c r="T107" s="51" t="s">
        <v>47</v>
      </c>
      <c r="U107" s="51">
        <v>1</v>
      </c>
      <c r="V107" s="52">
        <f t="shared" si="3"/>
        <v>150</v>
      </c>
      <c r="W107" s="51" t="s">
        <v>68</v>
      </c>
      <c r="X107" s="30" t="s">
        <v>773</v>
      </c>
      <c r="Y107" s="64" t="s">
        <v>70</v>
      </c>
      <c r="Z107" s="32"/>
      <c r="AA107" s="33" t="s">
        <v>774</v>
      </c>
      <c r="AB107" s="65" t="s">
        <v>944</v>
      </c>
      <c r="AC107" s="35">
        <v>4232.5</v>
      </c>
      <c r="AD107" s="66"/>
      <c r="AE107" s="67" t="s">
        <v>73</v>
      </c>
      <c r="AF107" s="38"/>
      <c r="AG107" s="38" t="s">
        <v>56</v>
      </c>
      <c r="AH107" s="38" t="s">
        <v>56</v>
      </c>
      <c r="AI107" s="38"/>
      <c r="AJ107" s="38"/>
      <c r="AK107" s="38"/>
      <c r="AL107" s="68"/>
      <c r="AM107" s="66">
        <v>5</v>
      </c>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6"/>
      <c r="CU107" s="66"/>
      <c r="CV107" s="66"/>
      <c r="CW107" s="66"/>
      <c r="CX107" s="66"/>
      <c r="CY107" s="66"/>
      <c r="CZ107" s="66"/>
      <c r="DA107" s="66"/>
      <c r="DB107" s="66"/>
      <c r="DC107" s="66"/>
      <c r="DD107" s="66"/>
      <c r="DE107" s="66"/>
      <c r="DF107" s="66"/>
      <c r="DG107" s="66"/>
    </row>
    <row r="108" spans="1:115" s="13" customFormat="1" ht="113.25" customHeight="1" x14ac:dyDescent="0.25">
      <c r="A108" s="14">
        <v>46098</v>
      </c>
      <c r="B108" s="1345" t="s">
        <v>945</v>
      </c>
      <c r="C108" s="1401" t="s">
        <v>946</v>
      </c>
      <c r="D108" s="1345"/>
      <c r="E108" s="1368" t="s">
        <v>39</v>
      </c>
      <c r="F108" s="1405">
        <v>1</v>
      </c>
      <c r="G108" s="1363"/>
      <c r="H108" s="1363"/>
      <c r="I108" s="44" t="s">
        <v>947</v>
      </c>
      <c r="J108" s="1365">
        <v>5</v>
      </c>
      <c r="K108" s="1346" t="s">
        <v>948</v>
      </c>
      <c r="L108" s="1367" t="s">
        <v>63</v>
      </c>
      <c r="M108" s="1367" t="s">
        <v>42</v>
      </c>
      <c r="N108" s="48" t="s">
        <v>949</v>
      </c>
      <c r="O108" s="1370" t="s">
        <v>950</v>
      </c>
      <c r="P108" s="1370" t="s">
        <v>951</v>
      </c>
      <c r="Q108" s="1370" t="s">
        <v>952</v>
      </c>
      <c r="R108" s="1371">
        <v>103</v>
      </c>
      <c r="S108" s="1371">
        <v>622</v>
      </c>
      <c r="T108" s="1372" t="s">
        <v>180</v>
      </c>
      <c r="U108" s="1372">
        <v>39</v>
      </c>
      <c r="V108" s="1373">
        <f t="shared" si="3"/>
        <v>195</v>
      </c>
      <c r="W108" s="1372" t="s">
        <v>48</v>
      </c>
      <c r="X108" s="1416" t="s">
        <v>265</v>
      </c>
      <c r="Y108" s="1417" t="s">
        <v>82</v>
      </c>
      <c r="Z108" s="32" t="s">
        <v>51</v>
      </c>
      <c r="AA108" s="1418" t="s">
        <v>71</v>
      </c>
      <c r="AB108" s="1378" t="s">
        <v>586</v>
      </c>
      <c r="AC108" s="1379">
        <v>6179.3</v>
      </c>
      <c r="AD108" s="1413"/>
      <c r="AE108" s="67" t="s">
        <v>73</v>
      </c>
      <c r="AF108" s="1380" t="s">
        <v>55</v>
      </c>
      <c r="AG108" s="38" t="s">
        <v>56</v>
      </c>
      <c r="AH108" s="38" t="s">
        <v>56</v>
      </c>
      <c r="AI108" s="1380"/>
      <c r="AJ108" s="1380" t="s">
        <v>56</v>
      </c>
      <c r="AK108" s="1380" t="s">
        <v>149</v>
      </c>
      <c r="AL108" s="39" t="s">
        <v>552</v>
      </c>
      <c r="AM108" s="1413">
        <v>1</v>
      </c>
      <c r="AN108" s="1413"/>
      <c r="AO108" s="1413"/>
      <c r="AP108" s="1413"/>
      <c r="AQ108" s="1413"/>
      <c r="AR108" s="1413"/>
      <c r="AS108" s="1413"/>
      <c r="AT108" s="1413"/>
      <c r="AU108" s="1413"/>
      <c r="AV108" s="1413"/>
      <c r="AW108" s="1413"/>
      <c r="AX108" s="1413"/>
      <c r="AY108" s="1413"/>
      <c r="AZ108" s="1413"/>
      <c r="BA108" s="1413"/>
      <c r="BB108" s="1413"/>
      <c r="BC108" s="1413"/>
      <c r="BD108" s="1413"/>
      <c r="BE108" s="1413"/>
      <c r="BF108" s="1413"/>
      <c r="BG108" s="1413"/>
      <c r="BH108" s="1413"/>
      <c r="BI108" s="1413"/>
      <c r="BJ108" s="1413"/>
      <c r="BK108" s="1413"/>
      <c r="BL108" s="1413"/>
      <c r="BM108" s="1413"/>
      <c r="BN108" s="1413"/>
      <c r="BO108" s="1413"/>
      <c r="BP108" s="1413"/>
      <c r="BQ108" s="1413"/>
      <c r="BR108" s="1413"/>
      <c r="BS108" s="1413"/>
      <c r="BT108" s="1413"/>
      <c r="BU108" s="1413"/>
      <c r="BV108" s="1413"/>
      <c r="BW108" s="1413"/>
      <c r="BX108" s="1413"/>
      <c r="BY108" s="1413"/>
      <c r="BZ108" s="1413"/>
      <c r="CA108" s="1413"/>
      <c r="CB108" s="1413"/>
      <c r="CC108" s="1413"/>
      <c r="CD108" s="1413"/>
      <c r="CE108" s="1413"/>
      <c r="CF108" s="1413"/>
      <c r="CG108" s="1413"/>
      <c r="CH108" s="1413"/>
      <c r="CI108" s="1413"/>
      <c r="CJ108" s="1413"/>
      <c r="CK108" s="1413"/>
      <c r="CL108" s="1413"/>
      <c r="CM108" s="1413"/>
      <c r="CN108" s="1413"/>
      <c r="CO108" s="1413"/>
      <c r="CP108" s="1413"/>
      <c r="CQ108" s="1413"/>
      <c r="CR108" s="1413"/>
      <c r="CS108" s="1413"/>
      <c r="CT108" s="1413"/>
      <c r="CU108" s="1413"/>
      <c r="CV108" s="1413"/>
      <c r="CW108" s="1413"/>
      <c r="CX108" s="1413"/>
      <c r="CY108" s="1413"/>
      <c r="CZ108" s="1413"/>
      <c r="DA108" s="1413"/>
      <c r="DB108" s="1413"/>
      <c r="DC108" s="1413"/>
      <c r="DD108" s="1413"/>
      <c r="DE108" s="1413"/>
      <c r="DF108" s="1413"/>
      <c r="DG108" s="66"/>
    </row>
    <row r="109" spans="1:115" s="13" customFormat="1" ht="113.25" customHeight="1" x14ac:dyDescent="0.25">
      <c r="A109" s="14">
        <v>46098</v>
      </c>
      <c r="B109" s="1345" t="s">
        <v>883</v>
      </c>
      <c r="C109" s="1448" t="s">
        <v>953</v>
      </c>
      <c r="D109" s="1345" t="s">
        <v>954</v>
      </c>
      <c r="E109" s="1368" t="s">
        <v>39</v>
      </c>
      <c r="F109" s="1363"/>
      <c r="G109" s="1363"/>
      <c r="H109" s="1405">
        <v>1</v>
      </c>
      <c r="I109" s="44" t="s">
        <v>9868</v>
      </c>
      <c r="J109" s="1365">
        <v>45</v>
      </c>
      <c r="K109" s="1346" t="s">
        <v>955</v>
      </c>
      <c r="L109" s="1371" t="s">
        <v>63</v>
      </c>
      <c r="M109" s="1371" t="s">
        <v>42</v>
      </c>
      <c r="N109" s="48" t="s">
        <v>956</v>
      </c>
      <c r="O109" s="1370" t="s">
        <v>957</v>
      </c>
      <c r="P109" s="1370" t="s">
        <v>958</v>
      </c>
      <c r="Q109" s="1370" t="s">
        <v>959</v>
      </c>
      <c r="R109" s="1371">
        <v>99</v>
      </c>
      <c r="S109" s="1371">
        <v>568</v>
      </c>
      <c r="T109" s="1372" t="s">
        <v>180</v>
      </c>
      <c r="U109" s="1372">
        <v>11</v>
      </c>
      <c r="V109" s="1373">
        <f t="shared" si="3"/>
        <v>495</v>
      </c>
      <c r="W109" s="1372" t="s">
        <v>48</v>
      </c>
      <c r="X109" s="1416" t="s">
        <v>960</v>
      </c>
      <c r="Y109" s="1375" t="s">
        <v>50</v>
      </c>
      <c r="Z109" s="53"/>
      <c r="AA109" s="1418" t="s">
        <v>757</v>
      </c>
      <c r="AB109" s="65" t="s">
        <v>882</v>
      </c>
      <c r="AC109" s="1379">
        <v>11909.25</v>
      </c>
      <c r="AD109" s="1413"/>
      <c r="AE109" s="67" t="s">
        <v>73</v>
      </c>
      <c r="AF109" s="1380" t="s">
        <v>55</v>
      </c>
      <c r="AG109" s="38" t="s">
        <v>56</v>
      </c>
      <c r="AH109" s="38" t="s">
        <v>56</v>
      </c>
      <c r="AI109" s="1380"/>
      <c r="AJ109" s="1380" t="s">
        <v>56</v>
      </c>
      <c r="AK109" s="1380" t="s">
        <v>74</v>
      </c>
      <c r="AL109" s="1419"/>
      <c r="AM109" s="1413">
        <v>2</v>
      </c>
      <c r="AN109" s="1413"/>
      <c r="AO109" s="1413"/>
      <c r="AP109" s="1413"/>
      <c r="AQ109" s="1413"/>
      <c r="AR109" s="1413"/>
      <c r="AS109" s="1413"/>
      <c r="AT109" s="1413"/>
      <c r="AU109" s="1413"/>
      <c r="AV109" s="1413"/>
      <c r="AW109" s="1413"/>
      <c r="AX109" s="1413"/>
      <c r="AY109" s="1413"/>
      <c r="AZ109" s="1413"/>
      <c r="BA109" s="1413"/>
      <c r="BB109" s="1413"/>
      <c r="BC109" s="1413"/>
      <c r="BD109" s="1413"/>
      <c r="BE109" s="1413"/>
      <c r="BF109" s="1413"/>
      <c r="BG109" s="1413"/>
      <c r="BH109" s="1413"/>
      <c r="BI109" s="1413"/>
      <c r="BJ109" s="1413"/>
      <c r="BK109" s="1413"/>
      <c r="BL109" s="1413"/>
      <c r="BM109" s="1413"/>
      <c r="BN109" s="1413"/>
      <c r="BO109" s="1413"/>
      <c r="BP109" s="1413"/>
      <c r="BQ109" s="1413"/>
      <c r="BR109" s="1413"/>
      <c r="BS109" s="1413"/>
      <c r="BT109" s="1413"/>
      <c r="BU109" s="1413"/>
      <c r="BV109" s="1413"/>
      <c r="BW109" s="1413"/>
      <c r="BX109" s="1413"/>
      <c r="BY109" s="1413"/>
      <c r="BZ109" s="1413"/>
      <c r="CA109" s="1413"/>
      <c r="CB109" s="1413"/>
      <c r="CC109" s="1413"/>
      <c r="CD109" s="1413"/>
      <c r="CE109" s="1413"/>
      <c r="CF109" s="1413"/>
      <c r="CG109" s="1413"/>
      <c r="CH109" s="1413"/>
      <c r="CI109" s="1413"/>
      <c r="CJ109" s="1413"/>
      <c r="CK109" s="1413"/>
      <c r="CL109" s="1413"/>
      <c r="CM109" s="1413"/>
      <c r="CN109" s="1413"/>
      <c r="CO109" s="1413"/>
      <c r="CP109" s="1413"/>
      <c r="CQ109" s="1413"/>
      <c r="CR109" s="1413"/>
      <c r="CS109" s="1413"/>
      <c r="CT109" s="1413"/>
      <c r="CU109" s="1413"/>
      <c r="CV109" s="1413"/>
      <c r="CW109" s="1413"/>
      <c r="CX109" s="1413"/>
      <c r="CY109" s="1413"/>
      <c r="CZ109" s="1413"/>
      <c r="DA109" s="1413"/>
      <c r="DB109" s="1413"/>
      <c r="DC109" s="66"/>
      <c r="DD109" s="66"/>
      <c r="DE109" s="66"/>
      <c r="DF109" s="66"/>
      <c r="DG109" s="66"/>
    </row>
    <row r="110" spans="1:115" s="13" customFormat="1" ht="113.25" customHeight="1" x14ac:dyDescent="0.25">
      <c r="A110" s="14">
        <v>46097</v>
      </c>
      <c r="B110" s="1345" t="s">
        <v>961</v>
      </c>
      <c r="C110" s="1345" t="s">
        <v>962</v>
      </c>
      <c r="D110" s="1345"/>
      <c r="E110" s="1368" t="s">
        <v>39</v>
      </c>
      <c r="F110" s="1405">
        <v>1</v>
      </c>
      <c r="G110" s="1363"/>
      <c r="H110" s="1363"/>
      <c r="I110" s="44" t="s">
        <v>963</v>
      </c>
      <c r="J110" s="1365">
        <v>6</v>
      </c>
      <c r="K110" s="46" t="s">
        <v>964</v>
      </c>
      <c r="L110" s="1367" t="s">
        <v>63</v>
      </c>
      <c r="M110" s="42" t="s">
        <v>42</v>
      </c>
      <c r="N110" s="48" t="s">
        <v>965</v>
      </c>
      <c r="O110" s="1370" t="s">
        <v>966</v>
      </c>
      <c r="P110" s="1370" t="s">
        <v>967</v>
      </c>
      <c r="Q110" s="1370" t="s">
        <v>968</v>
      </c>
      <c r="R110" s="1371">
        <v>94</v>
      </c>
      <c r="S110" s="1371">
        <v>807</v>
      </c>
      <c r="T110" s="1372" t="s">
        <v>47</v>
      </c>
      <c r="U110" s="1372">
        <v>10</v>
      </c>
      <c r="V110" s="1373">
        <f t="shared" si="3"/>
        <v>60</v>
      </c>
      <c r="W110" s="1372" t="s">
        <v>48</v>
      </c>
      <c r="X110" s="1416" t="s">
        <v>934</v>
      </c>
      <c r="Y110" s="1417" t="s">
        <v>99</v>
      </c>
      <c r="Z110" s="32" t="s">
        <v>51</v>
      </c>
      <c r="AA110" s="1418" t="s">
        <v>71</v>
      </c>
      <c r="AB110" s="1378" t="s">
        <v>969</v>
      </c>
      <c r="AC110" s="1379">
        <v>6417.48</v>
      </c>
      <c r="AD110" s="1413"/>
      <c r="AE110" s="37" t="s">
        <v>85</v>
      </c>
      <c r="AF110" s="38" t="s">
        <v>42</v>
      </c>
      <c r="AG110" s="38" t="s">
        <v>56</v>
      </c>
      <c r="AH110" s="38" t="s">
        <v>56</v>
      </c>
      <c r="AI110" s="1380"/>
      <c r="AJ110" s="1347" t="s">
        <v>970</v>
      </c>
      <c r="AK110" s="1380" t="s">
        <v>149</v>
      </c>
      <c r="AL110" s="1436" t="s">
        <v>971</v>
      </c>
      <c r="AM110" s="1413">
        <v>1</v>
      </c>
      <c r="AN110" s="1413"/>
      <c r="AO110" s="1413"/>
      <c r="AP110" s="1413"/>
      <c r="AQ110" s="1413"/>
      <c r="AR110" s="1413"/>
      <c r="AS110" s="1413"/>
      <c r="AT110" s="1413"/>
      <c r="AU110" s="1413"/>
      <c r="AV110" s="1413"/>
      <c r="AW110" s="1413"/>
      <c r="AX110" s="1413"/>
      <c r="AY110" s="1413"/>
      <c r="AZ110" s="1413"/>
      <c r="BA110" s="1413"/>
      <c r="BB110" s="1413"/>
      <c r="BC110" s="1413"/>
      <c r="BD110" s="1413"/>
      <c r="BE110" s="1413"/>
      <c r="BF110" s="1413"/>
      <c r="BG110" s="1413"/>
      <c r="BH110" s="1413"/>
      <c r="BI110" s="1413"/>
      <c r="BJ110" s="1413"/>
      <c r="BK110" s="1413"/>
      <c r="BL110" s="1413"/>
      <c r="BM110" s="1413"/>
      <c r="BN110" s="1413"/>
      <c r="BO110" s="1413"/>
      <c r="BP110" s="1413"/>
      <c r="BQ110" s="1413"/>
      <c r="BR110" s="1413"/>
      <c r="BS110" s="1413"/>
      <c r="BT110" s="1413"/>
      <c r="BU110" s="1413"/>
      <c r="BV110" s="1413"/>
      <c r="BW110" s="1413"/>
      <c r="BX110" s="1413"/>
      <c r="BY110" s="1413"/>
      <c r="BZ110" s="1413"/>
      <c r="CA110" s="1413"/>
      <c r="CB110" s="1413"/>
      <c r="CC110" s="1413"/>
      <c r="CD110" s="1413"/>
      <c r="CE110" s="1413"/>
      <c r="CF110" s="1413"/>
      <c r="CG110" s="1413"/>
      <c r="CH110" s="1413"/>
      <c r="CI110" s="1413"/>
      <c r="CJ110" s="1413"/>
      <c r="CK110" s="1413"/>
      <c r="CL110" s="1413"/>
      <c r="CM110" s="1413"/>
      <c r="CN110" s="1413"/>
      <c r="CO110" s="1413"/>
      <c r="CP110" s="1413"/>
      <c r="CQ110" s="1413"/>
      <c r="CR110" s="1413"/>
      <c r="CS110" s="1413"/>
      <c r="CT110" s="1413"/>
      <c r="CU110" s="1413"/>
      <c r="CV110" s="1413"/>
      <c r="CW110" s="1413"/>
      <c r="CX110" s="1413"/>
      <c r="CY110" s="1413"/>
      <c r="CZ110" s="1413"/>
      <c r="DA110" s="1413"/>
      <c r="DB110" s="1413"/>
      <c r="DC110" s="1413"/>
      <c r="DD110" s="1413"/>
      <c r="DE110" s="66"/>
      <c r="DF110" s="66"/>
      <c r="DG110" s="66"/>
    </row>
    <row r="111" spans="1:115" s="13" customFormat="1" ht="113.25" customHeight="1" x14ac:dyDescent="0.25">
      <c r="A111" s="14">
        <v>46097</v>
      </c>
      <c r="B111" s="1345" t="s">
        <v>972</v>
      </c>
      <c r="C111" s="1345" t="s">
        <v>973</v>
      </c>
      <c r="D111" s="1345"/>
      <c r="E111" s="1368" t="s">
        <v>39</v>
      </c>
      <c r="F111" s="1430">
        <v>1</v>
      </c>
      <c r="G111" s="1363"/>
      <c r="H111" s="1363"/>
      <c r="I111" s="44" t="s">
        <v>974</v>
      </c>
      <c r="J111" s="1365">
        <v>5</v>
      </c>
      <c r="K111" s="1346" t="s">
        <v>955</v>
      </c>
      <c r="L111" s="1367" t="s">
        <v>63</v>
      </c>
      <c r="M111" s="42" t="s">
        <v>42</v>
      </c>
      <c r="N111" s="48" t="s">
        <v>975</v>
      </c>
      <c r="O111" s="1370" t="s">
        <v>952</v>
      </c>
      <c r="P111" s="1370" t="s">
        <v>976</v>
      </c>
      <c r="Q111" s="1370" t="s">
        <v>977</v>
      </c>
      <c r="R111" s="1446">
        <v>139</v>
      </c>
      <c r="S111" s="1446">
        <v>1438</v>
      </c>
      <c r="T111" s="1372" t="s">
        <v>180</v>
      </c>
      <c r="U111" s="1372">
        <v>17</v>
      </c>
      <c r="V111" s="1373">
        <f t="shared" si="3"/>
        <v>85</v>
      </c>
      <c r="W111" s="1372" t="s">
        <v>48</v>
      </c>
      <c r="X111" s="1416" t="s">
        <v>978</v>
      </c>
      <c r="Y111" s="1417" t="s">
        <v>82</v>
      </c>
      <c r="Z111" s="32"/>
      <c r="AA111" s="1418" t="s">
        <v>979</v>
      </c>
      <c r="AB111" s="1378" t="s">
        <v>586</v>
      </c>
      <c r="AC111" s="1379">
        <v>12275</v>
      </c>
      <c r="AD111" s="1413"/>
      <c r="AE111" s="67" t="s">
        <v>73</v>
      </c>
      <c r="AF111" s="38" t="s">
        <v>55</v>
      </c>
      <c r="AG111" s="38" t="s">
        <v>56</v>
      </c>
      <c r="AH111" s="38" t="s">
        <v>86</v>
      </c>
      <c r="AI111" s="1380"/>
      <c r="AJ111" s="1380"/>
      <c r="AK111" s="1380"/>
      <c r="AL111" s="78" t="s">
        <v>980</v>
      </c>
      <c r="AM111" s="1413">
        <v>1</v>
      </c>
      <c r="AN111" s="1413"/>
      <c r="AO111" s="1413"/>
      <c r="AP111" s="1413"/>
      <c r="AQ111" s="1413"/>
      <c r="AR111" s="1413"/>
      <c r="AS111" s="1413"/>
      <c r="AT111" s="1413"/>
      <c r="AU111" s="1413"/>
      <c r="AV111" s="1413"/>
      <c r="AW111" s="1413"/>
      <c r="AX111" s="1413"/>
      <c r="AY111" s="1413"/>
      <c r="AZ111" s="1413"/>
      <c r="BA111" s="1413"/>
      <c r="BB111" s="1413"/>
      <c r="BC111" s="1413"/>
      <c r="BD111" s="1413"/>
      <c r="BE111" s="1413"/>
      <c r="BF111" s="1413"/>
      <c r="BG111" s="1413"/>
      <c r="BH111" s="1413"/>
      <c r="BI111" s="1413"/>
      <c r="BJ111" s="1413"/>
      <c r="BK111" s="1413"/>
      <c r="BL111" s="1413"/>
      <c r="BM111" s="1413"/>
      <c r="BN111" s="1413"/>
      <c r="BO111" s="1413"/>
      <c r="BP111" s="1413"/>
      <c r="BQ111" s="1413"/>
      <c r="BR111" s="1413"/>
      <c r="BS111" s="1413"/>
      <c r="BT111" s="1413"/>
      <c r="BU111" s="1413"/>
      <c r="BV111" s="1413"/>
      <c r="BW111" s="1413"/>
      <c r="BX111" s="1413"/>
      <c r="BY111" s="1413"/>
      <c r="BZ111" s="1413"/>
      <c r="CA111" s="1413"/>
      <c r="CB111" s="1413"/>
      <c r="CC111" s="1413"/>
      <c r="CD111" s="1413"/>
      <c r="CE111" s="1413"/>
      <c r="CF111" s="1413"/>
      <c r="CG111" s="1413"/>
      <c r="CH111" s="1413"/>
      <c r="CI111" s="1413"/>
      <c r="CJ111" s="1413"/>
      <c r="CK111" s="1413"/>
      <c r="CL111" s="1413"/>
      <c r="CM111" s="1413"/>
      <c r="CN111" s="1413"/>
      <c r="CO111" s="1413"/>
      <c r="CP111" s="1413"/>
      <c r="CQ111" s="1413"/>
      <c r="CR111" s="1413"/>
      <c r="CS111" s="1413"/>
      <c r="CT111" s="1413"/>
      <c r="CU111" s="1413"/>
      <c r="CV111" s="1413"/>
      <c r="CW111" s="1413"/>
      <c r="CX111" s="1413"/>
      <c r="CY111" s="1413"/>
      <c r="CZ111" s="1413"/>
      <c r="DA111" s="1413"/>
      <c r="DB111" s="1413"/>
      <c r="DC111" s="1413"/>
      <c r="DD111" s="1413"/>
      <c r="DE111" s="66"/>
      <c r="DF111" s="66"/>
      <c r="DG111" s="66"/>
    </row>
    <row r="112" spans="1:115" s="13" customFormat="1" ht="113.25" customHeight="1" x14ac:dyDescent="0.25">
      <c r="A112" s="14">
        <v>46097</v>
      </c>
      <c r="B112" s="1345" t="s">
        <v>981</v>
      </c>
      <c r="C112" s="1345" t="s">
        <v>982</v>
      </c>
      <c r="D112" s="1345"/>
      <c r="E112" s="1368" t="s">
        <v>39</v>
      </c>
      <c r="F112" s="1405">
        <v>1</v>
      </c>
      <c r="G112" s="1363"/>
      <c r="H112" s="1363"/>
      <c r="I112" s="69" t="s">
        <v>983</v>
      </c>
      <c r="J112" s="1365">
        <v>5</v>
      </c>
      <c r="K112" s="46" t="s">
        <v>964</v>
      </c>
      <c r="L112" s="1367" t="s">
        <v>63</v>
      </c>
      <c r="M112" s="42" t="s">
        <v>42</v>
      </c>
      <c r="N112" s="48" t="s">
        <v>984</v>
      </c>
      <c r="O112" s="1370" t="s">
        <v>968</v>
      </c>
      <c r="P112" s="1370" t="s">
        <v>985</v>
      </c>
      <c r="Q112" s="1370" t="s">
        <v>986</v>
      </c>
      <c r="R112" s="1371">
        <v>30</v>
      </c>
      <c r="S112" s="1371">
        <v>688</v>
      </c>
      <c r="T112" s="1372" t="s">
        <v>47</v>
      </c>
      <c r="U112" s="1372">
        <v>88</v>
      </c>
      <c r="V112" s="1373">
        <f t="shared" si="3"/>
        <v>440</v>
      </c>
      <c r="W112" s="1372" t="s">
        <v>48</v>
      </c>
      <c r="X112" s="1416" t="s">
        <v>934</v>
      </c>
      <c r="Y112" s="1417" t="s">
        <v>99</v>
      </c>
      <c r="Z112" s="32"/>
      <c r="AA112" s="1418" t="s">
        <v>612</v>
      </c>
      <c r="AB112" s="1378" t="s">
        <v>987</v>
      </c>
      <c r="AC112" s="1379">
        <v>8606.5</v>
      </c>
      <c r="AD112" s="1413"/>
      <c r="AE112" s="37" t="s">
        <v>85</v>
      </c>
      <c r="AF112" s="1380" t="s">
        <v>55</v>
      </c>
      <c r="AG112" s="1380" t="s">
        <v>56</v>
      </c>
      <c r="AH112" s="1380" t="s">
        <v>56</v>
      </c>
      <c r="AI112" s="1380"/>
      <c r="AJ112" s="1380"/>
      <c r="AK112" s="1380"/>
      <c r="AL112" s="1436" t="s">
        <v>988</v>
      </c>
      <c r="AM112" s="1413">
        <v>1</v>
      </c>
      <c r="AN112" s="1413"/>
      <c r="AO112" s="1413"/>
      <c r="AP112" s="1413"/>
      <c r="AQ112" s="1413"/>
      <c r="AR112" s="1413"/>
      <c r="AS112" s="1413"/>
      <c r="AT112" s="1413"/>
      <c r="AU112" s="1413"/>
      <c r="AV112" s="1413"/>
      <c r="AW112" s="1413"/>
      <c r="AX112" s="1413"/>
      <c r="AY112" s="1413"/>
      <c r="AZ112" s="1413"/>
      <c r="BA112" s="1413"/>
      <c r="BB112" s="1413"/>
      <c r="BC112" s="1413"/>
      <c r="BD112" s="1413"/>
      <c r="BE112" s="1413"/>
      <c r="BF112" s="1413"/>
      <c r="BG112" s="1413"/>
      <c r="BH112" s="1413"/>
      <c r="BI112" s="1413"/>
      <c r="BJ112" s="1413"/>
      <c r="BK112" s="1413"/>
      <c r="BL112" s="1413"/>
      <c r="BM112" s="1413"/>
      <c r="BN112" s="1413"/>
      <c r="BO112" s="1413"/>
      <c r="BP112" s="1413"/>
      <c r="BQ112" s="1413"/>
      <c r="BR112" s="1413"/>
      <c r="BS112" s="1413"/>
      <c r="BT112" s="1413"/>
      <c r="BU112" s="1413"/>
      <c r="BV112" s="1413"/>
      <c r="BW112" s="1413"/>
      <c r="BX112" s="1413"/>
      <c r="BY112" s="1413"/>
      <c r="BZ112" s="1413"/>
      <c r="CA112" s="1413"/>
      <c r="CB112" s="1413"/>
      <c r="CC112" s="1413"/>
      <c r="CD112" s="1413"/>
      <c r="CE112" s="1413"/>
      <c r="CF112" s="1413"/>
      <c r="CG112" s="1413"/>
      <c r="CH112" s="1413"/>
      <c r="CI112" s="1413"/>
      <c r="CJ112" s="1413"/>
      <c r="CK112" s="1413"/>
      <c r="CL112" s="1413"/>
      <c r="CM112" s="1413"/>
      <c r="CN112" s="1413"/>
      <c r="CO112" s="1413"/>
      <c r="CP112" s="1413"/>
      <c r="CQ112" s="1413"/>
      <c r="CR112" s="1413"/>
      <c r="CS112" s="1413"/>
      <c r="CT112" s="1413"/>
      <c r="CU112" s="1413"/>
      <c r="CV112" s="1413"/>
      <c r="CW112" s="1413"/>
      <c r="CX112" s="1413"/>
      <c r="CY112" s="1413"/>
      <c r="CZ112" s="1413"/>
      <c r="DA112" s="1413"/>
      <c r="DB112" s="1413"/>
      <c r="DC112" s="1413"/>
      <c r="DD112" s="1413"/>
      <c r="DE112" s="66"/>
      <c r="DF112" s="66"/>
      <c r="DG112" s="66"/>
    </row>
    <row r="113" spans="1:111" s="13" customFormat="1" ht="113.25" customHeight="1" x14ac:dyDescent="0.25">
      <c r="A113" s="14">
        <v>46097</v>
      </c>
      <c r="B113" s="41" t="s">
        <v>989</v>
      </c>
      <c r="C113" s="1345" t="s">
        <v>990</v>
      </c>
      <c r="D113" s="41"/>
      <c r="E113" s="42" t="s">
        <v>39</v>
      </c>
      <c r="F113" s="1405">
        <v>1</v>
      </c>
      <c r="G113" s="43"/>
      <c r="H113" s="43"/>
      <c r="I113" s="72" t="s">
        <v>991</v>
      </c>
      <c r="J113" s="45">
        <v>500</v>
      </c>
      <c r="K113" s="46" t="s">
        <v>992</v>
      </c>
      <c r="L113" s="47" t="s">
        <v>63</v>
      </c>
      <c r="M113" s="42" t="s">
        <v>55</v>
      </c>
      <c r="N113" s="77" t="s">
        <v>240</v>
      </c>
      <c r="O113" s="49"/>
      <c r="P113" s="194" t="s">
        <v>993</v>
      </c>
      <c r="Q113" s="49" t="s">
        <v>966</v>
      </c>
      <c r="R113" s="50">
        <v>6</v>
      </c>
      <c r="S113" s="50">
        <v>7</v>
      </c>
      <c r="T113" s="51" t="s">
        <v>96</v>
      </c>
      <c r="U113" s="51">
        <v>0</v>
      </c>
      <c r="V113" s="52">
        <f t="shared" si="3"/>
        <v>0</v>
      </c>
      <c r="W113" s="51" t="s">
        <v>221</v>
      </c>
      <c r="X113" s="30" t="s">
        <v>994</v>
      </c>
      <c r="Y113" s="64" t="s">
        <v>144</v>
      </c>
      <c r="Z113" s="32" t="s">
        <v>51</v>
      </c>
      <c r="AA113" s="33" t="s">
        <v>774</v>
      </c>
      <c r="AB113" s="65" t="s">
        <v>995</v>
      </c>
      <c r="AC113" s="35">
        <v>2575</v>
      </c>
      <c r="AD113" s="66"/>
      <c r="AE113" s="67" t="s">
        <v>996</v>
      </c>
      <c r="AF113" s="38" t="s">
        <v>55</v>
      </c>
      <c r="AG113" s="38" t="s">
        <v>56</v>
      </c>
      <c r="AH113" s="38" t="s">
        <v>86</v>
      </c>
      <c r="AI113" s="38"/>
      <c r="AJ113" s="38" t="s">
        <v>56</v>
      </c>
      <c r="AK113" s="38" t="s">
        <v>997</v>
      </c>
      <c r="AL113" s="68"/>
      <c r="AM113" s="66">
        <v>270</v>
      </c>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66"/>
      <c r="BL113" s="66"/>
      <c r="BM113" s="66"/>
      <c r="BN113" s="66"/>
      <c r="BO113" s="66"/>
      <c r="BP113" s="66"/>
      <c r="BQ113" s="66"/>
      <c r="BR113" s="66"/>
      <c r="BS113" s="66"/>
      <c r="BT113" s="66"/>
      <c r="BU113" s="66"/>
      <c r="BV113" s="66"/>
      <c r="BW113" s="66"/>
      <c r="BX113" s="66"/>
      <c r="BY113" s="66"/>
      <c r="BZ113" s="66"/>
      <c r="CA113" s="66"/>
      <c r="CB113" s="66"/>
      <c r="CC113" s="66"/>
      <c r="CD113" s="66"/>
      <c r="CE113" s="66"/>
      <c r="CF113" s="66"/>
      <c r="CG113" s="66"/>
      <c r="CH113" s="66"/>
      <c r="CI113" s="66"/>
      <c r="CJ113" s="66"/>
      <c r="CK113" s="66"/>
      <c r="CL113" s="66"/>
      <c r="CM113" s="66"/>
      <c r="CN113" s="66"/>
      <c r="CO113" s="66"/>
      <c r="CP113" s="66"/>
      <c r="CQ113" s="66"/>
      <c r="CR113" s="66"/>
      <c r="CS113" s="66"/>
      <c r="CT113" s="66"/>
      <c r="CU113" s="66"/>
      <c r="CV113" s="66"/>
      <c r="CW113" s="66"/>
      <c r="CX113" s="66"/>
      <c r="CY113" s="66"/>
      <c r="CZ113" s="66"/>
      <c r="DA113" s="66"/>
      <c r="DB113" s="66"/>
      <c r="DC113" s="66"/>
      <c r="DD113" s="66"/>
      <c r="DE113" s="66"/>
      <c r="DF113" s="66"/>
      <c r="DG113" s="66"/>
    </row>
    <row r="114" spans="1:111" s="13" customFormat="1" ht="113.25" customHeight="1" x14ac:dyDescent="0.25">
      <c r="A114" s="14">
        <v>46094</v>
      </c>
      <c r="B114" s="1345" t="s">
        <v>998</v>
      </c>
      <c r="C114" s="41" t="s">
        <v>999</v>
      </c>
      <c r="D114" s="1345"/>
      <c r="E114" s="1368" t="s">
        <v>39</v>
      </c>
      <c r="F114" s="1363"/>
      <c r="G114" s="1363"/>
      <c r="H114" s="1405">
        <v>1</v>
      </c>
      <c r="I114" s="44" t="s">
        <v>1000</v>
      </c>
      <c r="J114" s="1365">
        <v>25</v>
      </c>
      <c r="K114" s="46" t="s">
        <v>1001</v>
      </c>
      <c r="L114" s="50" t="s">
        <v>63</v>
      </c>
      <c r="M114" s="42" t="s">
        <v>42</v>
      </c>
      <c r="N114" s="48" t="s">
        <v>1002</v>
      </c>
      <c r="O114" s="1370" t="s">
        <v>1003</v>
      </c>
      <c r="P114" s="1447" t="s">
        <v>986</v>
      </c>
      <c r="Q114" s="1447" t="s">
        <v>888</v>
      </c>
      <c r="R114" s="1446">
        <v>220</v>
      </c>
      <c r="S114" s="1446">
        <v>1304</v>
      </c>
      <c r="T114" s="1372" t="s">
        <v>933</v>
      </c>
      <c r="U114" s="1372">
        <v>19</v>
      </c>
      <c r="V114" s="1373">
        <f t="shared" si="3"/>
        <v>475</v>
      </c>
      <c r="W114" s="1372" t="s">
        <v>48</v>
      </c>
      <c r="X114" s="1416" t="s">
        <v>1004</v>
      </c>
      <c r="Y114" s="1417" t="s">
        <v>82</v>
      </c>
      <c r="Z114" s="32"/>
      <c r="AA114" s="1418" t="s">
        <v>1005</v>
      </c>
      <c r="AB114" s="1378" t="s">
        <v>1006</v>
      </c>
      <c r="AC114" s="1379">
        <v>18668.75</v>
      </c>
      <c r="AD114" s="1413"/>
      <c r="AE114" s="37" t="s">
        <v>85</v>
      </c>
      <c r="AF114" s="1380"/>
      <c r="AG114" s="38" t="s">
        <v>56</v>
      </c>
      <c r="AH114" s="38" t="s">
        <v>56</v>
      </c>
      <c r="AI114" s="1380"/>
      <c r="AJ114" s="1380"/>
      <c r="AK114" s="1380"/>
      <c r="AL114" s="1419"/>
      <c r="AM114" s="1413">
        <v>1</v>
      </c>
      <c r="AN114" s="1413"/>
      <c r="AO114" s="1413"/>
      <c r="AP114" s="1413"/>
      <c r="AQ114" s="1413"/>
      <c r="AR114" s="1413"/>
      <c r="AS114" s="1413"/>
      <c r="AT114" s="1413"/>
      <c r="AU114" s="1413"/>
      <c r="AV114" s="1413"/>
      <c r="AW114" s="1413"/>
      <c r="AX114" s="1413"/>
      <c r="AY114" s="1413"/>
      <c r="AZ114" s="1413"/>
      <c r="BA114" s="1413"/>
      <c r="BB114" s="1413"/>
      <c r="BC114" s="1413"/>
      <c r="BD114" s="1413"/>
      <c r="BE114" s="1413"/>
      <c r="BF114" s="1413"/>
      <c r="BG114" s="1413"/>
      <c r="BH114" s="1413"/>
      <c r="BI114" s="1413"/>
      <c r="BJ114" s="1413"/>
      <c r="BK114" s="1413"/>
      <c r="BL114" s="1413"/>
      <c r="BM114" s="1413"/>
      <c r="BN114" s="1413"/>
      <c r="BO114" s="1413"/>
      <c r="BP114" s="1413"/>
      <c r="BQ114" s="1413"/>
      <c r="BR114" s="1413"/>
      <c r="BS114" s="1413"/>
      <c r="BT114" s="1413"/>
      <c r="BU114" s="1413"/>
      <c r="BV114" s="1413"/>
      <c r="BW114" s="1413"/>
      <c r="BX114" s="1413"/>
      <c r="BY114" s="1413"/>
      <c r="BZ114" s="1413"/>
      <c r="CA114" s="1413"/>
      <c r="CB114" s="1413"/>
      <c r="CC114" s="1413"/>
      <c r="CD114" s="1413"/>
      <c r="CE114" s="1413"/>
      <c r="CF114" s="1413"/>
      <c r="CG114" s="1413"/>
      <c r="CH114" s="1413"/>
      <c r="CI114" s="1413"/>
      <c r="CJ114" s="1413"/>
      <c r="CK114" s="1413"/>
      <c r="CL114" s="1413"/>
      <c r="CM114" s="1413"/>
      <c r="CN114" s="1413"/>
      <c r="CO114" s="1413"/>
      <c r="CP114" s="1413"/>
      <c r="CQ114" s="1413"/>
      <c r="CR114" s="1413"/>
      <c r="CS114" s="1413"/>
      <c r="CT114" s="1413"/>
      <c r="CU114" s="1413"/>
      <c r="CV114" s="1413"/>
      <c r="CW114" s="1413"/>
      <c r="CX114" s="1413"/>
      <c r="CY114" s="1413"/>
      <c r="CZ114" s="1413"/>
      <c r="DA114" s="1413"/>
      <c r="DB114" s="1413"/>
      <c r="DC114" s="66"/>
      <c r="DD114" s="66"/>
      <c r="DE114" s="66"/>
      <c r="DF114" s="66"/>
      <c r="DG114" s="66"/>
    </row>
    <row r="115" spans="1:111" s="13" customFormat="1" ht="113.25" customHeight="1" x14ac:dyDescent="0.25">
      <c r="A115" s="14">
        <v>46094</v>
      </c>
      <c r="B115" s="41" t="s">
        <v>1007</v>
      </c>
      <c r="C115" s="1345" t="s">
        <v>1008</v>
      </c>
      <c r="D115" s="41" t="s">
        <v>1009</v>
      </c>
      <c r="E115" s="42" t="s">
        <v>39</v>
      </c>
      <c r="F115" s="43"/>
      <c r="G115" s="43"/>
      <c r="H115" s="19">
        <v>1</v>
      </c>
      <c r="I115" s="20" t="s">
        <v>1010</v>
      </c>
      <c r="J115" s="45">
        <v>10</v>
      </c>
      <c r="K115" s="1346" t="s">
        <v>1011</v>
      </c>
      <c r="L115" s="47" t="s">
        <v>63</v>
      </c>
      <c r="M115" s="47" t="s">
        <v>42</v>
      </c>
      <c r="N115" s="48" t="s">
        <v>1012</v>
      </c>
      <c r="O115" s="49" t="s">
        <v>1013</v>
      </c>
      <c r="P115" s="49"/>
      <c r="Q115" s="49" t="s">
        <v>1014</v>
      </c>
      <c r="R115" s="50">
        <v>1</v>
      </c>
      <c r="S115" s="50">
        <v>5</v>
      </c>
      <c r="T115" s="51" t="s">
        <v>393</v>
      </c>
      <c r="U115" s="51">
        <v>5</v>
      </c>
      <c r="V115" s="52">
        <f t="shared" si="3"/>
        <v>50</v>
      </c>
      <c r="W115" s="51" t="s">
        <v>48</v>
      </c>
      <c r="X115" s="30" t="s">
        <v>482</v>
      </c>
      <c r="Y115" s="31" t="s">
        <v>50</v>
      </c>
      <c r="Z115" s="32" t="s">
        <v>483</v>
      </c>
      <c r="AA115" s="33" t="s">
        <v>1015</v>
      </c>
      <c r="AB115" s="34" t="s">
        <v>1016</v>
      </c>
      <c r="AC115" s="35">
        <f>2327.5*J115/70</f>
        <v>332.5</v>
      </c>
      <c r="AD115" s="36"/>
      <c r="AE115" s="67" t="s">
        <v>73</v>
      </c>
      <c r="AF115" s="38" t="s">
        <v>354</v>
      </c>
      <c r="AG115" s="38" t="s">
        <v>56</v>
      </c>
      <c r="AH115" s="38" t="s">
        <v>56</v>
      </c>
      <c r="AI115" s="38"/>
      <c r="AJ115" s="38" t="s">
        <v>56</v>
      </c>
      <c r="AK115" s="38" t="s">
        <v>1017</v>
      </c>
      <c r="AL115" s="38"/>
      <c r="AM115" s="36">
        <v>5</v>
      </c>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c r="BK115" s="36"/>
      <c r="BL115" s="36"/>
      <c r="BM115" s="36"/>
      <c r="BN115" s="36"/>
      <c r="BO115" s="36"/>
      <c r="BP115" s="36"/>
      <c r="BQ115" s="36"/>
      <c r="BR115" s="36"/>
      <c r="BS115" s="36"/>
      <c r="BT115" s="36"/>
      <c r="BU115" s="36"/>
      <c r="BV115" s="36"/>
      <c r="BW115" s="36"/>
      <c r="BX115" s="36"/>
      <c r="BY115" s="36"/>
      <c r="BZ115" s="36"/>
      <c r="CA115" s="36"/>
      <c r="CB115" s="36"/>
      <c r="CC115" s="36"/>
      <c r="CD115" s="36"/>
      <c r="CE115" s="36"/>
      <c r="CF115" s="36"/>
      <c r="CG115" s="36"/>
      <c r="CH115" s="36"/>
      <c r="CI115" s="36"/>
      <c r="CJ115" s="36"/>
      <c r="CK115" s="36"/>
      <c r="CL115" s="36"/>
      <c r="CM115" s="36"/>
      <c r="CN115" s="36"/>
      <c r="CO115" s="36"/>
      <c r="CP115" s="36"/>
      <c r="CQ115" s="36"/>
      <c r="CR115" s="36"/>
      <c r="CS115" s="36"/>
      <c r="CT115" s="36"/>
      <c r="CU115" s="36"/>
      <c r="CV115" s="36"/>
      <c r="CW115" s="36"/>
      <c r="CX115" s="36"/>
      <c r="CY115" s="36"/>
      <c r="CZ115" s="36"/>
      <c r="DA115" s="36"/>
      <c r="DB115" s="36"/>
      <c r="DC115" s="36"/>
      <c r="DD115" s="36"/>
      <c r="DE115" s="36"/>
      <c r="DF115" s="36"/>
      <c r="DG115" s="36"/>
    </row>
    <row r="116" spans="1:111" s="13" customFormat="1" ht="113.25" customHeight="1" x14ac:dyDescent="0.25">
      <c r="A116" s="14">
        <v>46094</v>
      </c>
      <c r="B116" s="1345" t="s">
        <v>1018</v>
      </c>
      <c r="C116" s="1345" t="s">
        <v>1019</v>
      </c>
      <c r="D116" s="1345"/>
      <c r="E116" s="1368" t="s">
        <v>195</v>
      </c>
      <c r="F116" s="1363"/>
      <c r="G116" s="1363"/>
      <c r="H116" s="1363"/>
      <c r="I116" s="44" t="s">
        <v>1020</v>
      </c>
      <c r="J116" s="1365">
        <v>288</v>
      </c>
      <c r="K116" s="1346" t="s">
        <v>1001</v>
      </c>
      <c r="L116" s="1367" t="s">
        <v>42</v>
      </c>
      <c r="M116" s="1368" t="s">
        <v>55</v>
      </c>
      <c r="N116" s="48" t="s">
        <v>1021</v>
      </c>
      <c r="O116" s="1370"/>
      <c r="P116" s="1370"/>
      <c r="Q116" s="1370"/>
      <c r="R116" s="1371">
        <v>0</v>
      </c>
      <c r="S116" s="1371">
        <v>0</v>
      </c>
      <c r="T116" s="1372">
        <v>0</v>
      </c>
      <c r="U116" s="1372">
        <v>1</v>
      </c>
      <c r="V116" s="1373">
        <f t="shared" si="3"/>
        <v>288</v>
      </c>
      <c r="W116" s="1372" t="s">
        <v>48</v>
      </c>
      <c r="X116" s="1416" t="s">
        <v>1022</v>
      </c>
      <c r="Y116" s="1375" t="s">
        <v>99</v>
      </c>
      <c r="Z116" s="32" t="s">
        <v>51</v>
      </c>
      <c r="AA116" s="1418" t="s">
        <v>71</v>
      </c>
      <c r="AB116" s="1378" t="s">
        <v>1023</v>
      </c>
      <c r="AC116" s="1379">
        <v>3340.8</v>
      </c>
      <c r="AD116" s="1413"/>
      <c r="AE116" s="67" t="s">
        <v>996</v>
      </c>
      <c r="AF116" s="38" t="s">
        <v>55</v>
      </c>
      <c r="AG116" s="38" t="s">
        <v>56</v>
      </c>
      <c r="AH116" s="38" t="s">
        <v>56</v>
      </c>
      <c r="AI116" s="1380"/>
      <c r="AJ116" s="1380"/>
      <c r="AK116" s="1380"/>
      <c r="AL116" s="1419"/>
      <c r="AM116" s="1413"/>
      <c r="AN116" s="1413"/>
      <c r="AO116" s="1413"/>
      <c r="AP116" s="1413"/>
      <c r="AQ116" s="1413"/>
      <c r="AR116" s="1413"/>
      <c r="AS116" s="1413"/>
      <c r="AT116" s="1413"/>
      <c r="AU116" s="1413"/>
      <c r="AV116" s="1413"/>
      <c r="AW116" s="1413"/>
      <c r="AX116" s="1413"/>
      <c r="AY116" s="1413"/>
      <c r="AZ116" s="1413"/>
      <c r="BA116" s="1413"/>
      <c r="BB116" s="1413"/>
      <c r="BC116" s="1413"/>
      <c r="BD116" s="1413"/>
      <c r="BE116" s="1413"/>
      <c r="BF116" s="1413"/>
      <c r="BG116" s="1413"/>
      <c r="BH116" s="1413"/>
      <c r="BI116" s="1413"/>
      <c r="BJ116" s="1413"/>
      <c r="BK116" s="1413"/>
      <c r="BL116" s="1413"/>
      <c r="BM116" s="1413"/>
      <c r="BN116" s="1413"/>
      <c r="BO116" s="1413"/>
      <c r="BP116" s="1413"/>
      <c r="BQ116" s="1413"/>
      <c r="BR116" s="1413"/>
      <c r="BS116" s="1413"/>
      <c r="BT116" s="1413"/>
      <c r="BU116" s="1413"/>
      <c r="BV116" s="1413"/>
      <c r="BW116" s="1413"/>
      <c r="BX116" s="1413"/>
      <c r="BY116" s="1413"/>
      <c r="BZ116" s="1413"/>
      <c r="CA116" s="1413"/>
      <c r="CB116" s="1413"/>
      <c r="CC116" s="1413"/>
      <c r="CD116" s="1413"/>
      <c r="CE116" s="1413"/>
      <c r="CF116" s="1413"/>
      <c r="CG116" s="1413"/>
      <c r="CH116" s="1413"/>
      <c r="CI116" s="1413"/>
      <c r="CJ116" s="1413"/>
      <c r="CK116" s="1413"/>
      <c r="CL116" s="1413"/>
      <c r="CM116" s="1413"/>
      <c r="CN116" s="1413"/>
      <c r="CO116" s="1413"/>
      <c r="CP116" s="1413"/>
      <c r="CQ116" s="1413"/>
      <c r="CR116" s="1413"/>
      <c r="CS116" s="1413"/>
      <c r="CT116" s="1413"/>
      <c r="CU116" s="1413"/>
      <c r="CV116" s="1413"/>
      <c r="CW116" s="1413"/>
      <c r="CX116" s="1413"/>
      <c r="CY116" s="1413"/>
      <c r="CZ116" s="1413"/>
      <c r="DA116" s="1413"/>
      <c r="DB116" s="1413"/>
      <c r="DC116" s="1413"/>
      <c r="DD116" s="1413"/>
      <c r="DE116" s="66"/>
      <c r="DF116" s="66"/>
      <c r="DG116" s="66"/>
    </row>
    <row r="117" spans="1:111" s="13" customFormat="1" ht="113.25" customHeight="1" x14ac:dyDescent="0.25">
      <c r="A117" s="14">
        <v>46094</v>
      </c>
      <c r="B117" s="1345" t="s">
        <v>1024</v>
      </c>
      <c r="C117" s="1345" t="s">
        <v>1025</v>
      </c>
      <c r="D117" s="1345"/>
      <c r="E117" s="1368" t="s">
        <v>39</v>
      </c>
      <c r="F117" s="1405">
        <v>2</v>
      </c>
      <c r="G117" s="1363"/>
      <c r="H117" s="1363"/>
      <c r="I117" s="44" t="s">
        <v>1026</v>
      </c>
      <c r="J117" s="1365">
        <v>10</v>
      </c>
      <c r="K117" s="1346" t="s">
        <v>1027</v>
      </c>
      <c r="L117" s="1367" t="s">
        <v>63</v>
      </c>
      <c r="M117" s="42" t="s">
        <v>42</v>
      </c>
      <c r="N117" s="48" t="s">
        <v>1028</v>
      </c>
      <c r="O117" s="1370" t="s">
        <v>1029</v>
      </c>
      <c r="P117" s="1370" t="s">
        <v>1030</v>
      </c>
      <c r="Q117" s="1370" t="s">
        <v>889</v>
      </c>
      <c r="R117" s="1446">
        <v>166</v>
      </c>
      <c r="S117" s="1371">
        <v>380</v>
      </c>
      <c r="T117" s="1372" t="s">
        <v>180</v>
      </c>
      <c r="U117" s="1372">
        <v>12</v>
      </c>
      <c r="V117" s="1373">
        <f t="shared" si="3"/>
        <v>120</v>
      </c>
      <c r="W117" s="1372" t="s">
        <v>142</v>
      </c>
      <c r="X117" s="1416" t="s">
        <v>1031</v>
      </c>
      <c r="Y117" s="1417" t="s">
        <v>82</v>
      </c>
      <c r="Z117" s="32"/>
      <c r="AA117" s="1418" t="s">
        <v>585</v>
      </c>
      <c r="AB117" s="1378" t="s">
        <v>1032</v>
      </c>
      <c r="AC117" s="1379">
        <v>8820</v>
      </c>
      <c r="AD117" s="1413"/>
      <c r="AE117" s="37" t="s">
        <v>85</v>
      </c>
      <c r="AF117" s="1380" t="s">
        <v>55</v>
      </c>
      <c r="AG117" s="1380" t="s">
        <v>56</v>
      </c>
      <c r="AH117" s="1380" t="s">
        <v>56</v>
      </c>
      <c r="AI117" s="1380"/>
      <c r="AJ117" s="1380" t="s">
        <v>56</v>
      </c>
      <c r="AK117" s="1380" t="s">
        <v>149</v>
      </c>
      <c r="AL117" s="1419"/>
      <c r="AM117" s="1413">
        <v>2</v>
      </c>
      <c r="AN117" s="1413"/>
      <c r="AO117" s="1413"/>
      <c r="AP117" s="1413"/>
      <c r="AQ117" s="1413"/>
      <c r="AR117" s="1413"/>
      <c r="AS117" s="1413"/>
      <c r="AT117" s="1413"/>
      <c r="AU117" s="1413"/>
      <c r="AV117" s="1413"/>
      <c r="AW117" s="1413"/>
      <c r="AX117" s="1413"/>
      <c r="AY117" s="1413"/>
      <c r="AZ117" s="1413"/>
      <c r="BA117" s="1413"/>
      <c r="BB117" s="1413"/>
      <c r="BC117" s="1413"/>
      <c r="BD117" s="1413"/>
      <c r="BE117" s="1413"/>
      <c r="BF117" s="1413"/>
      <c r="BG117" s="1413"/>
      <c r="BH117" s="1413"/>
      <c r="BI117" s="1413"/>
      <c r="BJ117" s="1413"/>
      <c r="BK117" s="1413"/>
      <c r="BL117" s="1413"/>
      <c r="BM117" s="1413"/>
      <c r="BN117" s="1413"/>
      <c r="BO117" s="1413"/>
      <c r="BP117" s="1413"/>
      <c r="BQ117" s="1413"/>
      <c r="BR117" s="1413"/>
      <c r="BS117" s="1413"/>
      <c r="BT117" s="1413"/>
      <c r="BU117" s="1413"/>
      <c r="BV117" s="1413"/>
      <c r="BW117" s="1413"/>
      <c r="BX117" s="1413"/>
      <c r="BY117" s="1413"/>
      <c r="BZ117" s="1413"/>
      <c r="CA117" s="1413"/>
      <c r="CB117" s="1413"/>
      <c r="CC117" s="1413"/>
      <c r="CD117" s="1413"/>
      <c r="CE117" s="1413"/>
      <c r="CF117" s="1413"/>
      <c r="CG117" s="1413"/>
      <c r="CH117" s="1413"/>
      <c r="CI117" s="1413"/>
      <c r="CJ117" s="1413"/>
      <c r="CK117" s="1413"/>
      <c r="CL117" s="1413"/>
      <c r="CM117" s="1413"/>
      <c r="CN117" s="1413"/>
      <c r="CO117" s="1413"/>
      <c r="CP117" s="1413"/>
      <c r="CQ117" s="1413"/>
      <c r="CR117" s="1413"/>
      <c r="CS117" s="1413"/>
      <c r="CT117" s="1413"/>
      <c r="CU117" s="1413"/>
      <c r="CV117" s="1413"/>
      <c r="CW117" s="1413"/>
      <c r="CX117" s="1413"/>
      <c r="CY117" s="1413"/>
      <c r="CZ117" s="1413"/>
      <c r="DA117" s="1413"/>
      <c r="DB117" s="1413"/>
      <c r="DC117" s="1413"/>
      <c r="DD117" s="1413"/>
      <c r="DE117" s="66"/>
      <c r="DF117" s="66"/>
      <c r="DG117" s="66"/>
    </row>
    <row r="118" spans="1:111" s="13" customFormat="1" ht="113.25" customHeight="1" x14ac:dyDescent="0.25">
      <c r="A118" s="14">
        <v>46094</v>
      </c>
      <c r="B118" s="1345" t="s">
        <v>1033</v>
      </c>
      <c r="C118" s="1345" t="s">
        <v>1034</v>
      </c>
      <c r="D118" s="1345" t="s">
        <v>1035</v>
      </c>
      <c r="E118" s="1368" t="s">
        <v>39</v>
      </c>
      <c r="F118" s="1405">
        <v>1</v>
      </c>
      <c r="G118" s="1363"/>
      <c r="H118" s="1363"/>
      <c r="I118" s="44" t="s">
        <v>1036</v>
      </c>
      <c r="J118" s="1365">
        <v>50</v>
      </c>
      <c r="K118" s="1346" t="s">
        <v>1001</v>
      </c>
      <c r="L118" s="1367" t="s">
        <v>63</v>
      </c>
      <c r="M118" s="1368" t="s">
        <v>42</v>
      </c>
      <c r="N118" s="48" t="s">
        <v>1037</v>
      </c>
      <c r="O118" s="1370" t="s">
        <v>993</v>
      </c>
      <c r="P118" s="1370" t="s">
        <v>1038</v>
      </c>
      <c r="Q118" s="1370" t="s">
        <v>806</v>
      </c>
      <c r="R118" s="1371">
        <v>5</v>
      </c>
      <c r="S118" s="1371">
        <v>18</v>
      </c>
      <c r="T118" s="1372" t="s">
        <v>47</v>
      </c>
      <c r="U118" s="1372">
        <v>0</v>
      </c>
      <c r="V118" s="1373">
        <f t="shared" si="3"/>
        <v>0</v>
      </c>
      <c r="W118" s="1372" t="s">
        <v>740</v>
      </c>
      <c r="X118" s="1416" t="s">
        <v>1039</v>
      </c>
      <c r="Y118" s="1417" t="s">
        <v>324</v>
      </c>
      <c r="Z118" s="32" t="s">
        <v>51</v>
      </c>
      <c r="AA118" s="1418" t="s">
        <v>612</v>
      </c>
      <c r="AB118" s="1378" t="s">
        <v>1040</v>
      </c>
      <c r="AC118" s="1379">
        <v>3460</v>
      </c>
      <c r="AD118" s="1413"/>
      <c r="AE118" s="37" t="s">
        <v>85</v>
      </c>
      <c r="AF118" s="38" t="s">
        <v>55</v>
      </c>
      <c r="AG118" s="38" t="s">
        <v>56</v>
      </c>
      <c r="AH118" s="38" t="s">
        <v>56</v>
      </c>
      <c r="AI118" s="1380"/>
      <c r="AJ118" s="1380"/>
      <c r="AK118" s="1380"/>
      <c r="AL118" s="1419"/>
      <c r="AM118" s="1413">
        <v>20</v>
      </c>
      <c r="AN118" s="1413"/>
      <c r="AO118" s="1413"/>
      <c r="AP118" s="1413"/>
      <c r="AQ118" s="1413"/>
      <c r="AR118" s="1413"/>
      <c r="AS118" s="1413"/>
      <c r="AT118" s="1413"/>
      <c r="AU118" s="1413"/>
      <c r="AV118" s="1413"/>
      <c r="AW118" s="1413"/>
      <c r="AX118" s="1413"/>
      <c r="AY118" s="1413"/>
      <c r="AZ118" s="1413"/>
      <c r="BA118" s="1413"/>
      <c r="BB118" s="1413"/>
      <c r="BC118" s="1413"/>
      <c r="BD118" s="1413"/>
      <c r="BE118" s="1413"/>
      <c r="BF118" s="1413"/>
      <c r="BG118" s="1413"/>
      <c r="BH118" s="1413"/>
      <c r="BI118" s="1413"/>
      <c r="BJ118" s="1413"/>
      <c r="BK118" s="1413"/>
      <c r="BL118" s="1413"/>
      <c r="BM118" s="1413"/>
      <c r="BN118" s="1413"/>
      <c r="BO118" s="1413"/>
      <c r="BP118" s="1413"/>
      <c r="BQ118" s="1413"/>
      <c r="BR118" s="1413"/>
      <c r="BS118" s="1413"/>
      <c r="BT118" s="1413"/>
      <c r="BU118" s="1413"/>
      <c r="BV118" s="1413"/>
      <c r="BW118" s="1413"/>
      <c r="BX118" s="1413"/>
      <c r="BY118" s="1413"/>
      <c r="BZ118" s="1413"/>
      <c r="CA118" s="1413"/>
      <c r="CB118" s="1413"/>
      <c r="CC118" s="1413"/>
      <c r="CD118" s="1413"/>
      <c r="CE118" s="1413"/>
      <c r="CF118" s="1413"/>
      <c r="CG118" s="1413"/>
      <c r="CH118" s="1413"/>
      <c r="CI118" s="1413"/>
      <c r="CJ118" s="1413"/>
      <c r="CK118" s="1413"/>
      <c r="CL118" s="1413"/>
      <c r="CM118" s="1413"/>
      <c r="CN118" s="1413"/>
      <c r="CO118" s="1413"/>
      <c r="CP118" s="1413"/>
      <c r="CQ118" s="1413"/>
      <c r="CR118" s="1413"/>
      <c r="CS118" s="1413"/>
      <c r="CT118" s="1413"/>
      <c r="CU118" s="1413"/>
      <c r="CV118" s="1413"/>
      <c r="CW118" s="1413"/>
      <c r="CX118" s="1413"/>
      <c r="CY118" s="1413"/>
      <c r="CZ118" s="1413"/>
      <c r="DA118" s="1413"/>
      <c r="DB118" s="1413"/>
      <c r="DC118" s="1413"/>
      <c r="DD118" s="1413"/>
      <c r="DE118" s="66"/>
      <c r="DF118" s="66"/>
      <c r="DG118" s="66"/>
    </row>
    <row r="119" spans="1:111" s="13" customFormat="1" ht="113.25" customHeight="1" x14ac:dyDescent="0.25">
      <c r="A119" s="14">
        <v>46094</v>
      </c>
      <c r="B119" s="1345" t="s">
        <v>1041</v>
      </c>
      <c r="C119" s="1345" t="s">
        <v>1042</v>
      </c>
      <c r="D119" s="41"/>
      <c r="E119" s="42" t="s">
        <v>39</v>
      </c>
      <c r="F119" s="1405">
        <v>1</v>
      </c>
      <c r="G119" s="43"/>
      <c r="H119" s="43"/>
      <c r="I119" s="72" t="s">
        <v>1043</v>
      </c>
      <c r="J119" s="45">
        <v>6</v>
      </c>
      <c r="K119" s="1346" t="s">
        <v>1044</v>
      </c>
      <c r="L119" s="1367" t="s">
        <v>63</v>
      </c>
      <c r="M119" s="73" t="s">
        <v>42</v>
      </c>
      <c r="N119" s="48" t="s">
        <v>1045</v>
      </c>
      <c r="O119" s="49"/>
      <c r="P119" s="49" t="s">
        <v>871</v>
      </c>
      <c r="Q119" s="49" t="s">
        <v>993</v>
      </c>
      <c r="R119" s="50">
        <v>75</v>
      </c>
      <c r="S119" s="50">
        <v>517</v>
      </c>
      <c r="T119" s="51" t="s">
        <v>67</v>
      </c>
      <c r="U119" s="51">
        <v>57</v>
      </c>
      <c r="V119" s="52">
        <f t="shared" si="3"/>
        <v>342</v>
      </c>
      <c r="W119" s="51" t="s">
        <v>221</v>
      </c>
      <c r="X119" s="30" t="s">
        <v>1046</v>
      </c>
      <c r="Y119" s="64" t="s">
        <v>70</v>
      </c>
      <c r="Z119" s="32" t="s">
        <v>51</v>
      </c>
      <c r="AA119" s="33" t="s">
        <v>1047</v>
      </c>
      <c r="AB119" s="65" t="s">
        <v>1048</v>
      </c>
      <c r="AC119" s="35">
        <v>3492.9</v>
      </c>
      <c r="AD119" s="66"/>
      <c r="AE119" s="67" t="s">
        <v>73</v>
      </c>
      <c r="AF119" s="38" t="s">
        <v>55</v>
      </c>
      <c r="AG119" s="38" t="s">
        <v>56</v>
      </c>
      <c r="AH119" s="38" t="s">
        <v>56</v>
      </c>
      <c r="AI119" s="38"/>
      <c r="AJ119" s="1380" t="s">
        <v>56</v>
      </c>
      <c r="AK119" s="1380" t="s">
        <v>149</v>
      </c>
      <c r="AL119" s="68"/>
      <c r="AM119" s="66">
        <v>1</v>
      </c>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66"/>
      <c r="CO119" s="66"/>
      <c r="CP119" s="66"/>
      <c r="CQ119" s="66"/>
      <c r="CR119" s="66"/>
      <c r="CS119" s="66"/>
      <c r="CT119" s="66"/>
      <c r="CU119" s="66"/>
      <c r="CV119" s="66"/>
      <c r="CW119" s="66"/>
      <c r="CX119" s="66"/>
      <c r="CY119" s="66"/>
      <c r="CZ119" s="66"/>
      <c r="DA119" s="66"/>
      <c r="DB119" s="66"/>
      <c r="DC119" s="66"/>
      <c r="DD119" s="66"/>
      <c r="DE119" s="66"/>
      <c r="DF119" s="66"/>
      <c r="DG119" s="66"/>
    </row>
    <row r="120" spans="1:111" s="13" customFormat="1" ht="113.25" customHeight="1" x14ac:dyDescent="0.25">
      <c r="A120" s="14">
        <v>46093</v>
      </c>
      <c r="B120" s="1345" t="s">
        <v>1049</v>
      </c>
      <c r="C120" s="1345" t="s">
        <v>1050</v>
      </c>
      <c r="D120" s="1345" t="s">
        <v>1051</v>
      </c>
      <c r="E120" s="42" t="s">
        <v>39</v>
      </c>
      <c r="F120" s="1395"/>
      <c r="G120" s="1395"/>
      <c r="H120" s="1405">
        <v>3</v>
      </c>
      <c r="I120" s="72" t="s">
        <v>1052</v>
      </c>
      <c r="J120" s="45">
        <v>45</v>
      </c>
      <c r="K120" s="1346" t="s">
        <v>1053</v>
      </c>
      <c r="L120" s="1367" t="s">
        <v>63</v>
      </c>
      <c r="M120" s="73" t="s">
        <v>42</v>
      </c>
      <c r="N120" s="77" t="s">
        <v>1054</v>
      </c>
      <c r="O120" s="49"/>
      <c r="P120" s="49" t="s">
        <v>1055</v>
      </c>
      <c r="Q120" s="49" t="s">
        <v>1056</v>
      </c>
      <c r="R120" s="50">
        <v>2</v>
      </c>
      <c r="S120" s="50">
        <v>3</v>
      </c>
      <c r="T120" s="51" t="s">
        <v>96</v>
      </c>
      <c r="U120" s="51">
        <v>0</v>
      </c>
      <c r="V120" s="52">
        <f t="shared" si="3"/>
        <v>0</v>
      </c>
      <c r="W120" s="51" t="s">
        <v>142</v>
      </c>
      <c r="X120" s="30" t="s">
        <v>434</v>
      </c>
      <c r="Y120" s="64" t="s">
        <v>82</v>
      </c>
      <c r="Z120" s="32" t="s">
        <v>1057</v>
      </c>
      <c r="AA120" s="33" t="s">
        <v>1047</v>
      </c>
      <c r="AB120" s="65" t="s">
        <v>1058</v>
      </c>
      <c r="AC120" s="322">
        <f>4812.5 * J120/250</f>
        <v>866.25</v>
      </c>
      <c r="AD120" s="66"/>
      <c r="AE120" s="37" t="s">
        <v>85</v>
      </c>
      <c r="AF120" s="38" t="str">
        <f>IF(U120=0,"x","")</f>
        <v>x</v>
      </c>
      <c r="AG120" s="38" t="s">
        <v>56</v>
      </c>
      <c r="AH120" s="38" t="s">
        <v>56</v>
      </c>
      <c r="AI120" s="38"/>
      <c r="AJ120" s="38"/>
      <c r="AK120" s="38"/>
      <c r="AL120" s="68"/>
      <c r="AM120" s="66">
        <v>20</v>
      </c>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66"/>
      <c r="CO120" s="66"/>
      <c r="CP120" s="66"/>
      <c r="CQ120" s="66"/>
      <c r="CR120" s="66"/>
      <c r="CS120" s="66"/>
      <c r="CT120" s="66"/>
      <c r="CU120" s="66"/>
      <c r="CV120" s="66"/>
      <c r="CW120" s="66"/>
      <c r="CX120" s="66"/>
      <c r="CY120" s="66"/>
      <c r="CZ120" s="66"/>
      <c r="DA120" s="66"/>
      <c r="DB120" s="66"/>
      <c r="DC120" s="66"/>
      <c r="DD120" s="66"/>
      <c r="DE120" s="66"/>
      <c r="DF120" s="66"/>
      <c r="DG120" s="66"/>
    </row>
    <row r="121" spans="1:111" s="13" customFormat="1" ht="113.25" customHeight="1" x14ac:dyDescent="0.25">
      <c r="A121" s="14">
        <v>46093</v>
      </c>
      <c r="B121" s="55" t="s">
        <v>1059</v>
      </c>
      <c r="C121" s="55" t="s">
        <v>1060</v>
      </c>
      <c r="D121" s="55" t="s">
        <v>1061</v>
      </c>
      <c r="E121" s="56" t="s">
        <v>39</v>
      </c>
      <c r="F121" s="57"/>
      <c r="G121" s="57"/>
      <c r="H121" s="1405">
        <v>1</v>
      </c>
      <c r="I121" s="69" t="s">
        <v>1062</v>
      </c>
      <c r="J121" s="59">
        <v>38</v>
      </c>
      <c r="K121" s="70" t="s">
        <v>1063</v>
      </c>
      <c r="L121" s="61" t="s">
        <v>63</v>
      </c>
      <c r="M121" s="61" t="s">
        <v>42</v>
      </c>
      <c r="N121" s="24" t="s">
        <v>1064</v>
      </c>
      <c r="O121" s="62" t="s">
        <v>959</v>
      </c>
      <c r="P121" s="62" t="s">
        <v>1065</v>
      </c>
      <c r="Q121" s="62" t="s">
        <v>1066</v>
      </c>
      <c r="R121" s="61">
        <v>5</v>
      </c>
      <c r="S121" s="61">
        <v>8</v>
      </c>
      <c r="T121" s="56" t="s">
        <v>47</v>
      </c>
      <c r="U121" s="56">
        <v>0</v>
      </c>
      <c r="V121" s="63">
        <f t="shared" si="3"/>
        <v>0</v>
      </c>
      <c r="W121" s="56" t="s">
        <v>48</v>
      </c>
      <c r="X121" s="30" t="s">
        <v>482</v>
      </c>
      <c r="Y121" s="64" t="s">
        <v>50</v>
      </c>
      <c r="Z121" s="32" t="s">
        <v>1067</v>
      </c>
      <c r="AA121" s="33" t="s">
        <v>1068</v>
      </c>
      <c r="AB121" s="65" t="s">
        <v>1069</v>
      </c>
      <c r="AC121" s="35">
        <v>9620</v>
      </c>
      <c r="AD121" s="66"/>
      <c r="AE121" s="67" t="s">
        <v>1070</v>
      </c>
      <c r="AF121" s="38" t="s">
        <v>42</v>
      </c>
      <c r="AG121" s="38" t="s">
        <v>56</v>
      </c>
      <c r="AH121" s="38" t="s">
        <v>56</v>
      </c>
      <c r="AI121" s="38"/>
      <c r="AJ121" s="38"/>
      <c r="AK121" s="38"/>
      <c r="AL121" s="78" t="s">
        <v>1071</v>
      </c>
      <c r="AM121" s="66">
        <v>1</v>
      </c>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6"/>
      <c r="CU121" s="66"/>
      <c r="CV121" s="66"/>
      <c r="CW121" s="66"/>
      <c r="CX121" s="66"/>
      <c r="CY121" s="66"/>
      <c r="CZ121" s="66"/>
      <c r="DA121" s="66"/>
      <c r="DB121" s="66"/>
      <c r="DC121" s="66"/>
      <c r="DD121" s="66"/>
      <c r="DE121" s="66"/>
      <c r="DF121" s="66"/>
      <c r="DG121" s="66"/>
    </row>
    <row r="122" spans="1:111" s="13" customFormat="1" ht="113.25" customHeight="1" x14ac:dyDescent="0.25">
      <c r="A122" s="14">
        <v>46093</v>
      </c>
      <c r="B122" s="494" t="s">
        <v>883</v>
      </c>
      <c r="C122" s="494" t="s">
        <v>953</v>
      </c>
      <c r="D122" s="494" t="s">
        <v>1072</v>
      </c>
      <c r="E122" s="495" t="s">
        <v>39</v>
      </c>
      <c r="F122" s="497"/>
      <c r="G122" s="497"/>
      <c r="H122" s="1405">
        <v>2</v>
      </c>
      <c r="I122" s="72" t="s">
        <v>9869</v>
      </c>
      <c r="J122" s="499">
        <v>55</v>
      </c>
      <c r="K122" s="1445" t="s">
        <v>1073</v>
      </c>
      <c r="L122" s="504" t="s">
        <v>63</v>
      </c>
      <c r="M122" s="504" t="s">
        <v>42</v>
      </c>
      <c r="N122" s="502" t="s">
        <v>1074</v>
      </c>
      <c r="O122" s="503" t="s">
        <v>950</v>
      </c>
      <c r="P122" s="503" t="s">
        <v>1075</v>
      </c>
      <c r="Q122" s="503" t="s">
        <v>957</v>
      </c>
      <c r="R122" s="504">
        <v>46</v>
      </c>
      <c r="S122" s="504">
        <v>137</v>
      </c>
      <c r="T122" s="495" t="s">
        <v>47</v>
      </c>
      <c r="U122" s="495">
        <v>26</v>
      </c>
      <c r="V122" s="75">
        <f t="shared" si="3"/>
        <v>1430</v>
      </c>
      <c r="W122" s="495" t="s">
        <v>48</v>
      </c>
      <c r="X122" s="30" t="s">
        <v>960</v>
      </c>
      <c r="Y122" s="64" t="s">
        <v>50</v>
      </c>
      <c r="Z122" s="32" t="s">
        <v>51</v>
      </c>
      <c r="AA122" s="33" t="s">
        <v>757</v>
      </c>
      <c r="AB122" s="65" t="s">
        <v>882</v>
      </c>
      <c r="AC122" s="35">
        <v>12161.6</v>
      </c>
      <c r="AD122" s="66"/>
      <c r="AE122" s="37" t="s">
        <v>85</v>
      </c>
      <c r="AF122" s="1380" t="s">
        <v>55</v>
      </c>
      <c r="AG122" s="1380" t="s">
        <v>56</v>
      </c>
      <c r="AH122" s="38" t="s">
        <v>56</v>
      </c>
      <c r="AI122" s="38"/>
      <c r="AJ122" s="38" t="s">
        <v>56</v>
      </c>
      <c r="AK122" s="38" t="s">
        <v>1076</v>
      </c>
      <c r="AL122" s="68"/>
      <c r="AM122" s="66">
        <v>1</v>
      </c>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6"/>
      <c r="CU122" s="66"/>
      <c r="CV122" s="66"/>
      <c r="CW122" s="66"/>
      <c r="CX122" s="66"/>
      <c r="CY122" s="66"/>
      <c r="CZ122" s="66"/>
      <c r="DA122" s="66"/>
      <c r="DB122" s="66"/>
      <c r="DC122" s="66"/>
      <c r="DD122" s="66"/>
      <c r="DE122" s="66"/>
      <c r="DF122" s="66"/>
      <c r="DG122" s="66"/>
    </row>
    <row r="123" spans="1:111" s="13" customFormat="1" ht="113.25" customHeight="1" x14ac:dyDescent="0.25">
      <c r="A123" s="14">
        <v>46092</v>
      </c>
      <c r="B123" s="1345" t="s">
        <v>1077</v>
      </c>
      <c r="C123" s="41" t="s">
        <v>999</v>
      </c>
      <c r="D123" s="41"/>
      <c r="E123" s="42" t="s">
        <v>39</v>
      </c>
      <c r="F123" s="1405">
        <v>1</v>
      </c>
      <c r="G123" s="43"/>
      <c r="H123" s="43"/>
      <c r="I123" s="69" t="s">
        <v>1078</v>
      </c>
      <c r="J123" s="45">
        <v>4</v>
      </c>
      <c r="K123" s="1346" t="s">
        <v>1079</v>
      </c>
      <c r="L123" s="1367" t="s">
        <v>63</v>
      </c>
      <c r="M123" s="73" t="s">
        <v>42</v>
      </c>
      <c r="N123" s="48" t="s">
        <v>1080</v>
      </c>
      <c r="O123" s="49" t="s">
        <v>1081</v>
      </c>
      <c r="P123" s="49" t="s">
        <v>1082</v>
      </c>
      <c r="Q123" s="49" t="s">
        <v>869</v>
      </c>
      <c r="R123" s="50">
        <v>70</v>
      </c>
      <c r="S123" s="50">
        <v>613</v>
      </c>
      <c r="T123" s="51" t="s">
        <v>47</v>
      </c>
      <c r="U123" s="51">
        <v>17</v>
      </c>
      <c r="V123" s="52">
        <f t="shared" si="3"/>
        <v>68</v>
      </c>
      <c r="W123" s="51" t="s">
        <v>48</v>
      </c>
      <c r="X123" s="30" t="s">
        <v>1083</v>
      </c>
      <c r="Y123" s="64" t="s">
        <v>50</v>
      </c>
      <c r="Z123" s="1393" t="s">
        <v>51</v>
      </c>
      <c r="AA123" s="33" t="s">
        <v>1084</v>
      </c>
      <c r="AB123" s="65" t="s">
        <v>1085</v>
      </c>
      <c r="AC123" s="35">
        <v>6756.8</v>
      </c>
      <c r="AD123" s="66"/>
      <c r="AE123" s="37" t="s">
        <v>85</v>
      </c>
      <c r="AF123" s="38" t="s">
        <v>55</v>
      </c>
      <c r="AG123" s="38" t="s">
        <v>56</v>
      </c>
      <c r="AH123" s="38" t="s">
        <v>56</v>
      </c>
      <c r="AI123" s="38"/>
      <c r="AJ123" s="38"/>
      <c r="AK123" s="38"/>
      <c r="AL123" s="68"/>
      <c r="AM123" s="66">
        <v>1</v>
      </c>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6"/>
      <c r="CU123" s="66"/>
      <c r="CV123" s="66"/>
      <c r="CW123" s="66"/>
      <c r="CX123" s="66"/>
      <c r="CY123" s="66"/>
      <c r="CZ123" s="66"/>
      <c r="DA123" s="66"/>
      <c r="DB123" s="66"/>
      <c r="DC123" s="66"/>
      <c r="DD123" s="66"/>
      <c r="DE123" s="66"/>
      <c r="DF123" s="66"/>
      <c r="DG123" s="66"/>
    </row>
    <row r="124" spans="1:111" s="13" customFormat="1" ht="113.25" customHeight="1" x14ac:dyDescent="0.25">
      <c r="A124" s="14">
        <v>46092</v>
      </c>
      <c r="B124" s="1345" t="s">
        <v>1086</v>
      </c>
      <c r="C124" s="1345" t="s">
        <v>1087</v>
      </c>
      <c r="D124" s="1345"/>
      <c r="E124" s="1368" t="s">
        <v>39</v>
      </c>
      <c r="F124" s="1405">
        <v>3</v>
      </c>
      <c r="G124" s="1363"/>
      <c r="H124" s="1363"/>
      <c r="I124" s="44" t="s">
        <v>1088</v>
      </c>
      <c r="J124" s="1365">
        <v>41</v>
      </c>
      <c r="K124" s="1346" t="s">
        <v>1079</v>
      </c>
      <c r="L124" s="1367" t="s">
        <v>63</v>
      </c>
      <c r="M124" s="73" t="s">
        <v>42</v>
      </c>
      <c r="N124" s="48" t="s">
        <v>851</v>
      </c>
      <c r="O124" s="1370" t="s">
        <v>1089</v>
      </c>
      <c r="P124" s="1370" t="s">
        <v>1090</v>
      </c>
      <c r="Q124" s="1370" t="s">
        <v>1081</v>
      </c>
      <c r="R124" s="1371">
        <v>15</v>
      </c>
      <c r="S124" s="1371">
        <v>27</v>
      </c>
      <c r="T124" s="1372" t="s">
        <v>47</v>
      </c>
      <c r="U124" s="1372">
        <v>3</v>
      </c>
      <c r="V124" s="1373">
        <f t="shared" si="3"/>
        <v>123</v>
      </c>
      <c r="W124" s="1372" t="s">
        <v>68</v>
      </c>
      <c r="X124" s="1439" t="s">
        <v>232</v>
      </c>
      <c r="Y124" s="1417" t="s">
        <v>50</v>
      </c>
      <c r="Z124" s="32" t="s">
        <v>51</v>
      </c>
      <c r="AA124" s="1418" t="s">
        <v>512</v>
      </c>
      <c r="AB124" s="1378" t="s">
        <v>1091</v>
      </c>
      <c r="AC124" s="1379">
        <v>2952</v>
      </c>
      <c r="AD124" s="1413"/>
      <c r="AE124" s="67" t="s">
        <v>85</v>
      </c>
      <c r="AF124" s="38" t="s">
        <v>55</v>
      </c>
      <c r="AG124" s="1380" t="s">
        <v>56</v>
      </c>
      <c r="AH124" s="1380" t="s">
        <v>56</v>
      </c>
      <c r="AI124" s="1380"/>
      <c r="AJ124" s="1380" t="s">
        <v>56</v>
      </c>
      <c r="AK124" s="1380" t="s">
        <v>1092</v>
      </c>
      <c r="AL124" s="1419"/>
      <c r="AM124" s="1413">
        <v>6</v>
      </c>
      <c r="AN124" s="1413"/>
      <c r="AO124" s="1413"/>
      <c r="AP124" s="1413"/>
      <c r="AQ124" s="1413"/>
      <c r="AR124" s="1413"/>
      <c r="AS124" s="1413"/>
      <c r="AT124" s="1413"/>
      <c r="AU124" s="1413"/>
      <c r="AV124" s="1413"/>
      <c r="AW124" s="1413"/>
      <c r="AX124" s="1413"/>
      <c r="AY124" s="1413"/>
      <c r="AZ124" s="1413"/>
      <c r="BA124" s="1413"/>
      <c r="BB124" s="1413"/>
      <c r="BC124" s="1413"/>
      <c r="BD124" s="1413"/>
      <c r="BE124" s="1413"/>
      <c r="BF124" s="1413"/>
      <c r="BG124" s="1413"/>
      <c r="BH124" s="1413"/>
      <c r="BI124" s="1413"/>
      <c r="BJ124" s="1413"/>
      <c r="BK124" s="1413"/>
      <c r="BL124" s="1413"/>
      <c r="BM124" s="1413"/>
      <c r="BN124" s="1413"/>
      <c r="BO124" s="1413"/>
      <c r="BP124" s="1413"/>
      <c r="BQ124" s="1413"/>
      <c r="BR124" s="1413"/>
      <c r="BS124" s="1413"/>
      <c r="BT124" s="1413"/>
      <c r="BU124" s="1413"/>
      <c r="BV124" s="1413"/>
      <c r="BW124" s="1413"/>
      <c r="BX124" s="1413"/>
      <c r="BY124" s="1413"/>
      <c r="BZ124" s="1413"/>
      <c r="CA124" s="1413"/>
      <c r="CB124" s="1413"/>
      <c r="CC124" s="1413"/>
      <c r="CD124" s="1413"/>
      <c r="CE124" s="1413"/>
      <c r="CF124" s="1413"/>
      <c r="CG124" s="1413"/>
      <c r="CH124" s="1413"/>
      <c r="CI124" s="1413"/>
      <c r="CJ124" s="1413"/>
      <c r="CK124" s="1413"/>
      <c r="CL124" s="1413"/>
      <c r="CM124" s="1413"/>
      <c r="CN124" s="1413"/>
      <c r="CO124" s="1413"/>
      <c r="CP124" s="1413"/>
      <c r="CQ124" s="1413"/>
      <c r="CR124" s="1413"/>
      <c r="CS124" s="1413"/>
      <c r="CT124" s="1413"/>
      <c r="CU124" s="1413"/>
      <c r="CV124" s="1413"/>
      <c r="CW124" s="1413"/>
      <c r="CX124" s="1413"/>
      <c r="CY124" s="1413"/>
      <c r="CZ124" s="1413"/>
      <c r="DA124" s="1413"/>
      <c r="DB124" s="1413"/>
      <c r="DC124" s="66"/>
      <c r="DD124" s="66"/>
      <c r="DE124" s="66"/>
      <c r="DF124" s="66"/>
      <c r="DG124" s="66"/>
    </row>
    <row r="125" spans="1:111" s="13" customFormat="1" ht="113.25" customHeight="1" x14ac:dyDescent="0.25">
      <c r="A125" s="14">
        <v>46092</v>
      </c>
      <c r="B125" s="1345" t="s">
        <v>1093</v>
      </c>
      <c r="C125" s="1345" t="s">
        <v>1094</v>
      </c>
      <c r="D125" s="41" t="s">
        <v>1095</v>
      </c>
      <c r="E125" s="42" t="s">
        <v>39</v>
      </c>
      <c r="F125" s="1405">
        <v>1</v>
      </c>
      <c r="G125" s="1395"/>
      <c r="H125" s="1394"/>
      <c r="I125" s="44" t="s">
        <v>1096</v>
      </c>
      <c r="J125" s="45">
        <v>50</v>
      </c>
      <c r="K125" s="1346" t="s">
        <v>1097</v>
      </c>
      <c r="L125" s="47" t="s">
        <v>63</v>
      </c>
      <c r="M125" s="73" t="s">
        <v>42</v>
      </c>
      <c r="N125" s="77" t="s">
        <v>1098</v>
      </c>
      <c r="O125" s="49" t="s">
        <v>1099</v>
      </c>
      <c r="P125" s="49" t="s">
        <v>1100</v>
      </c>
      <c r="Q125" s="49" t="s">
        <v>1101</v>
      </c>
      <c r="R125" s="92">
        <v>120</v>
      </c>
      <c r="S125" s="50">
        <v>405</v>
      </c>
      <c r="T125" s="51" t="s">
        <v>180</v>
      </c>
      <c r="U125" s="51">
        <v>20</v>
      </c>
      <c r="V125" s="75">
        <f t="shared" si="3"/>
        <v>1000</v>
      </c>
      <c r="W125" s="1372" t="s">
        <v>1102</v>
      </c>
      <c r="X125" s="30" t="s">
        <v>741</v>
      </c>
      <c r="Y125" s="64" t="s">
        <v>324</v>
      </c>
      <c r="Z125" s="32" t="s">
        <v>51</v>
      </c>
      <c r="AA125" s="33" t="s">
        <v>1103</v>
      </c>
      <c r="AB125" s="65" t="s">
        <v>1104</v>
      </c>
      <c r="AC125" s="35">
        <v>10445.5</v>
      </c>
      <c r="AD125" s="66"/>
      <c r="AE125" s="37" t="s">
        <v>85</v>
      </c>
      <c r="AF125" s="38"/>
      <c r="AG125" s="38" t="s">
        <v>56</v>
      </c>
      <c r="AH125" s="38" t="s">
        <v>56</v>
      </c>
      <c r="AI125" s="38"/>
      <c r="AJ125" s="38"/>
      <c r="AK125" s="38"/>
      <c r="AL125" s="68"/>
      <c r="AM125" s="66">
        <v>1</v>
      </c>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66"/>
      <c r="CO125" s="66"/>
      <c r="CP125" s="66"/>
      <c r="CQ125" s="66"/>
      <c r="CR125" s="66"/>
      <c r="CS125" s="66"/>
      <c r="CT125" s="66"/>
      <c r="CU125" s="66"/>
      <c r="CV125" s="66"/>
      <c r="CW125" s="66"/>
      <c r="CX125" s="66"/>
      <c r="CY125" s="66"/>
      <c r="CZ125" s="66"/>
      <c r="DA125" s="66"/>
      <c r="DB125" s="66"/>
      <c r="DC125" s="66"/>
      <c r="DD125" s="66"/>
      <c r="DE125" s="66"/>
      <c r="DF125" s="66"/>
      <c r="DG125" s="66"/>
    </row>
    <row r="126" spans="1:111" s="13" customFormat="1" ht="113.25" customHeight="1" x14ac:dyDescent="0.25">
      <c r="A126" s="14">
        <v>46092</v>
      </c>
      <c r="B126" s="55" t="s">
        <v>1105</v>
      </c>
      <c r="C126" s="55" t="s">
        <v>874</v>
      </c>
      <c r="D126" s="55"/>
      <c r="E126" s="1403" t="s">
        <v>39</v>
      </c>
      <c r="F126" s="1404"/>
      <c r="G126" s="1404"/>
      <c r="H126" s="1405">
        <v>1</v>
      </c>
      <c r="I126" s="69" t="s">
        <v>1106</v>
      </c>
      <c r="J126" s="1399">
        <v>5</v>
      </c>
      <c r="K126" s="1400" t="s">
        <v>1107</v>
      </c>
      <c r="L126" s="1443" t="s">
        <v>63</v>
      </c>
      <c r="M126" s="1402" t="s">
        <v>42</v>
      </c>
      <c r="N126" s="24" t="s">
        <v>1108</v>
      </c>
      <c r="O126" s="1414" t="s">
        <v>1109</v>
      </c>
      <c r="P126" s="1414"/>
      <c r="Q126" s="1414" t="s">
        <v>952</v>
      </c>
      <c r="R126" s="1402">
        <v>1</v>
      </c>
      <c r="S126" s="1402">
        <v>1</v>
      </c>
      <c r="T126" s="1403" t="s">
        <v>393</v>
      </c>
      <c r="U126" s="1403">
        <v>33</v>
      </c>
      <c r="V126" s="1415">
        <f t="shared" si="3"/>
        <v>165</v>
      </c>
      <c r="W126" s="1403" t="s">
        <v>740</v>
      </c>
      <c r="X126" s="1416" t="s">
        <v>1110</v>
      </c>
      <c r="Y126" s="1417" t="s">
        <v>50</v>
      </c>
      <c r="Z126" s="32" t="s">
        <v>51</v>
      </c>
      <c r="AA126" s="1418" t="s">
        <v>468</v>
      </c>
      <c r="AB126" s="1378" t="s">
        <v>882</v>
      </c>
      <c r="AC126" s="1379">
        <v>8450</v>
      </c>
      <c r="AD126" s="1413"/>
      <c r="AE126" s="67" t="s">
        <v>73</v>
      </c>
      <c r="AF126" s="1380" t="s">
        <v>55</v>
      </c>
      <c r="AG126" s="1380" t="s">
        <v>56</v>
      </c>
      <c r="AH126" s="1380" t="s">
        <v>86</v>
      </c>
      <c r="AI126" s="1380"/>
      <c r="AJ126" s="1380"/>
      <c r="AK126" s="1380"/>
      <c r="AL126" s="1419"/>
      <c r="AM126" s="1413">
        <v>1</v>
      </c>
      <c r="AN126" s="1413"/>
      <c r="AO126" s="1413"/>
      <c r="AP126" s="1413"/>
      <c r="AQ126" s="1413"/>
      <c r="AR126" s="1413"/>
      <c r="AS126" s="1413"/>
      <c r="AT126" s="1413"/>
      <c r="AU126" s="1413"/>
      <c r="AV126" s="1413"/>
      <c r="AW126" s="1413"/>
      <c r="AX126" s="1413"/>
      <c r="AY126" s="1413"/>
      <c r="AZ126" s="1413"/>
      <c r="BA126" s="1413"/>
      <c r="BB126" s="1413"/>
      <c r="BC126" s="1413"/>
      <c r="BD126" s="1413"/>
      <c r="BE126" s="1413"/>
      <c r="BF126" s="1413"/>
      <c r="BG126" s="1413"/>
      <c r="BH126" s="1413"/>
      <c r="BI126" s="1413"/>
      <c r="BJ126" s="1413"/>
      <c r="BK126" s="1413"/>
      <c r="BL126" s="1413"/>
      <c r="BM126" s="1413"/>
      <c r="BN126" s="1413"/>
      <c r="BO126" s="1413"/>
      <c r="BP126" s="1413"/>
      <c r="BQ126" s="1413"/>
      <c r="BR126" s="1413"/>
      <c r="BS126" s="1413"/>
      <c r="BT126" s="1413"/>
      <c r="BU126" s="1413"/>
      <c r="BV126" s="1413"/>
      <c r="BW126" s="1413"/>
      <c r="BX126" s="1413"/>
      <c r="BY126" s="1413"/>
      <c r="BZ126" s="1413"/>
      <c r="CA126" s="1413"/>
      <c r="CB126" s="1413"/>
      <c r="CC126" s="1413"/>
      <c r="CD126" s="1413"/>
      <c r="CE126" s="1413"/>
      <c r="CF126" s="1413"/>
      <c r="CG126" s="1413"/>
      <c r="CH126" s="1413"/>
      <c r="CI126" s="1413"/>
      <c r="CJ126" s="1413"/>
      <c r="CK126" s="1413"/>
      <c r="CL126" s="1413"/>
      <c r="CM126" s="1413"/>
      <c r="CN126" s="1413"/>
      <c r="CO126" s="1413"/>
      <c r="CP126" s="1413"/>
      <c r="CQ126" s="1413"/>
      <c r="CR126" s="1413"/>
      <c r="CS126" s="1413"/>
      <c r="CT126" s="1413"/>
      <c r="CU126" s="1413"/>
      <c r="CV126" s="1413"/>
      <c r="CW126" s="1413"/>
      <c r="CX126" s="1413"/>
      <c r="CY126" s="1413"/>
      <c r="CZ126" s="1413"/>
      <c r="DA126" s="1413"/>
      <c r="DB126" s="1413"/>
      <c r="DC126" s="1413"/>
      <c r="DD126" s="1413"/>
      <c r="DE126" s="66"/>
      <c r="DF126" s="66"/>
      <c r="DG126" s="66"/>
    </row>
    <row r="127" spans="1:111" s="13" customFormat="1" ht="113.25" customHeight="1" x14ac:dyDescent="0.25">
      <c r="A127" s="14">
        <v>46091</v>
      </c>
      <c r="B127" s="1345" t="s">
        <v>1111</v>
      </c>
      <c r="C127" s="1345" t="s">
        <v>1112</v>
      </c>
      <c r="D127" s="41"/>
      <c r="E127" s="42" t="s">
        <v>39</v>
      </c>
      <c r="F127" s="43"/>
      <c r="G127" s="43"/>
      <c r="H127" s="1405">
        <v>1</v>
      </c>
      <c r="I127" s="72" t="s">
        <v>1113</v>
      </c>
      <c r="J127" s="45">
        <v>50</v>
      </c>
      <c r="K127" s="46" t="s">
        <v>1114</v>
      </c>
      <c r="L127" s="1367" t="s">
        <v>63</v>
      </c>
      <c r="M127" s="73" t="s">
        <v>42</v>
      </c>
      <c r="N127" s="77" t="s">
        <v>1115</v>
      </c>
      <c r="O127" s="49" t="s">
        <v>1116</v>
      </c>
      <c r="P127" s="49" t="s">
        <v>1117</v>
      </c>
      <c r="Q127" s="49" t="s">
        <v>1081</v>
      </c>
      <c r="R127" s="50">
        <v>91</v>
      </c>
      <c r="S127" s="50">
        <v>252</v>
      </c>
      <c r="T127" s="51" t="s">
        <v>180</v>
      </c>
      <c r="U127" s="51">
        <v>6</v>
      </c>
      <c r="V127" s="52">
        <f t="shared" si="3"/>
        <v>300</v>
      </c>
      <c r="W127" s="51" t="s">
        <v>221</v>
      </c>
      <c r="X127" s="30" t="s">
        <v>1118</v>
      </c>
      <c r="Y127" s="64" t="s">
        <v>82</v>
      </c>
      <c r="Z127" s="32" t="s">
        <v>51</v>
      </c>
      <c r="AA127" s="33" t="s">
        <v>1047</v>
      </c>
      <c r="AB127" s="65" t="s">
        <v>1119</v>
      </c>
      <c r="AC127" s="35">
        <v>8576</v>
      </c>
      <c r="AD127" s="66"/>
      <c r="AE127" s="67" t="s">
        <v>73</v>
      </c>
      <c r="AF127" s="38" t="s">
        <v>55</v>
      </c>
      <c r="AG127" s="38" t="s">
        <v>56</v>
      </c>
      <c r="AH127" s="38" t="s">
        <v>86</v>
      </c>
      <c r="AI127" s="38"/>
      <c r="AJ127" s="38" t="s">
        <v>56</v>
      </c>
      <c r="AK127" s="38" t="s">
        <v>1120</v>
      </c>
      <c r="AL127" s="68"/>
      <c r="AM127" s="66">
        <v>2</v>
      </c>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66"/>
      <c r="CO127" s="66"/>
      <c r="CP127" s="66"/>
      <c r="CQ127" s="66"/>
      <c r="CR127" s="66"/>
      <c r="CS127" s="66"/>
      <c r="CT127" s="66"/>
      <c r="CU127" s="66"/>
      <c r="CV127" s="66"/>
      <c r="CW127" s="66"/>
      <c r="CX127" s="66"/>
      <c r="CY127" s="66"/>
      <c r="CZ127" s="66"/>
      <c r="DA127" s="66"/>
      <c r="DB127" s="66"/>
      <c r="DC127" s="66"/>
      <c r="DD127" s="66"/>
      <c r="DE127" s="66"/>
      <c r="DF127" s="66"/>
      <c r="DG127" s="66"/>
    </row>
    <row r="128" spans="1:111" s="13" customFormat="1" ht="113.25" customHeight="1" x14ac:dyDescent="0.25">
      <c r="A128" s="14">
        <v>46091</v>
      </c>
      <c r="B128" s="1345" t="s">
        <v>1121</v>
      </c>
      <c r="C128" s="1345" t="s">
        <v>999</v>
      </c>
      <c r="D128" s="1345"/>
      <c r="E128" s="1368" t="s">
        <v>39</v>
      </c>
      <c r="F128" s="1363"/>
      <c r="G128" s="1363"/>
      <c r="H128" s="1363"/>
      <c r="I128" s="44" t="s">
        <v>1122</v>
      </c>
      <c r="J128" s="1365">
        <v>5</v>
      </c>
      <c r="K128" s="46" t="s">
        <v>1114</v>
      </c>
      <c r="L128" s="1367" t="s">
        <v>42</v>
      </c>
      <c r="M128" s="1368" t="s">
        <v>55</v>
      </c>
      <c r="N128" s="48" t="s">
        <v>1123</v>
      </c>
      <c r="O128" s="1370"/>
      <c r="P128" s="1370"/>
      <c r="Q128" s="1370"/>
      <c r="R128" s="1371">
        <v>0</v>
      </c>
      <c r="S128" s="1371">
        <v>0</v>
      </c>
      <c r="T128" s="1372">
        <v>0</v>
      </c>
      <c r="U128" s="1372">
        <v>130</v>
      </c>
      <c r="V128" s="1438">
        <f t="shared" si="3"/>
        <v>650</v>
      </c>
      <c r="W128" s="1372" t="s">
        <v>510</v>
      </c>
      <c r="X128" s="1416" t="s">
        <v>1124</v>
      </c>
      <c r="Y128" s="1417" t="s">
        <v>50</v>
      </c>
      <c r="Z128" s="32" t="s">
        <v>51</v>
      </c>
      <c r="AA128" s="1418" t="s">
        <v>693</v>
      </c>
      <c r="AB128" s="1378" t="s">
        <v>1125</v>
      </c>
      <c r="AC128" s="1379">
        <v>2437.5</v>
      </c>
      <c r="AD128" s="1413"/>
      <c r="AE128" s="67" t="s">
        <v>73</v>
      </c>
      <c r="AF128" s="1380"/>
      <c r="AG128" s="1380" t="s">
        <v>56</v>
      </c>
      <c r="AH128" s="38" t="s">
        <v>86</v>
      </c>
      <c r="AI128" s="1380"/>
      <c r="AJ128" s="1380"/>
      <c r="AK128" s="1380"/>
      <c r="AL128" s="1419"/>
      <c r="AM128" s="1413"/>
      <c r="AN128" s="1413"/>
      <c r="AO128" s="1413"/>
      <c r="AP128" s="1413"/>
      <c r="AQ128" s="1413"/>
      <c r="AR128" s="1413"/>
      <c r="AS128" s="1413"/>
      <c r="AT128" s="1413"/>
      <c r="AU128" s="1413"/>
      <c r="AV128" s="1413"/>
      <c r="AW128" s="1413"/>
      <c r="AX128" s="1413"/>
      <c r="AY128" s="1413"/>
      <c r="AZ128" s="1413"/>
      <c r="BA128" s="1413"/>
      <c r="BB128" s="1413"/>
      <c r="BC128" s="1413"/>
      <c r="BD128" s="1413"/>
      <c r="BE128" s="1413"/>
      <c r="BF128" s="1413"/>
      <c r="BG128" s="1413"/>
      <c r="BH128" s="1413"/>
      <c r="BI128" s="1413"/>
      <c r="BJ128" s="1413"/>
      <c r="BK128" s="1413"/>
      <c r="BL128" s="1413"/>
      <c r="BM128" s="1413"/>
      <c r="BN128" s="1413"/>
      <c r="BO128" s="1413"/>
      <c r="BP128" s="1413"/>
      <c r="BQ128" s="1413"/>
      <c r="BR128" s="1413"/>
      <c r="BS128" s="1413"/>
      <c r="BT128" s="1413"/>
      <c r="BU128" s="1413"/>
      <c r="BV128" s="1413"/>
      <c r="BW128" s="1413"/>
      <c r="BX128" s="1413"/>
      <c r="BY128" s="1413"/>
      <c r="BZ128" s="1413"/>
      <c r="CA128" s="1413"/>
      <c r="CB128" s="1413"/>
      <c r="CC128" s="1413"/>
      <c r="CD128" s="1413"/>
      <c r="CE128" s="1413"/>
      <c r="CF128" s="1413"/>
      <c r="CG128" s="1413"/>
      <c r="CH128" s="1413"/>
      <c r="CI128" s="1413"/>
      <c r="CJ128" s="1413"/>
      <c r="CK128" s="1413"/>
      <c r="CL128" s="1413"/>
      <c r="CM128" s="1413"/>
      <c r="CN128" s="1413"/>
      <c r="CO128" s="1413"/>
      <c r="CP128" s="1413"/>
      <c r="CQ128" s="1413"/>
      <c r="CR128" s="1413"/>
      <c r="CS128" s="1413"/>
      <c r="CT128" s="1413"/>
      <c r="CU128" s="1413"/>
      <c r="CV128" s="1413"/>
      <c r="CW128" s="1413"/>
      <c r="CX128" s="1413"/>
      <c r="CY128" s="1413"/>
      <c r="CZ128" s="1413"/>
      <c r="DA128" s="1413"/>
      <c r="DB128" s="1413"/>
      <c r="DC128" s="1413"/>
      <c r="DD128" s="1413"/>
      <c r="DE128" s="66"/>
      <c r="DF128" s="66"/>
      <c r="DG128" s="66"/>
    </row>
    <row r="129" spans="1:111" s="13" customFormat="1" ht="409.5" x14ac:dyDescent="0.25">
      <c r="A129" s="14">
        <v>46091</v>
      </c>
      <c r="B129" s="1345" t="s">
        <v>1126</v>
      </c>
      <c r="C129" s="1345" t="s">
        <v>1127</v>
      </c>
      <c r="D129" s="273" t="s">
        <v>1128</v>
      </c>
      <c r="E129" s="42" t="s">
        <v>39</v>
      </c>
      <c r="F129" s="43"/>
      <c r="G129" s="43"/>
      <c r="H129" s="1405">
        <v>1</v>
      </c>
      <c r="I129" s="72" t="s">
        <v>9870</v>
      </c>
      <c r="J129" s="45">
        <v>30</v>
      </c>
      <c r="K129" s="46" t="s">
        <v>1114</v>
      </c>
      <c r="L129" s="1367" t="s">
        <v>63</v>
      </c>
      <c r="M129" s="73" t="s">
        <v>42</v>
      </c>
      <c r="N129" s="48" t="s">
        <v>1129</v>
      </c>
      <c r="O129" s="1442" t="s">
        <v>1130</v>
      </c>
      <c r="P129" s="49" t="s">
        <v>1131</v>
      </c>
      <c r="Q129" s="49" t="s">
        <v>1132</v>
      </c>
      <c r="R129" s="50">
        <v>104</v>
      </c>
      <c r="S129" s="50">
        <v>729</v>
      </c>
      <c r="T129" s="51" t="s">
        <v>180</v>
      </c>
      <c r="U129" s="51">
        <v>25</v>
      </c>
      <c r="V129" s="75">
        <f t="shared" si="3"/>
        <v>750</v>
      </c>
      <c r="W129" s="51" t="s">
        <v>48</v>
      </c>
      <c r="X129" s="30" t="s">
        <v>1133</v>
      </c>
      <c r="Y129" s="64" t="s">
        <v>82</v>
      </c>
      <c r="Z129" s="32" t="s">
        <v>1134</v>
      </c>
      <c r="AA129" s="33" t="s">
        <v>923</v>
      </c>
      <c r="AB129" s="65" t="s">
        <v>1125</v>
      </c>
      <c r="AC129" s="35">
        <v>10910.2</v>
      </c>
      <c r="AD129" s="66"/>
      <c r="AE129" s="67" t="s">
        <v>85</v>
      </c>
      <c r="AF129" s="38" t="s">
        <v>55</v>
      </c>
      <c r="AG129" s="38" t="s">
        <v>56</v>
      </c>
      <c r="AH129" s="38" t="s">
        <v>56</v>
      </c>
      <c r="AI129" s="38"/>
      <c r="AJ129" s="38"/>
      <c r="AK129" s="38"/>
      <c r="AL129" s="78" t="s">
        <v>1135</v>
      </c>
      <c r="AM129" s="66">
        <v>1</v>
      </c>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66"/>
      <c r="CO129" s="66"/>
      <c r="CP129" s="66"/>
      <c r="CQ129" s="66"/>
      <c r="CR129" s="66"/>
      <c r="CS129" s="66"/>
      <c r="CT129" s="66"/>
      <c r="CU129" s="66"/>
      <c r="CV129" s="66"/>
      <c r="CW129" s="66"/>
      <c r="CX129" s="66"/>
      <c r="CY129" s="66"/>
      <c r="CZ129" s="66"/>
      <c r="DA129" s="66"/>
      <c r="DB129" s="66"/>
      <c r="DC129" s="66"/>
      <c r="DD129" s="66"/>
      <c r="DE129" s="66"/>
      <c r="DF129" s="66"/>
      <c r="DG129" s="66"/>
    </row>
    <row r="130" spans="1:111" s="13" customFormat="1" ht="113.25" customHeight="1" x14ac:dyDescent="0.25">
      <c r="A130" s="14">
        <v>46090</v>
      </c>
      <c r="B130" s="1345" t="s">
        <v>1136</v>
      </c>
      <c r="C130" s="1345" t="s">
        <v>857</v>
      </c>
      <c r="D130" s="1345"/>
      <c r="E130" s="1368" t="s">
        <v>39</v>
      </c>
      <c r="F130" s="1405">
        <v>1</v>
      </c>
      <c r="G130" s="1363"/>
      <c r="H130" s="1363"/>
      <c r="I130" s="1441" t="s">
        <v>1137</v>
      </c>
      <c r="J130" s="1365">
        <v>150</v>
      </c>
      <c r="K130" s="46" t="s">
        <v>1138</v>
      </c>
      <c r="L130" s="1367" t="s">
        <v>63</v>
      </c>
      <c r="M130" s="1368" t="s">
        <v>55</v>
      </c>
      <c r="N130" s="48" t="s">
        <v>1139</v>
      </c>
      <c r="O130" s="1370"/>
      <c r="P130" s="1370" t="s">
        <v>1140</v>
      </c>
      <c r="Q130" s="1370" t="s">
        <v>1141</v>
      </c>
      <c r="R130" s="1371">
        <v>1</v>
      </c>
      <c r="S130" s="1371">
        <v>3</v>
      </c>
      <c r="T130" s="1372" t="s">
        <v>96</v>
      </c>
      <c r="U130" s="1372">
        <v>0</v>
      </c>
      <c r="V130" s="1373">
        <f t="shared" ref="V130:V149" si="4">U130*J130</f>
        <v>0</v>
      </c>
      <c r="W130" s="1372" t="s">
        <v>1142</v>
      </c>
      <c r="X130" s="1416" t="s">
        <v>1143</v>
      </c>
      <c r="Y130" s="1417" t="s">
        <v>324</v>
      </c>
      <c r="Z130" s="32" t="s">
        <v>51</v>
      </c>
      <c r="AA130" s="1418" t="s">
        <v>923</v>
      </c>
      <c r="AB130" s="1378" t="s">
        <v>1144</v>
      </c>
      <c r="AC130" s="1379">
        <f>3780+2350</f>
        <v>6130</v>
      </c>
      <c r="AD130" s="1413"/>
      <c r="AE130" s="38" t="s">
        <v>1145</v>
      </c>
      <c r="AF130" s="38" t="s">
        <v>55</v>
      </c>
      <c r="AG130" s="38" t="s">
        <v>56</v>
      </c>
      <c r="AH130" s="38" t="s">
        <v>56</v>
      </c>
      <c r="AI130" s="38"/>
      <c r="AJ130" s="38"/>
      <c r="AK130" s="38"/>
      <c r="AL130" s="1419"/>
      <c r="AM130" s="1413">
        <v>4</v>
      </c>
      <c r="AN130" s="1413"/>
      <c r="AO130" s="1413"/>
      <c r="AP130" s="1413"/>
      <c r="AQ130" s="1413"/>
      <c r="AR130" s="1413"/>
      <c r="AS130" s="1413"/>
      <c r="AT130" s="1413"/>
      <c r="AU130" s="1413"/>
      <c r="AV130" s="1413"/>
      <c r="AW130" s="1413"/>
      <c r="AX130" s="1413"/>
      <c r="AY130" s="1413"/>
      <c r="AZ130" s="1413"/>
      <c r="BA130" s="1413"/>
      <c r="BB130" s="1413"/>
      <c r="BC130" s="1413"/>
      <c r="BD130" s="1413"/>
      <c r="BE130" s="1413"/>
      <c r="BF130" s="1413"/>
      <c r="BG130" s="1413"/>
      <c r="BH130" s="1413"/>
      <c r="BI130" s="1413"/>
      <c r="BJ130" s="1413"/>
      <c r="BK130" s="1413"/>
      <c r="BL130" s="1413"/>
      <c r="BM130" s="1413"/>
      <c r="BN130" s="1413"/>
      <c r="BO130" s="1413"/>
      <c r="BP130" s="1413"/>
      <c r="BQ130" s="1413"/>
      <c r="BR130" s="1413"/>
      <c r="BS130" s="1413"/>
      <c r="BT130" s="1413"/>
      <c r="BU130" s="1413"/>
      <c r="BV130" s="1413"/>
      <c r="BW130" s="1413"/>
      <c r="BX130" s="1413"/>
      <c r="BY130" s="1413"/>
      <c r="BZ130" s="1413"/>
      <c r="CA130" s="1413"/>
      <c r="CB130" s="1413"/>
      <c r="CC130" s="1413"/>
      <c r="CD130" s="1413"/>
      <c r="CE130" s="1413"/>
      <c r="CF130" s="1413"/>
      <c r="CG130" s="1413"/>
      <c r="CH130" s="1413"/>
      <c r="CI130" s="1413"/>
      <c r="CJ130" s="1413"/>
      <c r="CK130" s="1413"/>
      <c r="CL130" s="1413"/>
      <c r="CM130" s="1413"/>
      <c r="CN130" s="1413"/>
      <c r="CO130" s="1413"/>
      <c r="CP130" s="1413"/>
      <c r="CQ130" s="1413"/>
      <c r="CR130" s="1413"/>
      <c r="CS130" s="1413"/>
      <c r="CT130" s="1413"/>
      <c r="CU130" s="1413"/>
      <c r="CV130" s="1413"/>
      <c r="CW130" s="1413"/>
      <c r="CX130" s="1413"/>
      <c r="CY130" s="1413"/>
      <c r="CZ130" s="1413"/>
      <c r="DA130" s="66"/>
      <c r="DB130" s="66"/>
      <c r="DC130" s="66"/>
      <c r="DD130" s="66"/>
      <c r="DE130" s="66"/>
      <c r="DF130" s="66"/>
      <c r="DG130" s="66"/>
    </row>
    <row r="131" spans="1:111" s="13" customFormat="1" ht="113.25" customHeight="1" x14ac:dyDescent="0.25">
      <c r="A131" s="14">
        <v>46090</v>
      </c>
      <c r="B131" s="1345" t="s">
        <v>1146</v>
      </c>
      <c r="C131" s="1345" t="s">
        <v>1147</v>
      </c>
      <c r="D131" s="41"/>
      <c r="E131" s="42" t="s">
        <v>39</v>
      </c>
      <c r="F131" s="1405">
        <v>2</v>
      </c>
      <c r="G131" s="43"/>
      <c r="H131" s="43"/>
      <c r="I131" s="1441" t="s">
        <v>1148</v>
      </c>
      <c r="J131" s="45">
        <v>150</v>
      </c>
      <c r="K131" s="46" t="s">
        <v>1138</v>
      </c>
      <c r="L131" s="47" t="s">
        <v>63</v>
      </c>
      <c r="M131" s="73" t="s">
        <v>42</v>
      </c>
      <c r="N131" s="77" t="s">
        <v>1149</v>
      </c>
      <c r="O131" s="49"/>
      <c r="P131" s="49" t="s">
        <v>1141</v>
      </c>
      <c r="Q131" s="49" t="s">
        <v>1089</v>
      </c>
      <c r="R131" s="50">
        <v>1</v>
      </c>
      <c r="S131" s="50">
        <v>3</v>
      </c>
      <c r="T131" s="51" t="s">
        <v>96</v>
      </c>
      <c r="U131" s="51">
        <v>0</v>
      </c>
      <c r="V131" s="52">
        <f t="shared" si="4"/>
        <v>0</v>
      </c>
      <c r="W131" s="51" t="s">
        <v>1142</v>
      </c>
      <c r="X131" s="30" t="s">
        <v>1143</v>
      </c>
      <c r="Y131" s="64" t="s">
        <v>324</v>
      </c>
      <c r="Z131" s="32" t="s">
        <v>51</v>
      </c>
      <c r="AA131" s="33" t="s">
        <v>923</v>
      </c>
      <c r="AB131" s="65" t="s">
        <v>1150</v>
      </c>
      <c r="AC131" s="35">
        <f>3465+750</f>
        <v>4215</v>
      </c>
      <c r="AD131" s="66"/>
      <c r="AE131" s="38" t="s">
        <v>1145</v>
      </c>
      <c r="AF131" s="38" t="str">
        <f>IF(U131=0,"x","")</f>
        <v>x</v>
      </c>
      <c r="AG131" s="38" t="s">
        <v>56</v>
      </c>
      <c r="AH131" s="38" t="s">
        <v>56</v>
      </c>
      <c r="AI131" s="38"/>
      <c r="AJ131" s="38"/>
      <c r="AK131" s="38"/>
      <c r="AL131" s="68"/>
      <c r="AM131" s="66">
        <v>4</v>
      </c>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66"/>
      <c r="CO131" s="66"/>
      <c r="CP131" s="66"/>
      <c r="CQ131" s="66"/>
      <c r="CR131" s="66"/>
      <c r="CS131" s="66"/>
      <c r="CT131" s="66"/>
      <c r="CU131" s="66"/>
      <c r="CV131" s="66"/>
      <c r="CW131" s="66"/>
      <c r="CX131" s="66"/>
      <c r="CY131" s="66"/>
      <c r="CZ131" s="66"/>
      <c r="DA131" s="66"/>
      <c r="DB131" s="66"/>
      <c r="DC131" s="66"/>
      <c r="DD131" s="66"/>
      <c r="DE131" s="66"/>
      <c r="DF131" s="66"/>
      <c r="DG131" s="66"/>
    </row>
    <row r="132" spans="1:111" s="13" customFormat="1" ht="113.25" customHeight="1" x14ac:dyDescent="0.25">
      <c r="A132" s="14">
        <v>46090</v>
      </c>
      <c r="B132" s="41" t="s">
        <v>1151</v>
      </c>
      <c r="C132" s="41" t="s">
        <v>1152</v>
      </c>
      <c r="D132" s="41"/>
      <c r="E132" s="42" t="s">
        <v>39</v>
      </c>
      <c r="F132" s="43"/>
      <c r="G132" s="43"/>
      <c r="H132" s="1405">
        <v>2</v>
      </c>
      <c r="I132" s="72" t="s">
        <v>9871</v>
      </c>
      <c r="J132" s="45">
        <v>55</v>
      </c>
      <c r="K132" s="46" t="s">
        <v>1153</v>
      </c>
      <c r="L132" s="47" t="s">
        <v>63</v>
      </c>
      <c r="M132" s="42" t="s">
        <v>55</v>
      </c>
      <c r="N132" s="77" t="s">
        <v>1154</v>
      </c>
      <c r="O132" s="49" t="s">
        <v>1155</v>
      </c>
      <c r="P132" s="49" t="s">
        <v>1156</v>
      </c>
      <c r="Q132" s="49" t="s">
        <v>1157</v>
      </c>
      <c r="R132" s="50">
        <v>28</v>
      </c>
      <c r="S132" s="50">
        <v>92</v>
      </c>
      <c r="T132" s="51" t="s">
        <v>47</v>
      </c>
      <c r="U132" s="51">
        <v>8</v>
      </c>
      <c r="V132" s="52">
        <f t="shared" si="4"/>
        <v>440</v>
      </c>
      <c r="W132" s="51" t="s">
        <v>350</v>
      </c>
      <c r="X132" s="30" t="s">
        <v>905</v>
      </c>
      <c r="Y132" s="64" t="s">
        <v>50</v>
      </c>
      <c r="Z132" s="32" t="s">
        <v>51</v>
      </c>
      <c r="AA132" s="33" t="s">
        <v>1158</v>
      </c>
      <c r="AB132" s="65" t="s">
        <v>1159</v>
      </c>
      <c r="AC132" s="35">
        <v>4938.75</v>
      </c>
      <c r="AD132" s="66"/>
      <c r="AE132" s="67" t="s">
        <v>73</v>
      </c>
      <c r="AF132" s="38" t="s">
        <v>55</v>
      </c>
      <c r="AG132" s="38" t="s">
        <v>56</v>
      </c>
      <c r="AH132" s="38" t="s">
        <v>56</v>
      </c>
      <c r="AI132" s="38"/>
      <c r="AJ132" s="38" t="s">
        <v>56</v>
      </c>
      <c r="AK132" s="38" t="s">
        <v>74</v>
      </c>
      <c r="AL132" s="68"/>
      <c r="AM132" s="66">
        <v>2</v>
      </c>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6"/>
      <c r="CU132" s="66"/>
      <c r="CV132" s="66"/>
      <c r="CW132" s="66"/>
      <c r="CX132" s="66"/>
      <c r="CY132" s="66"/>
      <c r="CZ132" s="66"/>
      <c r="DA132" s="66"/>
      <c r="DB132" s="66"/>
      <c r="DC132" s="66"/>
      <c r="DD132" s="66"/>
      <c r="DE132" s="66"/>
      <c r="DF132" s="66"/>
      <c r="DG132" s="66"/>
    </row>
    <row r="133" spans="1:111" s="13" customFormat="1" ht="113.25" customHeight="1" x14ac:dyDescent="0.25">
      <c r="A133" s="14">
        <v>46090</v>
      </c>
      <c r="B133" s="1345" t="s">
        <v>1160</v>
      </c>
      <c r="C133" s="1345" t="s">
        <v>1161</v>
      </c>
      <c r="D133" s="1345"/>
      <c r="E133" s="1368" t="s">
        <v>39</v>
      </c>
      <c r="F133" s="1405">
        <v>1</v>
      </c>
      <c r="G133" s="1363"/>
      <c r="H133" s="1363"/>
      <c r="I133" s="1441" t="s">
        <v>1162</v>
      </c>
      <c r="J133" s="1365">
        <v>15</v>
      </c>
      <c r="K133" s="46" t="s">
        <v>1138</v>
      </c>
      <c r="L133" s="1367" t="s">
        <v>63</v>
      </c>
      <c r="M133" s="42" t="s">
        <v>55</v>
      </c>
      <c r="N133" s="77" t="s">
        <v>1163</v>
      </c>
      <c r="O133" s="1370"/>
      <c r="P133" s="1370" t="s">
        <v>1164</v>
      </c>
      <c r="Q133" s="1370" t="s">
        <v>1165</v>
      </c>
      <c r="R133" s="1371">
        <v>29</v>
      </c>
      <c r="S133" s="1371">
        <v>238</v>
      </c>
      <c r="T133" s="1372" t="s">
        <v>96</v>
      </c>
      <c r="U133" s="1372">
        <v>37</v>
      </c>
      <c r="V133" s="1438">
        <f t="shared" si="4"/>
        <v>555</v>
      </c>
      <c r="W133" s="1372" t="s">
        <v>510</v>
      </c>
      <c r="X133" s="1416" t="s">
        <v>1166</v>
      </c>
      <c r="Y133" s="1417" t="s">
        <v>82</v>
      </c>
      <c r="Z133" s="32" t="s">
        <v>51</v>
      </c>
      <c r="AA133" s="1418" t="s">
        <v>923</v>
      </c>
      <c r="AB133" s="1378" t="s">
        <v>1150</v>
      </c>
      <c r="AC133" s="1379">
        <v>3545.25</v>
      </c>
      <c r="AD133" s="1413"/>
      <c r="AE133" s="67" t="s">
        <v>85</v>
      </c>
      <c r="AF133" s="38" t="s">
        <v>55</v>
      </c>
      <c r="AG133" s="38" t="s">
        <v>56</v>
      </c>
      <c r="AH133" s="38" t="s">
        <v>56</v>
      </c>
      <c r="AI133" s="1380"/>
      <c r="AJ133" s="38" t="s">
        <v>56</v>
      </c>
      <c r="AK133" s="38" t="s">
        <v>74</v>
      </c>
      <c r="AL133" s="1419"/>
      <c r="AM133" s="1413">
        <v>1</v>
      </c>
      <c r="AN133" s="1413"/>
      <c r="AO133" s="1413"/>
      <c r="AP133" s="1413"/>
      <c r="AQ133" s="1413"/>
      <c r="AR133" s="1413"/>
      <c r="AS133" s="1413"/>
      <c r="AT133" s="1413"/>
      <c r="AU133" s="1413"/>
      <c r="AV133" s="1413"/>
      <c r="AW133" s="1413"/>
      <c r="AX133" s="1413"/>
      <c r="AY133" s="1413"/>
      <c r="AZ133" s="1413"/>
      <c r="BA133" s="1413"/>
      <c r="BB133" s="1413"/>
      <c r="BC133" s="1413"/>
      <c r="BD133" s="1413"/>
      <c r="BE133" s="1413"/>
      <c r="BF133" s="1413"/>
      <c r="BG133" s="1413"/>
      <c r="BH133" s="1413"/>
      <c r="BI133" s="1413"/>
      <c r="BJ133" s="1413"/>
      <c r="BK133" s="1413"/>
      <c r="BL133" s="1413"/>
      <c r="BM133" s="1413"/>
      <c r="BN133" s="1413"/>
      <c r="BO133" s="1413"/>
      <c r="BP133" s="1413"/>
      <c r="BQ133" s="1413"/>
      <c r="BR133" s="1413"/>
      <c r="BS133" s="1413"/>
      <c r="BT133" s="1413"/>
      <c r="BU133" s="1413"/>
      <c r="BV133" s="1413"/>
      <c r="BW133" s="1413"/>
      <c r="BX133" s="1413"/>
      <c r="BY133" s="1413"/>
      <c r="BZ133" s="1413"/>
      <c r="CA133" s="1413"/>
      <c r="CB133" s="1413"/>
      <c r="CC133" s="1413"/>
      <c r="CD133" s="1413"/>
      <c r="CE133" s="1413"/>
      <c r="CF133" s="1413"/>
      <c r="CG133" s="1413"/>
      <c r="CH133" s="1413"/>
      <c r="CI133" s="1413"/>
      <c r="CJ133" s="1413"/>
      <c r="CK133" s="1413"/>
      <c r="CL133" s="1413"/>
      <c r="CM133" s="1413"/>
      <c r="CN133" s="1413"/>
      <c r="CO133" s="1413"/>
      <c r="CP133" s="1413"/>
      <c r="CQ133" s="1413"/>
      <c r="CR133" s="1413"/>
      <c r="CS133" s="1413"/>
      <c r="CT133" s="1413"/>
      <c r="CU133" s="1413"/>
      <c r="CV133" s="1413"/>
      <c r="CW133" s="1413"/>
      <c r="CX133" s="1413"/>
      <c r="CY133" s="1413"/>
      <c r="CZ133" s="1413"/>
      <c r="DA133" s="1413"/>
      <c r="DB133" s="1413"/>
      <c r="DC133" s="1413"/>
      <c r="DD133" s="1413"/>
      <c r="DE133" s="66"/>
      <c r="DF133" s="66"/>
      <c r="DG133" s="66"/>
    </row>
    <row r="134" spans="1:111" s="13" customFormat="1" ht="113.25" customHeight="1" x14ac:dyDescent="0.25">
      <c r="A134" s="14">
        <v>46090</v>
      </c>
      <c r="B134" s="1345" t="s">
        <v>1167</v>
      </c>
      <c r="C134" s="1345" t="s">
        <v>1168</v>
      </c>
      <c r="D134" s="41" t="s">
        <v>1169</v>
      </c>
      <c r="E134" s="42" t="s">
        <v>39</v>
      </c>
      <c r="F134" s="1405">
        <v>1</v>
      </c>
      <c r="G134" s="43"/>
      <c r="H134" s="43"/>
      <c r="I134" s="72" t="s">
        <v>1170</v>
      </c>
      <c r="J134" s="45">
        <v>11</v>
      </c>
      <c r="K134" s="1346" t="s">
        <v>1138</v>
      </c>
      <c r="L134" s="50" t="s">
        <v>63</v>
      </c>
      <c r="M134" s="73" t="s">
        <v>42</v>
      </c>
      <c r="N134" s="48" t="s">
        <v>1171</v>
      </c>
      <c r="O134" s="49" t="s">
        <v>1172</v>
      </c>
      <c r="P134" s="49" t="s">
        <v>1173</v>
      </c>
      <c r="Q134" s="49" t="s">
        <v>1174</v>
      </c>
      <c r="R134" s="50">
        <v>12</v>
      </c>
      <c r="S134" s="50">
        <v>364</v>
      </c>
      <c r="T134" s="51" t="s">
        <v>47</v>
      </c>
      <c r="U134" s="319">
        <v>81</v>
      </c>
      <c r="V134" s="75">
        <f t="shared" si="4"/>
        <v>891</v>
      </c>
      <c r="W134" s="51" t="s">
        <v>350</v>
      </c>
      <c r="X134" s="93" t="s">
        <v>1175</v>
      </c>
      <c r="Y134" s="31" t="s">
        <v>144</v>
      </c>
      <c r="Z134" s="32" t="s">
        <v>1176</v>
      </c>
      <c r="AA134" s="33" t="s">
        <v>1177</v>
      </c>
      <c r="AB134" s="34" t="s">
        <v>1178</v>
      </c>
      <c r="AC134" s="35">
        <f>5470.65*J134/15</f>
        <v>4011.8099999999995</v>
      </c>
      <c r="AD134" s="36"/>
      <c r="AE134" s="67" t="s">
        <v>85</v>
      </c>
      <c r="AF134" s="38" t="str">
        <f t="shared" ref="AF134" si="5">IF(U134=0,"x","")</f>
        <v/>
      </c>
      <c r="AG134" s="38" t="s">
        <v>56</v>
      </c>
      <c r="AH134" s="38" t="s">
        <v>56</v>
      </c>
      <c r="AI134" s="38"/>
      <c r="AJ134" s="38" t="s">
        <v>56</v>
      </c>
      <c r="AK134" s="38" t="s">
        <v>74</v>
      </c>
      <c r="AL134" s="38"/>
      <c r="AM134" s="175">
        <v>1</v>
      </c>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row>
    <row r="135" spans="1:111" s="13" customFormat="1" ht="113.25" customHeight="1" x14ac:dyDescent="0.25">
      <c r="A135" s="14">
        <v>46090</v>
      </c>
      <c r="B135" s="1345"/>
      <c r="C135" s="1345"/>
      <c r="D135" s="1345"/>
      <c r="E135" s="1368" t="s">
        <v>195</v>
      </c>
      <c r="F135" s="1363"/>
      <c r="G135" s="1363"/>
      <c r="H135" s="1363"/>
      <c r="I135" s="1441" t="s">
        <v>9860</v>
      </c>
      <c r="J135" s="1365">
        <v>25</v>
      </c>
      <c r="K135" s="1346" t="s">
        <v>1138</v>
      </c>
      <c r="L135" s="1367" t="s">
        <v>55</v>
      </c>
      <c r="M135" s="1368" t="s">
        <v>55</v>
      </c>
      <c r="N135" s="48" t="s">
        <v>1179</v>
      </c>
      <c r="O135" s="1370"/>
      <c r="P135" s="1370"/>
      <c r="Q135" s="1370"/>
      <c r="R135" s="1371"/>
      <c r="S135" s="1371"/>
      <c r="T135" s="1372"/>
      <c r="U135" s="1372"/>
      <c r="V135" s="1373">
        <f t="shared" si="4"/>
        <v>0</v>
      </c>
      <c r="W135" s="1372" t="s">
        <v>1180</v>
      </c>
      <c r="X135" s="1416" t="s">
        <v>1181</v>
      </c>
      <c r="Y135" s="1375" t="s">
        <v>82</v>
      </c>
      <c r="Z135" s="1376"/>
      <c r="AA135" s="1418" t="s">
        <v>83</v>
      </c>
      <c r="AB135" s="1378"/>
      <c r="AC135" s="1379">
        <v>662.5</v>
      </c>
      <c r="AD135" s="1420"/>
      <c r="AE135" s="37"/>
      <c r="AF135" s="1380" t="s">
        <v>55</v>
      </c>
      <c r="AG135" s="1380"/>
      <c r="AH135" s="1380"/>
      <c r="AI135" s="1380"/>
      <c r="AJ135" s="1380"/>
      <c r="AK135" s="1380"/>
      <c r="AL135" s="1380"/>
      <c r="AM135" s="1420"/>
      <c r="AN135" s="1420"/>
      <c r="AO135" s="1420"/>
      <c r="AP135" s="1420"/>
      <c r="AQ135" s="1420"/>
      <c r="AR135" s="1420"/>
      <c r="AS135" s="1420"/>
      <c r="AT135" s="1420"/>
      <c r="AU135" s="1420"/>
      <c r="AV135" s="1420"/>
      <c r="AW135" s="1420"/>
      <c r="AX135" s="1420"/>
      <c r="AY135" s="1420"/>
      <c r="AZ135" s="1420"/>
      <c r="BA135" s="1420"/>
      <c r="BB135" s="1420"/>
      <c r="BC135" s="1420"/>
      <c r="BD135" s="1420"/>
      <c r="BE135" s="1420"/>
      <c r="BF135" s="1420"/>
      <c r="BG135" s="1420"/>
      <c r="BH135" s="1420"/>
      <c r="BI135" s="1420"/>
      <c r="BJ135" s="1420"/>
      <c r="BK135" s="1420"/>
      <c r="BL135" s="1420"/>
      <c r="BM135" s="1420"/>
      <c r="BN135" s="1420"/>
      <c r="BO135" s="1420"/>
      <c r="BP135" s="1420"/>
      <c r="BQ135" s="1420"/>
      <c r="BR135" s="1420"/>
      <c r="BS135" s="1420"/>
      <c r="BT135" s="1420"/>
      <c r="BU135" s="1420"/>
      <c r="BV135" s="1420"/>
      <c r="BW135" s="1420"/>
      <c r="BX135" s="1420"/>
      <c r="BY135" s="1420"/>
      <c r="BZ135" s="1420"/>
      <c r="CA135" s="1420"/>
      <c r="CB135" s="1420"/>
      <c r="CC135" s="1420"/>
      <c r="CD135" s="1420"/>
      <c r="CE135" s="1420"/>
      <c r="CF135" s="1420"/>
      <c r="CG135" s="1420"/>
      <c r="CH135" s="1420"/>
      <c r="CI135" s="1420"/>
      <c r="CJ135" s="1420"/>
      <c r="CK135" s="1420"/>
      <c r="CL135" s="1420"/>
      <c r="CM135" s="1420"/>
      <c r="CN135" s="1420"/>
      <c r="CO135" s="1420"/>
      <c r="CP135" s="1420"/>
      <c r="CQ135" s="1420"/>
      <c r="CR135" s="1420"/>
      <c r="CS135" s="1420"/>
      <c r="CT135" s="1420"/>
      <c r="CU135" s="1420"/>
      <c r="CV135" s="1420"/>
      <c r="CW135" s="1420"/>
      <c r="CX135" s="1420"/>
      <c r="CY135" s="1420"/>
      <c r="CZ135" s="1420"/>
      <c r="DA135" s="1420"/>
      <c r="DB135" s="1420"/>
      <c r="DC135" s="1420"/>
      <c r="DD135" s="1420"/>
      <c r="DE135" s="36"/>
      <c r="DF135" s="36"/>
      <c r="DG135" s="36"/>
    </row>
    <row r="136" spans="1:111" s="13" customFormat="1" ht="113.25" customHeight="1" x14ac:dyDescent="0.25">
      <c r="A136" s="14">
        <v>46090</v>
      </c>
      <c r="B136" s="1345" t="s">
        <v>1182</v>
      </c>
      <c r="C136" s="1345" t="s">
        <v>1183</v>
      </c>
      <c r="D136" s="1345" t="s">
        <v>1184</v>
      </c>
      <c r="E136" s="1368" t="s">
        <v>39</v>
      </c>
      <c r="F136" s="1363"/>
      <c r="G136" s="1363"/>
      <c r="H136" s="1405">
        <v>1</v>
      </c>
      <c r="I136" s="44" t="s">
        <v>1185</v>
      </c>
      <c r="J136" s="1365">
        <v>50</v>
      </c>
      <c r="K136" s="46" t="s">
        <v>1153</v>
      </c>
      <c r="L136" s="1367" t="s">
        <v>63</v>
      </c>
      <c r="M136" s="1368" t="s">
        <v>55</v>
      </c>
      <c r="N136" s="48" t="s">
        <v>1186</v>
      </c>
      <c r="O136" s="1370" t="s">
        <v>1116</v>
      </c>
      <c r="P136" s="1370" t="s">
        <v>1187</v>
      </c>
      <c r="Q136" s="1370" t="s">
        <v>1188</v>
      </c>
      <c r="R136" s="1371">
        <v>35</v>
      </c>
      <c r="S136" s="1371">
        <v>528</v>
      </c>
      <c r="T136" s="1372" t="s">
        <v>47</v>
      </c>
      <c r="U136" s="1372">
        <v>3</v>
      </c>
      <c r="V136" s="1373">
        <f t="shared" si="4"/>
        <v>150</v>
      </c>
      <c r="W136" s="1372" t="s">
        <v>142</v>
      </c>
      <c r="X136" s="1439" t="s">
        <v>1189</v>
      </c>
      <c r="Y136" s="1417" t="s">
        <v>144</v>
      </c>
      <c r="Z136" s="32" t="s">
        <v>51</v>
      </c>
      <c r="AA136" s="1418" t="s">
        <v>512</v>
      </c>
      <c r="AB136" s="1378" t="s">
        <v>1190</v>
      </c>
      <c r="AC136" s="1379">
        <v>10897.5</v>
      </c>
      <c r="AD136" s="66"/>
      <c r="AE136" s="1347" t="s">
        <v>1191</v>
      </c>
      <c r="AF136" s="1380" t="s">
        <v>42</v>
      </c>
      <c r="AG136" s="1380" t="s">
        <v>56</v>
      </c>
      <c r="AH136" s="1380" t="s">
        <v>86</v>
      </c>
      <c r="AI136" s="1380"/>
      <c r="AJ136" s="38" t="s">
        <v>56</v>
      </c>
      <c r="AK136" s="38" t="s">
        <v>74</v>
      </c>
      <c r="AL136" s="1419"/>
      <c r="AM136" s="66">
        <v>1</v>
      </c>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66"/>
      <c r="BL136" s="66"/>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66"/>
      <c r="CO136" s="66"/>
      <c r="CP136" s="66"/>
      <c r="CQ136" s="66"/>
      <c r="CR136" s="66"/>
      <c r="CS136" s="66"/>
      <c r="CT136" s="66"/>
      <c r="CU136" s="66"/>
      <c r="CV136" s="66"/>
      <c r="CW136" s="66"/>
      <c r="CX136" s="66"/>
      <c r="CY136" s="66"/>
      <c r="CZ136" s="66"/>
      <c r="DA136" s="66"/>
      <c r="DB136" s="66"/>
      <c r="DC136" s="66"/>
      <c r="DD136" s="66"/>
      <c r="DE136" s="66"/>
      <c r="DF136" s="66"/>
      <c r="DG136" s="66"/>
    </row>
    <row r="137" spans="1:111" s="13" customFormat="1" ht="113.25" customHeight="1" x14ac:dyDescent="0.25">
      <c r="A137" s="14">
        <v>46090</v>
      </c>
      <c r="B137" s="1345" t="s">
        <v>501</v>
      </c>
      <c r="C137" s="1345" t="s">
        <v>1192</v>
      </c>
      <c r="D137" s="1345"/>
      <c r="E137" s="1368" t="s">
        <v>39</v>
      </c>
      <c r="F137" s="1405">
        <v>1</v>
      </c>
      <c r="G137" s="1440"/>
      <c r="H137" s="1440"/>
      <c r="I137" s="44" t="s">
        <v>1193</v>
      </c>
      <c r="J137" s="1365">
        <v>245</v>
      </c>
      <c r="K137" s="1346" t="s">
        <v>1194</v>
      </c>
      <c r="L137" s="1367" t="s">
        <v>63</v>
      </c>
      <c r="M137" s="73" t="s">
        <v>42</v>
      </c>
      <c r="N137" s="48" t="s">
        <v>1195</v>
      </c>
      <c r="O137" s="1370" t="s">
        <v>1196</v>
      </c>
      <c r="P137" s="1370" t="s">
        <v>1197</v>
      </c>
      <c r="Q137" s="1370" t="s">
        <v>1198</v>
      </c>
      <c r="R137" s="1371">
        <v>28</v>
      </c>
      <c r="S137" s="1371">
        <v>376</v>
      </c>
      <c r="T137" s="1372" t="s">
        <v>47</v>
      </c>
      <c r="U137" s="1372">
        <v>5</v>
      </c>
      <c r="V137" s="1438">
        <f t="shared" si="4"/>
        <v>1225</v>
      </c>
      <c r="W137" s="1372" t="s">
        <v>97</v>
      </c>
      <c r="X137" s="1416" t="s">
        <v>98</v>
      </c>
      <c r="Y137" s="1375" t="s">
        <v>99</v>
      </c>
      <c r="Z137" s="32" t="s">
        <v>51</v>
      </c>
      <c r="AA137" s="1418" t="s">
        <v>1199</v>
      </c>
      <c r="AB137" s="1378" t="s">
        <v>1200</v>
      </c>
      <c r="AC137" s="1379">
        <v>17130.400000000001</v>
      </c>
      <c r="AD137" s="1420"/>
      <c r="AE137" s="67" t="s">
        <v>85</v>
      </c>
      <c r="AF137" s="38" t="s">
        <v>55</v>
      </c>
      <c r="AG137" s="38" t="s">
        <v>56</v>
      </c>
      <c r="AH137" s="38" t="s">
        <v>86</v>
      </c>
      <c r="AI137" s="1380"/>
      <c r="AJ137" s="38" t="s">
        <v>1201</v>
      </c>
      <c r="AK137" s="38" t="s">
        <v>149</v>
      </c>
      <c r="AL137" s="1380"/>
      <c r="AM137" s="1420">
        <v>1</v>
      </c>
      <c r="AN137" s="1420"/>
      <c r="AO137" s="1420"/>
      <c r="AP137" s="1420"/>
      <c r="AQ137" s="1420"/>
      <c r="AR137" s="1420"/>
      <c r="AS137" s="1420"/>
      <c r="AT137" s="1420"/>
      <c r="AU137" s="1420"/>
      <c r="AV137" s="1420"/>
      <c r="AW137" s="1420"/>
      <c r="AX137" s="1420"/>
      <c r="AY137" s="1420"/>
      <c r="AZ137" s="1420"/>
      <c r="BA137" s="1420"/>
      <c r="BB137" s="1420"/>
      <c r="BC137" s="1420"/>
      <c r="BD137" s="1420"/>
      <c r="BE137" s="1420"/>
      <c r="BF137" s="1420"/>
      <c r="BG137" s="1420"/>
      <c r="BH137" s="1420"/>
      <c r="BI137" s="1420"/>
      <c r="BJ137" s="1420"/>
      <c r="BK137" s="1420"/>
      <c r="BL137" s="1420"/>
      <c r="BM137" s="1420"/>
      <c r="BN137" s="1420"/>
      <c r="BO137" s="1420"/>
      <c r="BP137" s="1420"/>
      <c r="BQ137" s="1420"/>
      <c r="BR137" s="1420"/>
      <c r="BS137" s="1420"/>
      <c r="BT137" s="1420"/>
      <c r="BU137" s="1420"/>
      <c r="BV137" s="1420"/>
      <c r="BW137" s="1420"/>
      <c r="BX137" s="1420"/>
      <c r="BY137" s="1420"/>
      <c r="BZ137" s="1420"/>
      <c r="CA137" s="1420"/>
      <c r="CB137" s="1420"/>
      <c r="CC137" s="1420"/>
      <c r="CD137" s="1420"/>
      <c r="CE137" s="1420"/>
      <c r="CF137" s="1420"/>
      <c r="CG137" s="1420"/>
      <c r="CH137" s="1420"/>
      <c r="CI137" s="1420"/>
      <c r="CJ137" s="1420"/>
      <c r="CK137" s="1420"/>
      <c r="CL137" s="1420"/>
      <c r="CM137" s="1420"/>
      <c r="CN137" s="1420"/>
      <c r="CO137" s="1420"/>
      <c r="CP137" s="1420"/>
      <c r="CQ137" s="1420"/>
      <c r="CR137" s="1420"/>
      <c r="CS137" s="1420"/>
      <c r="CT137" s="1420"/>
      <c r="CU137" s="1420"/>
      <c r="CV137" s="1420"/>
      <c r="CW137" s="1420"/>
      <c r="CX137" s="1420"/>
      <c r="CY137" s="1420"/>
      <c r="CZ137" s="1420"/>
      <c r="DA137" s="1420"/>
      <c r="DB137" s="1420"/>
      <c r="DC137" s="1420"/>
      <c r="DD137" s="1420"/>
      <c r="DE137" s="1420"/>
      <c r="DF137" s="1420"/>
      <c r="DG137" s="1420"/>
    </row>
    <row r="138" spans="1:111" s="13" customFormat="1" ht="113.25" customHeight="1" x14ac:dyDescent="0.25">
      <c r="A138" s="14">
        <v>46087</v>
      </c>
      <c r="B138" s="41" t="s">
        <v>1202</v>
      </c>
      <c r="C138" s="1345" t="s">
        <v>1203</v>
      </c>
      <c r="D138" s="41" t="s">
        <v>1204</v>
      </c>
      <c r="E138" s="42" t="s">
        <v>39</v>
      </c>
      <c r="F138" s="1394">
        <v>1</v>
      </c>
      <c r="G138" s="1395"/>
      <c r="H138" s="1395"/>
      <c r="I138" s="72" t="s">
        <v>1205</v>
      </c>
      <c r="J138" s="45">
        <v>100</v>
      </c>
      <c r="K138" s="46" t="s">
        <v>1206</v>
      </c>
      <c r="L138" s="47" t="s">
        <v>63</v>
      </c>
      <c r="M138" s="73" t="s">
        <v>42</v>
      </c>
      <c r="N138" s="48" t="s">
        <v>1207</v>
      </c>
      <c r="O138" s="49" t="s">
        <v>1208</v>
      </c>
      <c r="P138" s="197" t="s">
        <v>1209</v>
      </c>
      <c r="Q138" s="49" t="s">
        <v>1210</v>
      </c>
      <c r="R138" s="92">
        <v>110</v>
      </c>
      <c r="S138" s="92">
        <v>767</v>
      </c>
      <c r="T138" s="51" t="s">
        <v>141</v>
      </c>
      <c r="U138" s="51">
        <v>35</v>
      </c>
      <c r="V138" s="75">
        <f t="shared" si="4"/>
        <v>3500</v>
      </c>
      <c r="W138" s="51" t="s">
        <v>68</v>
      </c>
      <c r="X138" s="30" t="s">
        <v>1211</v>
      </c>
      <c r="Y138" s="64" t="s">
        <v>324</v>
      </c>
      <c r="Z138" s="32" t="s">
        <v>51</v>
      </c>
      <c r="AA138" s="33" t="s">
        <v>1212</v>
      </c>
      <c r="AB138" s="65" t="s">
        <v>1213</v>
      </c>
      <c r="AC138" s="35">
        <v>22860</v>
      </c>
      <c r="AD138" s="66"/>
      <c r="AE138" s="67" t="s">
        <v>85</v>
      </c>
      <c r="AF138" s="38" t="s">
        <v>55</v>
      </c>
      <c r="AG138" s="38" t="s">
        <v>56</v>
      </c>
      <c r="AH138" s="38" t="s">
        <v>86</v>
      </c>
      <c r="AI138" s="38"/>
      <c r="AJ138" s="38"/>
      <c r="AK138" s="38"/>
      <c r="AL138" s="68"/>
      <c r="AM138" s="66">
        <v>1</v>
      </c>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66"/>
      <c r="CO138" s="66"/>
      <c r="CP138" s="66"/>
      <c r="CQ138" s="66"/>
      <c r="CR138" s="66"/>
      <c r="CS138" s="66"/>
      <c r="CT138" s="66"/>
      <c r="CU138" s="66"/>
      <c r="CV138" s="66"/>
      <c r="CW138" s="66"/>
      <c r="CX138" s="66"/>
      <c r="CY138" s="66"/>
      <c r="CZ138" s="66"/>
      <c r="DA138" s="66"/>
      <c r="DB138" s="66"/>
      <c r="DC138" s="66"/>
      <c r="DD138" s="66"/>
      <c r="DE138" s="66"/>
      <c r="DF138" s="66"/>
      <c r="DG138" s="66"/>
    </row>
    <row r="139" spans="1:111" s="13" customFormat="1" ht="113.25" customHeight="1" x14ac:dyDescent="0.25">
      <c r="A139" s="14">
        <v>46087</v>
      </c>
      <c r="B139" s="1345" t="s">
        <v>1214</v>
      </c>
      <c r="C139" s="1345" t="s">
        <v>1215</v>
      </c>
      <c r="D139" s="1345" t="s">
        <v>1216</v>
      </c>
      <c r="E139" s="1368" t="s">
        <v>39</v>
      </c>
      <c r="F139" s="1405">
        <v>1</v>
      </c>
      <c r="G139" s="1363"/>
      <c r="H139" s="1363"/>
      <c r="I139" s="44" t="s">
        <v>1217</v>
      </c>
      <c r="J139" s="1365">
        <v>7</v>
      </c>
      <c r="K139" s="46" t="s">
        <v>1218</v>
      </c>
      <c r="L139" s="1367" t="s">
        <v>63</v>
      </c>
      <c r="M139" s="73" t="s">
        <v>42</v>
      </c>
      <c r="N139" s="48" t="s">
        <v>1219</v>
      </c>
      <c r="O139" s="1370" t="s">
        <v>1056</v>
      </c>
      <c r="P139" s="1370" t="s">
        <v>1220</v>
      </c>
      <c r="Q139" s="1370" t="s">
        <v>1164</v>
      </c>
      <c r="R139" s="1371">
        <v>103</v>
      </c>
      <c r="S139" s="1371">
        <v>622</v>
      </c>
      <c r="T139" s="1372" t="s">
        <v>180</v>
      </c>
      <c r="U139" s="1372">
        <v>39</v>
      </c>
      <c r="V139" s="1373">
        <f t="shared" si="4"/>
        <v>273</v>
      </c>
      <c r="W139" s="1372" t="s">
        <v>48</v>
      </c>
      <c r="X139" s="1416" t="s">
        <v>265</v>
      </c>
      <c r="Y139" s="1417" t="s">
        <v>82</v>
      </c>
      <c r="Z139" s="1393" t="s">
        <v>51</v>
      </c>
      <c r="AA139" s="1418" t="s">
        <v>1084</v>
      </c>
      <c r="AB139" s="1378" t="s">
        <v>1221</v>
      </c>
      <c r="AC139" s="1379">
        <v>8120.5</v>
      </c>
      <c r="AD139" s="1413"/>
      <c r="AE139" s="67" t="s">
        <v>85</v>
      </c>
      <c r="AF139" s="1380" t="s">
        <v>55</v>
      </c>
      <c r="AG139" s="1380" t="s">
        <v>56</v>
      </c>
      <c r="AH139" s="1380" t="s">
        <v>56</v>
      </c>
      <c r="AI139" s="1380"/>
      <c r="AJ139" s="1380"/>
      <c r="AK139" s="1380"/>
      <c r="AL139" s="68"/>
      <c r="AM139" s="1413">
        <v>1</v>
      </c>
      <c r="AN139" s="1413"/>
      <c r="AO139" s="1413"/>
      <c r="AP139" s="1413"/>
      <c r="AQ139" s="1413"/>
      <c r="AR139" s="1413"/>
      <c r="AS139" s="1413"/>
      <c r="AT139" s="1413"/>
      <c r="AU139" s="1413"/>
      <c r="AV139" s="1413"/>
      <c r="AW139" s="1413"/>
      <c r="AX139" s="1413"/>
      <c r="AY139" s="1413"/>
      <c r="AZ139" s="1413"/>
      <c r="BA139" s="1413"/>
      <c r="BB139" s="1413"/>
      <c r="BC139" s="1413"/>
      <c r="BD139" s="1413"/>
      <c r="BE139" s="1413"/>
      <c r="BF139" s="1413"/>
      <c r="BG139" s="1413"/>
      <c r="BH139" s="1413"/>
      <c r="BI139" s="1413"/>
      <c r="BJ139" s="1413"/>
      <c r="BK139" s="1413"/>
      <c r="BL139" s="1413"/>
      <c r="BM139" s="1413"/>
      <c r="BN139" s="1413"/>
      <c r="BO139" s="1413"/>
      <c r="BP139" s="1413"/>
      <c r="BQ139" s="1413"/>
      <c r="BR139" s="1413"/>
      <c r="BS139" s="1413"/>
      <c r="BT139" s="1413"/>
      <c r="BU139" s="1413"/>
      <c r="BV139" s="1413"/>
      <c r="BW139" s="1413"/>
      <c r="BX139" s="1413"/>
      <c r="BY139" s="1413"/>
      <c r="BZ139" s="1413"/>
      <c r="CA139" s="1413"/>
      <c r="CB139" s="1413"/>
      <c r="CC139" s="1413"/>
      <c r="CD139" s="1413"/>
      <c r="CE139" s="1413"/>
      <c r="CF139" s="1413"/>
      <c r="CG139" s="1413"/>
      <c r="CH139" s="1413"/>
      <c r="CI139" s="1413"/>
      <c r="CJ139" s="1413"/>
      <c r="CK139" s="1413"/>
      <c r="CL139" s="1413"/>
      <c r="CM139" s="1413"/>
      <c r="CN139" s="1413"/>
      <c r="CO139" s="1413"/>
      <c r="CP139" s="1413"/>
      <c r="CQ139" s="1413"/>
      <c r="CR139" s="1413"/>
      <c r="CS139" s="1413"/>
      <c r="CT139" s="1413"/>
      <c r="CU139" s="1413"/>
      <c r="CV139" s="1413"/>
      <c r="CW139" s="1413"/>
      <c r="CX139" s="1413"/>
      <c r="CY139" s="1413"/>
      <c r="CZ139" s="1413"/>
      <c r="DA139" s="1413"/>
      <c r="DB139" s="1413"/>
      <c r="DC139" s="1413"/>
      <c r="DD139" s="1413"/>
      <c r="DE139" s="66"/>
      <c r="DF139" s="66"/>
      <c r="DG139" s="66"/>
    </row>
    <row r="140" spans="1:111" s="13" customFormat="1" ht="113.25" customHeight="1" x14ac:dyDescent="0.25">
      <c r="A140" s="14">
        <v>46087</v>
      </c>
      <c r="B140" s="41" t="s">
        <v>1222</v>
      </c>
      <c r="C140" s="41" t="s">
        <v>1223</v>
      </c>
      <c r="D140" s="41"/>
      <c r="E140" s="42" t="s">
        <v>39</v>
      </c>
      <c r="F140" s="1405">
        <v>1</v>
      </c>
      <c r="G140" s="43"/>
      <c r="H140" s="43"/>
      <c r="I140" s="72" t="s">
        <v>1224</v>
      </c>
      <c r="J140" s="45">
        <v>60</v>
      </c>
      <c r="K140" s="46" t="s">
        <v>1218</v>
      </c>
      <c r="L140" s="47" t="s">
        <v>63</v>
      </c>
      <c r="M140" s="42" t="s">
        <v>55</v>
      </c>
      <c r="N140" s="48" t="s">
        <v>240</v>
      </c>
      <c r="O140" s="49" t="s">
        <v>1225</v>
      </c>
      <c r="P140" s="49" t="s">
        <v>1226</v>
      </c>
      <c r="Q140" s="49" t="s">
        <v>1056</v>
      </c>
      <c r="R140" s="50">
        <v>50</v>
      </c>
      <c r="S140" s="50">
        <v>107</v>
      </c>
      <c r="T140" s="51" t="s">
        <v>47</v>
      </c>
      <c r="U140" s="51">
        <v>29</v>
      </c>
      <c r="V140" s="75">
        <f t="shared" si="4"/>
        <v>1740</v>
      </c>
      <c r="W140" s="51" t="s">
        <v>350</v>
      </c>
      <c r="X140" s="271" t="s">
        <v>905</v>
      </c>
      <c r="Y140" s="64" t="s">
        <v>50</v>
      </c>
      <c r="Z140" s="1393" t="s">
        <v>51</v>
      </c>
      <c r="AA140" s="33" t="s">
        <v>1158</v>
      </c>
      <c r="AB140" s="65" t="s">
        <v>1227</v>
      </c>
      <c r="AC140" s="35">
        <v>7492.2</v>
      </c>
      <c r="AD140" s="66"/>
      <c r="AE140" s="67" t="s">
        <v>73</v>
      </c>
      <c r="AF140" s="38" t="s">
        <v>55</v>
      </c>
      <c r="AG140" s="38" t="s">
        <v>56</v>
      </c>
      <c r="AH140" s="38" t="s">
        <v>86</v>
      </c>
      <c r="AI140" s="38"/>
      <c r="AJ140" s="38" t="s">
        <v>56</v>
      </c>
      <c r="AK140" s="38" t="s">
        <v>74</v>
      </c>
      <c r="AL140" s="68"/>
      <c r="AM140" s="66">
        <v>1</v>
      </c>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66"/>
      <c r="BL140" s="66"/>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66"/>
      <c r="CO140" s="66"/>
      <c r="CP140" s="66"/>
      <c r="CQ140" s="66"/>
      <c r="CR140" s="66"/>
      <c r="CS140" s="66"/>
      <c r="CT140" s="66"/>
      <c r="CU140" s="66"/>
      <c r="CV140" s="66"/>
      <c r="CW140" s="66"/>
      <c r="CX140" s="66"/>
      <c r="CY140" s="66"/>
      <c r="CZ140" s="66"/>
      <c r="DA140" s="66"/>
      <c r="DB140" s="66"/>
      <c r="DC140" s="66"/>
      <c r="DD140" s="66"/>
      <c r="DE140" s="66"/>
      <c r="DF140" s="66"/>
      <c r="DG140" s="66"/>
    </row>
    <row r="141" spans="1:111" s="13" customFormat="1" ht="113.25" customHeight="1" x14ac:dyDescent="0.25">
      <c r="A141" s="14">
        <v>46087</v>
      </c>
      <c r="B141" s="41" t="s">
        <v>989</v>
      </c>
      <c r="C141" s="1345" t="s">
        <v>1228</v>
      </c>
      <c r="D141" s="41" t="s">
        <v>1229</v>
      </c>
      <c r="E141" s="42" t="s">
        <v>39</v>
      </c>
      <c r="F141" s="43"/>
      <c r="G141" s="43"/>
      <c r="H141" s="1405">
        <v>4</v>
      </c>
      <c r="I141" s="69" t="s">
        <v>1230</v>
      </c>
      <c r="J141" s="45">
        <v>2</v>
      </c>
      <c r="K141" s="46" t="s">
        <v>1206</v>
      </c>
      <c r="L141" s="47" t="s">
        <v>63</v>
      </c>
      <c r="M141" s="42" t="s">
        <v>55</v>
      </c>
      <c r="N141" s="77" t="s">
        <v>1231</v>
      </c>
      <c r="O141" s="49">
        <v>137864</v>
      </c>
      <c r="P141" s="49" t="s">
        <v>1232</v>
      </c>
      <c r="Q141" s="49" t="s">
        <v>1233</v>
      </c>
      <c r="R141" s="50">
        <v>63</v>
      </c>
      <c r="S141" s="92">
        <v>1070</v>
      </c>
      <c r="T141" s="51" t="s">
        <v>180</v>
      </c>
      <c r="U141" s="51">
        <v>24</v>
      </c>
      <c r="V141" s="52">
        <f t="shared" si="4"/>
        <v>48</v>
      </c>
      <c r="W141" s="51" t="s">
        <v>142</v>
      </c>
      <c r="X141" s="30" t="s">
        <v>1234</v>
      </c>
      <c r="Y141" s="64" t="s">
        <v>144</v>
      </c>
      <c r="Z141" s="32" t="s">
        <v>51</v>
      </c>
      <c r="AA141" s="33" t="s">
        <v>1047</v>
      </c>
      <c r="AB141" s="65" t="s">
        <v>1235</v>
      </c>
      <c r="AC141" s="35">
        <v>4348.5200000000004</v>
      </c>
      <c r="AD141" s="66"/>
      <c r="AE141" s="107" t="s">
        <v>1236</v>
      </c>
      <c r="AF141" s="38" t="s">
        <v>55</v>
      </c>
      <c r="AG141" s="38" t="s">
        <v>56</v>
      </c>
      <c r="AH141" s="38" t="s">
        <v>86</v>
      </c>
      <c r="AI141" s="38"/>
      <c r="AJ141" s="38"/>
      <c r="AK141" s="38"/>
      <c r="AL141" s="1419"/>
      <c r="AM141" s="66">
        <v>1</v>
      </c>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66"/>
      <c r="CO141" s="66"/>
      <c r="CP141" s="66"/>
      <c r="CQ141" s="66"/>
      <c r="CR141" s="66"/>
      <c r="CS141" s="66"/>
      <c r="CT141" s="66"/>
      <c r="CU141" s="66"/>
      <c r="CV141" s="66"/>
      <c r="CW141" s="66"/>
      <c r="CX141" s="66"/>
      <c r="CY141" s="66"/>
      <c r="CZ141" s="66"/>
      <c r="DA141" s="66"/>
      <c r="DB141" s="66"/>
      <c r="DC141" s="66"/>
      <c r="DD141" s="66"/>
      <c r="DE141" s="66"/>
      <c r="DF141" s="66"/>
      <c r="DG141" s="66"/>
    </row>
    <row r="142" spans="1:111" s="13" customFormat="1" ht="113.25" customHeight="1" x14ac:dyDescent="0.25">
      <c r="A142" s="14">
        <v>46087</v>
      </c>
      <c r="B142" s="41" t="s">
        <v>1237</v>
      </c>
      <c r="C142" s="1345" t="s">
        <v>1238</v>
      </c>
      <c r="D142" s="273" t="s">
        <v>1239</v>
      </c>
      <c r="E142" s="42" t="s">
        <v>39</v>
      </c>
      <c r="F142" s="43"/>
      <c r="G142" s="43"/>
      <c r="H142" s="1405">
        <v>1</v>
      </c>
      <c r="I142" s="72" t="s">
        <v>9872</v>
      </c>
      <c r="J142" s="45">
        <v>370</v>
      </c>
      <c r="K142" s="1346" t="s">
        <v>1240</v>
      </c>
      <c r="L142" s="47" t="s">
        <v>63</v>
      </c>
      <c r="M142" s="42" t="s">
        <v>55</v>
      </c>
      <c r="N142" s="48" t="s">
        <v>1241</v>
      </c>
      <c r="O142" s="49" t="s">
        <v>1132</v>
      </c>
      <c r="P142" s="49" t="s">
        <v>1242</v>
      </c>
      <c r="Q142" s="49" t="s">
        <v>1155</v>
      </c>
      <c r="R142" s="50">
        <v>6</v>
      </c>
      <c r="S142" s="50">
        <v>14</v>
      </c>
      <c r="T142" s="51" t="s">
        <v>47</v>
      </c>
      <c r="U142" s="51">
        <v>1</v>
      </c>
      <c r="V142" s="52">
        <f t="shared" si="4"/>
        <v>370</v>
      </c>
      <c r="W142" s="51" t="s">
        <v>142</v>
      </c>
      <c r="X142" s="30" t="s">
        <v>1243</v>
      </c>
      <c r="Y142" s="64" t="s">
        <v>82</v>
      </c>
      <c r="Z142" s="32" t="s">
        <v>51</v>
      </c>
      <c r="AA142" s="33" t="s">
        <v>585</v>
      </c>
      <c r="AB142" s="65" t="s">
        <v>586</v>
      </c>
      <c r="AC142" s="35">
        <v>9953</v>
      </c>
      <c r="AD142" s="66"/>
      <c r="AE142" s="67" t="s">
        <v>85</v>
      </c>
      <c r="AF142" s="38" t="s">
        <v>55</v>
      </c>
      <c r="AG142" s="38" t="s">
        <v>56</v>
      </c>
      <c r="AH142" s="38" t="s">
        <v>56</v>
      </c>
      <c r="AI142" s="38"/>
      <c r="AJ142" s="38" t="s">
        <v>56</v>
      </c>
      <c r="AK142" s="38" t="s">
        <v>304</v>
      </c>
      <c r="AL142" s="68"/>
      <c r="AM142" s="66">
        <v>50</v>
      </c>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66"/>
      <c r="CO142" s="66"/>
      <c r="CP142" s="66"/>
      <c r="CQ142" s="66"/>
      <c r="CR142" s="66"/>
      <c r="CS142" s="66"/>
      <c r="CT142" s="66"/>
      <c r="CU142" s="66"/>
      <c r="CV142" s="66"/>
      <c r="CW142" s="66"/>
      <c r="CX142" s="66"/>
      <c r="CY142" s="66"/>
      <c r="CZ142" s="66"/>
      <c r="DA142" s="66"/>
      <c r="DB142" s="66"/>
      <c r="DC142" s="66"/>
      <c r="DD142" s="66"/>
      <c r="DE142" s="66"/>
      <c r="DF142" s="66"/>
      <c r="DG142" s="66"/>
    </row>
    <row r="143" spans="1:111" s="13" customFormat="1" ht="113.25" customHeight="1" x14ac:dyDescent="0.25">
      <c r="A143" s="14">
        <v>46086</v>
      </c>
      <c r="B143" s="1345" t="s">
        <v>1049</v>
      </c>
      <c r="C143" s="1345" t="s">
        <v>1050</v>
      </c>
      <c r="D143" s="1345" t="s">
        <v>1244</v>
      </c>
      <c r="E143" s="42" t="s">
        <v>39</v>
      </c>
      <c r="F143" s="1395"/>
      <c r="G143" s="1395"/>
      <c r="H143" s="1405">
        <v>3</v>
      </c>
      <c r="I143" s="72" t="s">
        <v>1245</v>
      </c>
      <c r="J143" s="45">
        <v>205</v>
      </c>
      <c r="K143" s="1346" t="s">
        <v>1246</v>
      </c>
      <c r="L143" s="1367" t="s">
        <v>63</v>
      </c>
      <c r="M143" s="73" t="s">
        <v>42</v>
      </c>
      <c r="N143" s="77" t="s">
        <v>1247</v>
      </c>
      <c r="O143" s="49"/>
      <c r="P143" s="49" t="s">
        <v>1055</v>
      </c>
      <c r="Q143" s="49" t="s">
        <v>1056</v>
      </c>
      <c r="R143" s="50">
        <v>2</v>
      </c>
      <c r="S143" s="50">
        <v>3</v>
      </c>
      <c r="T143" s="51" t="s">
        <v>96</v>
      </c>
      <c r="U143" s="51">
        <v>0</v>
      </c>
      <c r="V143" s="52">
        <f t="shared" si="4"/>
        <v>0</v>
      </c>
      <c r="W143" s="51" t="s">
        <v>142</v>
      </c>
      <c r="X143" s="30" t="s">
        <v>434</v>
      </c>
      <c r="Y143" s="64" t="s">
        <v>82</v>
      </c>
      <c r="Z143" s="32" t="s">
        <v>1057</v>
      </c>
      <c r="AA143" s="33" t="s">
        <v>1047</v>
      </c>
      <c r="AB143" s="65" t="s">
        <v>1058</v>
      </c>
      <c r="AC143" s="35">
        <f>750 + (4812.5 * J143/ 250)</f>
        <v>4696.25</v>
      </c>
      <c r="AD143" s="66"/>
      <c r="AE143" s="67" t="s">
        <v>85</v>
      </c>
      <c r="AF143" s="38" t="str">
        <f>IF(U143=0,"x","")</f>
        <v>x</v>
      </c>
      <c r="AG143" s="38" t="s">
        <v>56</v>
      </c>
      <c r="AH143" s="38" t="s">
        <v>56</v>
      </c>
      <c r="AI143" s="38"/>
      <c r="AJ143" s="38"/>
      <c r="AK143" s="38"/>
      <c r="AL143" s="68"/>
      <c r="AM143" s="66">
        <v>20</v>
      </c>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66"/>
      <c r="CK143" s="66"/>
      <c r="CL143" s="66"/>
      <c r="CM143" s="66"/>
      <c r="CN143" s="66"/>
      <c r="CO143" s="66"/>
      <c r="CP143" s="66"/>
      <c r="CQ143" s="66"/>
      <c r="CR143" s="66"/>
      <c r="CS143" s="66"/>
      <c r="CT143" s="66"/>
      <c r="CU143" s="66"/>
      <c r="CV143" s="66"/>
      <c r="CW143" s="66"/>
      <c r="CX143" s="66"/>
      <c r="CY143" s="66"/>
      <c r="CZ143" s="66"/>
      <c r="DA143" s="66"/>
      <c r="DB143" s="66"/>
      <c r="DC143" s="66"/>
      <c r="DD143" s="66"/>
      <c r="DE143" s="66"/>
      <c r="DF143" s="66"/>
      <c r="DG143" s="66"/>
    </row>
    <row r="144" spans="1:111" s="13" customFormat="1" ht="113.25" customHeight="1" x14ac:dyDescent="0.25">
      <c r="A144" s="14">
        <v>46086</v>
      </c>
      <c r="B144" s="41" t="s">
        <v>1151</v>
      </c>
      <c r="C144" s="41" t="s">
        <v>1152</v>
      </c>
      <c r="D144" s="41"/>
      <c r="E144" s="42" t="s">
        <v>39</v>
      </c>
      <c r="F144" s="43"/>
      <c r="G144" s="43"/>
      <c r="H144" s="1405">
        <v>2</v>
      </c>
      <c r="I144" s="72" t="s">
        <v>9873</v>
      </c>
      <c r="J144" s="45">
        <v>55</v>
      </c>
      <c r="K144" s="46" t="s">
        <v>1248</v>
      </c>
      <c r="L144" s="47" t="s">
        <v>63</v>
      </c>
      <c r="M144" s="42" t="s">
        <v>55</v>
      </c>
      <c r="N144" s="77" t="s">
        <v>1249</v>
      </c>
      <c r="O144" s="49" t="s">
        <v>1250</v>
      </c>
      <c r="P144" s="49" t="s">
        <v>1251</v>
      </c>
      <c r="Q144" s="49" t="s">
        <v>1130</v>
      </c>
      <c r="R144" s="50">
        <v>57</v>
      </c>
      <c r="S144" s="50">
        <v>141</v>
      </c>
      <c r="T144" s="51" t="s">
        <v>47</v>
      </c>
      <c r="U144" s="51">
        <v>20</v>
      </c>
      <c r="V144" s="75">
        <f t="shared" si="4"/>
        <v>1100</v>
      </c>
      <c r="W144" s="51" t="s">
        <v>350</v>
      </c>
      <c r="X144" s="271" t="s">
        <v>905</v>
      </c>
      <c r="Y144" s="64" t="s">
        <v>50</v>
      </c>
      <c r="Z144" s="32" t="s">
        <v>51</v>
      </c>
      <c r="AA144" s="33" t="s">
        <v>1158</v>
      </c>
      <c r="AB144" s="65" t="s">
        <v>1252</v>
      </c>
      <c r="AC144" s="35">
        <v>5667.75</v>
      </c>
      <c r="AD144" s="66"/>
      <c r="AE144" s="67" t="s">
        <v>73</v>
      </c>
      <c r="AF144" s="38" t="s">
        <v>55</v>
      </c>
      <c r="AG144" s="38" t="s">
        <v>56</v>
      </c>
      <c r="AH144" s="38" t="s">
        <v>56</v>
      </c>
      <c r="AI144" s="38"/>
      <c r="AJ144" s="38"/>
      <c r="AK144" s="38" t="s">
        <v>74</v>
      </c>
      <c r="AL144" s="1436" t="s">
        <v>1253</v>
      </c>
      <c r="AM144" s="66">
        <v>1</v>
      </c>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66"/>
      <c r="BL144" s="66"/>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66"/>
      <c r="CM144" s="66"/>
      <c r="CN144" s="66"/>
      <c r="CO144" s="66"/>
      <c r="CP144" s="66"/>
      <c r="CQ144" s="66"/>
      <c r="CR144" s="66"/>
      <c r="CS144" s="66"/>
      <c r="CT144" s="66"/>
      <c r="CU144" s="66"/>
      <c r="CV144" s="66"/>
      <c r="CW144" s="66"/>
      <c r="CX144" s="66"/>
      <c r="CY144" s="66"/>
      <c r="CZ144" s="66"/>
      <c r="DA144" s="66"/>
      <c r="DB144" s="66"/>
      <c r="DC144" s="66"/>
      <c r="DD144" s="66"/>
      <c r="DE144" s="66"/>
      <c r="DF144" s="66"/>
      <c r="DG144" s="66"/>
    </row>
    <row r="145" spans="1:111" s="13" customFormat="1" ht="152.25" customHeight="1" x14ac:dyDescent="0.25">
      <c r="A145" s="14">
        <v>46085</v>
      </c>
      <c r="B145" s="1345" t="s">
        <v>1254</v>
      </c>
      <c r="C145" s="1345" t="s">
        <v>1255</v>
      </c>
      <c r="D145" s="1345"/>
      <c r="E145" s="1368" t="s">
        <v>39</v>
      </c>
      <c r="F145" s="1363"/>
      <c r="G145" s="1363"/>
      <c r="H145" s="1405">
        <v>2</v>
      </c>
      <c r="I145" s="44" t="s">
        <v>1256</v>
      </c>
      <c r="J145" s="1365">
        <v>100</v>
      </c>
      <c r="K145" s="1346" t="s">
        <v>1257</v>
      </c>
      <c r="L145" s="1367" t="s">
        <v>63</v>
      </c>
      <c r="M145" s="42" t="s">
        <v>55</v>
      </c>
      <c r="N145" s="48" t="s">
        <v>1258</v>
      </c>
      <c r="O145" s="1370"/>
      <c r="P145" s="1370" t="s">
        <v>1259</v>
      </c>
      <c r="Q145" s="1370" t="s">
        <v>1260</v>
      </c>
      <c r="R145" s="1371">
        <v>33</v>
      </c>
      <c r="S145" s="1371">
        <v>167</v>
      </c>
      <c r="T145" s="1372" t="s">
        <v>96</v>
      </c>
      <c r="U145" s="1372">
        <v>5</v>
      </c>
      <c r="V145" s="1438">
        <f t="shared" si="4"/>
        <v>500</v>
      </c>
      <c r="W145" s="1372" t="s">
        <v>48</v>
      </c>
      <c r="X145" s="1416" t="s">
        <v>1261</v>
      </c>
      <c r="Y145" s="1417" t="s">
        <v>82</v>
      </c>
      <c r="Z145" s="32" t="s">
        <v>51</v>
      </c>
      <c r="AA145" s="1418" t="s">
        <v>923</v>
      </c>
      <c r="AB145" s="1378" t="s">
        <v>1221</v>
      </c>
      <c r="AC145" s="1379">
        <v>8886</v>
      </c>
      <c r="AD145" s="1413"/>
      <c r="AE145" s="67" t="s">
        <v>73</v>
      </c>
      <c r="AF145" s="1380" t="s">
        <v>55</v>
      </c>
      <c r="AG145" s="38" t="s">
        <v>56</v>
      </c>
      <c r="AH145" s="38" t="s">
        <v>56</v>
      </c>
      <c r="AI145" s="1380"/>
      <c r="AJ145" s="38" t="s">
        <v>56</v>
      </c>
      <c r="AK145" s="38" t="s">
        <v>74</v>
      </c>
      <c r="AL145" s="1419"/>
      <c r="AM145" s="1413">
        <v>2</v>
      </c>
      <c r="AN145" s="1413"/>
      <c r="AO145" s="1413"/>
      <c r="AP145" s="1413"/>
      <c r="AQ145" s="1413"/>
      <c r="AR145" s="1413"/>
      <c r="AS145" s="1413"/>
      <c r="AT145" s="1413"/>
      <c r="AU145" s="1413"/>
      <c r="AV145" s="1413"/>
      <c r="AW145" s="1413"/>
      <c r="AX145" s="1413"/>
      <c r="AY145" s="1413"/>
      <c r="AZ145" s="1413"/>
      <c r="BA145" s="1413"/>
      <c r="BB145" s="1413"/>
      <c r="BC145" s="1413"/>
      <c r="BD145" s="1413"/>
      <c r="BE145" s="1413"/>
      <c r="BF145" s="1413"/>
      <c r="BG145" s="1413"/>
      <c r="BH145" s="1413"/>
      <c r="BI145" s="1413"/>
      <c r="BJ145" s="1413"/>
      <c r="BK145" s="1413"/>
      <c r="BL145" s="1413"/>
      <c r="BM145" s="1413"/>
      <c r="BN145" s="1413"/>
      <c r="BO145" s="1413"/>
      <c r="BP145" s="1413"/>
      <c r="BQ145" s="1413"/>
      <c r="BR145" s="1413"/>
      <c r="BS145" s="1413"/>
      <c r="BT145" s="1413"/>
      <c r="BU145" s="1413"/>
      <c r="BV145" s="1413"/>
      <c r="BW145" s="1413"/>
      <c r="BX145" s="1413"/>
      <c r="BY145" s="1413"/>
      <c r="BZ145" s="1413"/>
      <c r="CA145" s="1413"/>
      <c r="CB145" s="1413"/>
      <c r="CC145" s="1413"/>
      <c r="CD145" s="1413"/>
      <c r="CE145" s="1413"/>
      <c r="CF145" s="1413"/>
      <c r="CG145" s="1413"/>
      <c r="CH145" s="1413"/>
      <c r="CI145" s="1413"/>
      <c r="CJ145" s="1413"/>
      <c r="CK145" s="1413"/>
      <c r="CL145" s="1413"/>
      <c r="CM145" s="1413"/>
      <c r="CN145" s="1413"/>
      <c r="CO145" s="1413"/>
      <c r="CP145" s="1413"/>
      <c r="CQ145" s="1413"/>
      <c r="CR145" s="1413"/>
      <c r="CS145" s="1413"/>
      <c r="CT145" s="1413"/>
      <c r="CU145" s="1413"/>
      <c r="CV145" s="1413"/>
      <c r="CW145" s="1413"/>
      <c r="CX145" s="1413"/>
      <c r="CY145" s="1413"/>
      <c r="CZ145" s="1413"/>
      <c r="DA145" s="1413"/>
      <c r="DB145" s="1413"/>
      <c r="DC145" s="1413"/>
      <c r="DD145" s="1413"/>
      <c r="DE145" s="66"/>
      <c r="DF145" s="66"/>
      <c r="DG145" s="66"/>
    </row>
    <row r="146" spans="1:111" s="13" customFormat="1" ht="113.25" customHeight="1" x14ac:dyDescent="0.25">
      <c r="A146" s="14">
        <v>46084</v>
      </c>
      <c r="B146" s="54" t="s">
        <v>1262</v>
      </c>
      <c r="C146" s="55" t="s">
        <v>1263</v>
      </c>
      <c r="D146" s="54" t="s">
        <v>1264</v>
      </c>
      <c r="E146" s="1403" t="s">
        <v>39</v>
      </c>
      <c r="F146" s="19">
        <v>1</v>
      </c>
      <c r="G146" s="1437"/>
      <c r="H146" s="1437"/>
      <c r="I146" s="69" t="s">
        <v>1265</v>
      </c>
      <c r="J146" s="59">
        <v>38</v>
      </c>
      <c r="K146" s="1400" t="s">
        <v>1266</v>
      </c>
      <c r="L146" s="61" t="s">
        <v>63</v>
      </c>
      <c r="M146" s="61" t="s">
        <v>42</v>
      </c>
      <c r="N146" s="80" t="s">
        <v>1267</v>
      </c>
      <c r="O146" s="62" t="s">
        <v>1268</v>
      </c>
      <c r="P146" s="62" t="s">
        <v>1269</v>
      </c>
      <c r="Q146" s="62" t="s">
        <v>1270</v>
      </c>
      <c r="R146" s="92">
        <v>136</v>
      </c>
      <c r="S146" s="92">
        <v>520</v>
      </c>
      <c r="T146" s="56" t="s">
        <v>180</v>
      </c>
      <c r="U146" s="56">
        <v>5</v>
      </c>
      <c r="V146" s="63">
        <f t="shared" si="4"/>
        <v>190</v>
      </c>
      <c r="W146" s="56" t="s">
        <v>48</v>
      </c>
      <c r="X146" s="30" t="s">
        <v>482</v>
      </c>
      <c r="Y146" s="64" t="s">
        <v>50</v>
      </c>
      <c r="Z146" s="32" t="s">
        <v>51</v>
      </c>
      <c r="AA146" s="33" t="s">
        <v>1068</v>
      </c>
      <c r="AB146" s="65" t="s">
        <v>1271</v>
      </c>
      <c r="AC146" s="35">
        <v>25379.4</v>
      </c>
      <c r="AD146" s="66"/>
      <c r="AE146" s="67" t="s">
        <v>85</v>
      </c>
      <c r="AF146" s="38" t="str">
        <f>IF(U146=0,"x","")</f>
        <v/>
      </c>
      <c r="AG146" s="38" t="s">
        <v>56</v>
      </c>
      <c r="AH146" s="38" t="s">
        <v>56</v>
      </c>
      <c r="AI146" s="38"/>
      <c r="AJ146" s="38"/>
      <c r="AK146" s="38"/>
      <c r="AL146" s="68"/>
      <c r="AM146" s="66">
        <v>2</v>
      </c>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c r="CO146" s="66"/>
      <c r="CP146" s="66"/>
      <c r="CQ146" s="66"/>
      <c r="CR146" s="66"/>
      <c r="CS146" s="66"/>
      <c r="CT146" s="66"/>
      <c r="CU146" s="66"/>
      <c r="CV146" s="66"/>
      <c r="CW146" s="66"/>
      <c r="CX146" s="66"/>
      <c r="CY146" s="66"/>
      <c r="CZ146" s="66"/>
      <c r="DA146" s="66"/>
      <c r="DB146" s="66"/>
      <c r="DC146" s="66"/>
      <c r="DD146" s="66"/>
      <c r="DE146" s="66"/>
      <c r="DF146" s="66"/>
      <c r="DG146" s="66"/>
    </row>
    <row r="147" spans="1:111" s="13" customFormat="1" ht="113.25" customHeight="1" x14ac:dyDescent="0.25">
      <c r="A147" s="14">
        <v>46084</v>
      </c>
      <c r="B147" s="82" t="s">
        <v>1272</v>
      </c>
      <c r="C147" s="1348" t="s">
        <v>1273</v>
      </c>
      <c r="D147" s="41" t="s">
        <v>1274</v>
      </c>
      <c r="E147" s="42" t="s">
        <v>39</v>
      </c>
      <c r="F147" s="19">
        <v>4</v>
      </c>
      <c r="G147" s="43"/>
      <c r="H147" s="43"/>
      <c r="I147" s="86" t="s">
        <v>1275</v>
      </c>
      <c r="J147" s="45">
        <v>140</v>
      </c>
      <c r="K147" s="46" t="s">
        <v>1276</v>
      </c>
      <c r="L147" s="47" t="s">
        <v>63</v>
      </c>
      <c r="M147" s="73" t="s">
        <v>42</v>
      </c>
      <c r="N147" s="1431" t="s">
        <v>1277</v>
      </c>
      <c r="O147" s="49" t="s">
        <v>1278</v>
      </c>
      <c r="P147" s="49"/>
      <c r="Q147" s="49" t="s">
        <v>1279</v>
      </c>
      <c r="R147" s="50">
        <v>57</v>
      </c>
      <c r="S147" s="50">
        <v>123</v>
      </c>
      <c r="T147" s="51" t="s">
        <v>47</v>
      </c>
      <c r="U147" s="51">
        <v>8</v>
      </c>
      <c r="V147" s="75">
        <f t="shared" si="4"/>
        <v>1120</v>
      </c>
      <c r="W147" s="51" t="s">
        <v>48</v>
      </c>
      <c r="X147" s="30" t="s">
        <v>467</v>
      </c>
      <c r="Y147" s="31" t="s">
        <v>82</v>
      </c>
      <c r="Z147" s="32" t="s">
        <v>51</v>
      </c>
      <c r="AA147" s="33" t="s">
        <v>83</v>
      </c>
      <c r="AB147" s="65" t="s">
        <v>1280</v>
      </c>
      <c r="AC147" s="35">
        <v>6117.8</v>
      </c>
      <c r="AD147" s="36"/>
      <c r="AE147" s="67" t="s">
        <v>85</v>
      </c>
      <c r="AF147" s="38" t="s">
        <v>56</v>
      </c>
      <c r="AG147" s="38" t="s">
        <v>56</v>
      </c>
      <c r="AH147" s="38" t="s">
        <v>56</v>
      </c>
      <c r="AI147" s="38"/>
      <c r="AJ147" s="38"/>
      <c r="AK147" s="38"/>
      <c r="AL147" s="38"/>
      <c r="AM147" s="36">
        <v>1</v>
      </c>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row>
    <row r="148" spans="1:111" s="13" customFormat="1" ht="113.25" customHeight="1" x14ac:dyDescent="0.25">
      <c r="A148" s="14">
        <v>46084</v>
      </c>
      <c r="B148" s="1345" t="s">
        <v>1281</v>
      </c>
      <c r="C148" s="1348" t="s">
        <v>1282</v>
      </c>
      <c r="D148" s="41"/>
      <c r="E148" s="42" t="s">
        <v>39</v>
      </c>
      <c r="F148" s="1395"/>
      <c r="G148" s="1395"/>
      <c r="H148" s="1395"/>
      <c r="I148" s="72" t="s">
        <v>1283</v>
      </c>
      <c r="J148" s="45">
        <v>50</v>
      </c>
      <c r="K148" s="46" t="s">
        <v>1218</v>
      </c>
      <c r="L148" s="50" t="s">
        <v>63</v>
      </c>
      <c r="M148" s="42" t="s">
        <v>42</v>
      </c>
      <c r="N148" s="77" t="s">
        <v>1284</v>
      </c>
      <c r="O148" s="49"/>
      <c r="P148" s="49"/>
      <c r="Q148" s="49" t="s">
        <v>1285</v>
      </c>
      <c r="R148" s="50">
        <v>6</v>
      </c>
      <c r="S148" s="50">
        <v>18</v>
      </c>
      <c r="T148" s="51" t="s">
        <v>96</v>
      </c>
      <c r="U148" s="51">
        <v>2</v>
      </c>
      <c r="V148" s="52">
        <f t="shared" si="4"/>
        <v>100</v>
      </c>
      <c r="W148" s="51" t="s">
        <v>142</v>
      </c>
      <c r="X148" s="30" t="s">
        <v>434</v>
      </c>
      <c r="Y148" s="64" t="s">
        <v>82</v>
      </c>
      <c r="Z148" s="32"/>
      <c r="AA148" s="33" t="s">
        <v>224</v>
      </c>
      <c r="AB148" s="65" t="s">
        <v>435</v>
      </c>
      <c r="AC148" s="35">
        <v>3195</v>
      </c>
      <c r="AD148" s="66"/>
      <c r="AE148" s="67" t="s">
        <v>85</v>
      </c>
      <c r="AF148" s="38"/>
      <c r="AG148" s="38" t="s">
        <v>56</v>
      </c>
      <c r="AH148" s="38" t="s">
        <v>56</v>
      </c>
      <c r="AI148" s="38"/>
      <c r="AJ148" s="38"/>
      <c r="AK148" s="38"/>
      <c r="AL148" s="68"/>
      <c r="AM148" s="66">
        <v>9</v>
      </c>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6"/>
      <c r="CE148" s="66"/>
      <c r="CF148" s="66"/>
      <c r="CG148" s="66"/>
      <c r="CH148" s="66"/>
      <c r="CI148" s="66"/>
      <c r="CJ148" s="66"/>
      <c r="CK148" s="66"/>
      <c r="CL148" s="66"/>
      <c r="CM148" s="66"/>
      <c r="CN148" s="66"/>
      <c r="CO148" s="66"/>
      <c r="CP148" s="66"/>
      <c r="CQ148" s="66"/>
      <c r="CR148" s="66"/>
      <c r="CS148" s="66"/>
      <c r="CT148" s="66"/>
      <c r="CU148" s="66"/>
      <c r="CV148" s="66"/>
      <c r="CW148" s="66"/>
      <c r="CX148" s="66"/>
      <c r="CY148" s="66"/>
      <c r="CZ148" s="66"/>
      <c r="DA148" s="66"/>
      <c r="DB148" s="66"/>
      <c r="DC148" s="66"/>
      <c r="DD148" s="66"/>
      <c r="DE148" s="66"/>
      <c r="DF148" s="66"/>
      <c r="DG148" s="66"/>
    </row>
    <row r="149" spans="1:111" s="13" customFormat="1" ht="113.25" customHeight="1" x14ac:dyDescent="0.25">
      <c r="A149" s="14">
        <v>46083</v>
      </c>
      <c r="B149" s="1345" t="s">
        <v>1286</v>
      </c>
      <c r="C149" s="41" t="s">
        <v>915</v>
      </c>
      <c r="D149" s="41"/>
      <c r="E149" s="42" t="s">
        <v>39</v>
      </c>
      <c r="F149" s="43"/>
      <c r="G149" s="43"/>
      <c r="H149" s="1405">
        <v>2</v>
      </c>
      <c r="I149" s="72" t="s">
        <v>1287</v>
      </c>
      <c r="J149" s="45">
        <v>15</v>
      </c>
      <c r="K149" s="46" t="s">
        <v>1288</v>
      </c>
      <c r="L149" s="50" t="s">
        <v>63</v>
      </c>
      <c r="M149" s="73" t="s">
        <v>42</v>
      </c>
      <c r="N149" s="77" t="s">
        <v>1289</v>
      </c>
      <c r="O149" s="49"/>
      <c r="P149" s="49" t="s">
        <v>1290</v>
      </c>
      <c r="Q149" s="49" t="s">
        <v>1055</v>
      </c>
      <c r="R149" s="50">
        <v>3</v>
      </c>
      <c r="S149" s="50">
        <v>3</v>
      </c>
      <c r="T149" s="51" t="s">
        <v>96</v>
      </c>
      <c r="U149" s="51">
        <v>3</v>
      </c>
      <c r="V149" s="52">
        <f t="shared" si="4"/>
        <v>45</v>
      </c>
      <c r="W149" s="51" t="s">
        <v>48</v>
      </c>
      <c r="X149" s="30" t="s">
        <v>232</v>
      </c>
      <c r="Y149" s="64" t="s">
        <v>50</v>
      </c>
      <c r="Z149" s="1393" t="s">
        <v>51</v>
      </c>
      <c r="AA149" s="33" t="s">
        <v>923</v>
      </c>
      <c r="AB149" s="65" t="s">
        <v>1291</v>
      </c>
      <c r="AC149" s="35">
        <v>2780</v>
      </c>
      <c r="AD149" s="66"/>
      <c r="AE149" s="67" t="s">
        <v>85</v>
      </c>
      <c r="AF149" s="38" t="s">
        <v>55</v>
      </c>
      <c r="AG149" s="38" t="s">
        <v>56</v>
      </c>
      <c r="AH149" s="38" t="s">
        <v>56</v>
      </c>
      <c r="AI149" s="38"/>
      <c r="AJ149" s="38"/>
      <c r="AK149" s="38"/>
      <c r="AL149" s="68"/>
      <c r="AM149" s="66">
        <v>2</v>
      </c>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6"/>
      <c r="CF149" s="66"/>
      <c r="CG149" s="66"/>
      <c r="CH149" s="66"/>
      <c r="CI149" s="66"/>
      <c r="CJ149" s="66"/>
      <c r="CK149" s="66"/>
      <c r="CL149" s="66"/>
      <c r="CM149" s="66"/>
      <c r="CN149" s="66"/>
      <c r="CO149" s="66"/>
      <c r="CP149" s="66"/>
      <c r="CQ149" s="66"/>
      <c r="CR149" s="66"/>
      <c r="CS149" s="66"/>
      <c r="CT149" s="66"/>
      <c r="CU149" s="66"/>
      <c r="CV149" s="66"/>
      <c r="CW149" s="66"/>
      <c r="CX149" s="66"/>
      <c r="CY149" s="66"/>
      <c r="CZ149" s="66"/>
      <c r="DA149" s="66"/>
      <c r="DB149" s="66"/>
      <c r="DC149" s="66"/>
      <c r="DD149" s="66"/>
      <c r="DE149" s="66"/>
      <c r="DF149" s="66"/>
      <c r="DG149" s="66"/>
    </row>
    <row r="150" spans="1:111" s="13" customFormat="1" ht="113.25" customHeight="1" x14ac:dyDescent="0.25">
      <c r="A150" s="14">
        <v>46083</v>
      </c>
      <c r="B150" s="55" t="s">
        <v>1222</v>
      </c>
      <c r="C150" s="54" t="s">
        <v>1223</v>
      </c>
      <c r="D150" s="54"/>
      <c r="E150" s="56"/>
      <c r="F150" s="57"/>
      <c r="G150" s="57"/>
      <c r="H150" s="57"/>
      <c r="I150" s="72" t="s">
        <v>9907</v>
      </c>
      <c r="J150" s="59">
        <v>5</v>
      </c>
      <c r="K150" s="1400" t="s">
        <v>1292</v>
      </c>
      <c r="L150" s="79"/>
      <c r="M150" s="1337"/>
      <c r="N150" s="80" t="s">
        <v>1293</v>
      </c>
      <c r="O150" s="62"/>
      <c r="P150" s="62"/>
      <c r="Q150" s="62"/>
      <c r="R150" s="61"/>
      <c r="S150" s="61"/>
      <c r="T150" s="56"/>
      <c r="U150" s="56"/>
      <c r="V150" s="63"/>
      <c r="W150" s="56"/>
      <c r="X150" s="30" t="s">
        <v>1294</v>
      </c>
      <c r="Y150" s="64"/>
      <c r="Z150" s="1393"/>
      <c r="AA150" s="33"/>
      <c r="AB150" s="65" t="s">
        <v>1227</v>
      </c>
      <c r="AC150" s="35"/>
      <c r="AD150" s="66"/>
      <c r="AE150" s="38" t="s">
        <v>1295</v>
      </c>
      <c r="AF150" s="38"/>
      <c r="AG150" s="38"/>
      <c r="AH150" s="38"/>
      <c r="AI150" s="38"/>
      <c r="AJ150" s="38"/>
      <c r="AK150" s="38"/>
      <c r="AL150" s="68"/>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6"/>
      <c r="BZ150" s="66"/>
      <c r="CA150" s="66"/>
      <c r="CB150" s="66"/>
      <c r="CC150" s="66"/>
      <c r="CD150" s="66"/>
      <c r="CE150" s="66"/>
      <c r="CF150" s="66"/>
      <c r="CG150" s="66"/>
      <c r="CH150" s="66"/>
      <c r="CI150" s="66"/>
      <c r="CJ150" s="66"/>
      <c r="CK150" s="66"/>
      <c r="CL150" s="66"/>
      <c r="CM150" s="66"/>
      <c r="CN150" s="66"/>
      <c r="CO150" s="66"/>
      <c r="CP150" s="66"/>
      <c r="CQ150" s="66"/>
      <c r="CR150" s="66"/>
      <c r="CS150" s="66"/>
      <c r="CT150" s="66"/>
      <c r="CU150" s="66"/>
      <c r="CV150" s="66"/>
      <c r="CW150" s="66"/>
      <c r="CX150" s="66"/>
      <c r="CY150" s="66"/>
      <c r="CZ150" s="66"/>
      <c r="DA150" s="66"/>
      <c r="DB150" s="66"/>
      <c r="DC150" s="66"/>
      <c r="DD150" s="66"/>
      <c r="DE150" s="66"/>
      <c r="DF150" s="66"/>
      <c r="DG150" s="66"/>
    </row>
    <row r="151" spans="1:111" s="13" customFormat="1" ht="113.25" customHeight="1" x14ac:dyDescent="0.25">
      <c r="A151" s="14">
        <v>46080</v>
      </c>
      <c r="B151" s="1345" t="s">
        <v>1126</v>
      </c>
      <c r="C151" s="1345" t="s">
        <v>1127</v>
      </c>
      <c r="D151" s="273" t="s">
        <v>1128</v>
      </c>
      <c r="E151" s="42" t="s">
        <v>797</v>
      </c>
      <c r="F151" s="1363"/>
      <c r="G151" s="43"/>
      <c r="H151" s="1430">
        <v>2</v>
      </c>
      <c r="I151" s="72" t="s">
        <v>1296</v>
      </c>
      <c r="J151" s="45">
        <v>30</v>
      </c>
      <c r="K151" s="46" t="s">
        <v>1114</v>
      </c>
      <c r="L151" s="1367" t="s">
        <v>63</v>
      </c>
      <c r="M151" s="73" t="s">
        <v>42</v>
      </c>
      <c r="N151" s="48" t="s">
        <v>1297</v>
      </c>
      <c r="O151" s="36"/>
      <c r="P151" s="49"/>
      <c r="Q151" s="49"/>
      <c r="R151" s="50">
        <v>104</v>
      </c>
      <c r="S151" s="50">
        <v>729</v>
      </c>
      <c r="T151" s="51" t="s">
        <v>180</v>
      </c>
      <c r="U151" s="51">
        <v>25</v>
      </c>
      <c r="V151" s="75">
        <f t="shared" ref="V151:V182" si="6">U151*J151</f>
        <v>750</v>
      </c>
      <c r="W151" s="51" t="s">
        <v>48</v>
      </c>
      <c r="X151" s="30" t="s">
        <v>1133</v>
      </c>
      <c r="Y151" s="64" t="s">
        <v>82</v>
      </c>
      <c r="Z151" s="32" t="s">
        <v>1134</v>
      </c>
      <c r="AA151" s="33" t="s">
        <v>923</v>
      </c>
      <c r="AB151" s="65" t="s">
        <v>1125</v>
      </c>
      <c r="AC151" s="35">
        <v>8215</v>
      </c>
      <c r="AD151" s="66"/>
      <c r="AE151" s="67" t="s">
        <v>85</v>
      </c>
      <c r="AF151" s="38" t="s">
        <v>55</v>
      </c>
      <c r="AG151" s="38" t="s">
        <v>56</v>
      </c>
      <c r="AH151" s="38" t="s">
        <v>56</v>
      </c>
      <c r="AI151" s="38"/>
      <c r="AJ151" s="38"/>
      <c r="AK151" s="38"/>
      <c r="AL151" s="78" t="s">
        <v>1135</v>
      </c>
      <c r="AM151" s="66">
        <v>1</v>
      </c>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c r="BV151" s="66"/>
      <c r="BW151" s="66"/>
      <c r="BX151" s="66"/>
      <c r="BY151" s="66"/>
      <c r="BZ151" s="66"/>
      <c r="CA151" s="66"/>
      <c r="CB151" s="66"/>
      <c r="CC151" s="66"/>
      <c r="CD151" s="66"/>
      <c r="CE151" s="66"/>
      <c r="CF151" s="66"/>
      <c r="CG151" s="66"/>
      <c r="CH151" s="66"/>
      <c r="CI151" s="66"/>
      <c r="CJ151" s="66"/>
      <c r="CK151" s="66"/>
      <c r="CL151" s="66"/>
      <c r="CM151" s="66"/>
      <c r="CN151" s="66"/>
      <c r="CO151" s="66"/>
      <c r="CP151" s="66"/>
      <c r="CQ151" s="66"/>
      <c r="CR151" s="66"/>
      <c r="CS151" s="66"/>
      <c r="CT151" s="66"/>
      <c r="CU151" s="66"/>
      <c r="CV151" s="66"/>
      <c r="CW151" s="66"/>
      <c r="CX151" s="66"/>
      <c r="CY151" s="66"/>
      <c r="CZ151" s="66"/>
      <c r="DA151" s="66"/>
      <c r="DB151" s="66"/>
      <c r="DC151" s="66"/>
      <c r="DD151" s="66"/>
      <c r="DE151" s="66"/>
      <c r="DF151" s="66"/>
      <c r="DG151" s="66"/>
    </row>
    <row r="152" spans="1:111" s="13" customFormat="1" ht="113.25" customHeight="1" x14ac:dyDescent="0.25">
      <c r="A152" s="14">
        <v>46080</v>
      </c>
      <c r="B152" s="41" t="s">
        <v>501</v>
      </c>
      <c r="C152" s="41" t="s">
        <v>1192</v>
      </c>
      <c r="D152" s="41" t="s">
        <v>1298</v>
      </c>
      <c r="E152" s="42" t="s">
        <v>39</v>
      </c>
      <c r="F152" s="1405">
        <v>1</v>
      </c>
      <c r="G152" s="1429"/>
      <c r="H152" s="1429"/>
      <c r="I152" s="72" t="s">
        <v>1299</v>
      </c>
      <c r="J152" s="45">
        <v>50</v>
      </c>
      <c r="K152" s="46" t="s">
        <v>1300</v>
      </c>
      <c r="L152" s="50" t="s">
        <v>63</v>
      </c>
      <c r="M152" s="73" t="s">
        <v>42</v>
      </c>
      <c r="N152" s="48" t="s">
        <v>1301</v>
      </c>
      <c r="O152" s="49" t="s">
        <v>1302</v>
      </c>
      <c r="P152" s="49" t="s">
        <v>1303</v>
      </c>
      <c r="Q152" s="49" t="s">
        <v>1055</v>
      </c>
      <c r="R152" s="50">
        <v>65</v>
      </c>
      <c r="S152" s="50">
        <v>169</v>
      </c>
      <c r="T152" s="51" t="s">
        <v>47</v>
      </c>
      <c r="U152" s="51">
        <v>12</v>
      </c>
      <c r="V152" s="75">
        <f t="shared" si="6"/>
        <v>600</v>
      </c>
      <c r="W152" s="51" t="s">
        <v>510</v>
      </c>
      <c r="X152" s="30" t="s">
        <v>741</v>
      </c>
      <c r="Y152" s="31" t="s">
        <v>324</v>
      </c>
      <c r="Z152" s="32" t="s">
        <v>51</v>
      </c>
      <c r="AA152" s="33" t="s">
        <v>512</v>
      </c>
      <c r="AB152" s="65" t="s">
        <v>1304</v>
      </c>
      <c r="AC152" s="35">
        <v>8409</v>
      </c>
      <c r="AD152" s="36"/>
      <c r="AE152" s="67" t="s">
        <v>85</v>
      </c>
      <c r="AF152" s="38" t="s">
        <v>55</v>
      </c>
      <c r="AG152" s="38" t="s">
        <v>56</v>
      </c>
      <c r="AH152" s="38" t="s">
        <v>56</v>
      </c>
      <c r="AI152" s="38"/>
      <c r="AJ152" s="38"/>
      <c r="AK152" s="38"/>
      <c r="AL152" s="38"/>
      <c r="AM152" s="36">
        <v>4</v>
      </c>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row>
    <row r="153" spans="1:111" s="13" customFormat="1" ht="113.25" customHeight="1" x14ac:dyDescent="0.25">
      <c r="A153" s="14">
        <v>46079</v>
      </c>
      <c r="B153" s="41" t="s">
        <v>1305</v>
      </c>
      <c r="C153" s="41" t="s">
        <v>1306</v>
      </c>
      <c r="D153" s="41"/>
      <c r="E153" s="42" t="s">
        <v>195</v>
      </c>
      <c r="F153" s="43"/>
      <c r="G153" s="43"/>
      <c r="H153" s="43"/>
      <c r="I153" s="72" t="s">
        <v>1307</v>
      </c>
      <c r="J153" s="45">
        <v>300</v>
      </c>
      <c r="K153" s="1346" t="s">
        <v>1308</v>
      </c>
      <c r="L153" s="47" t="s">
        <v>42</v>
      </c>
      <c r="M153" s="42" t="s">
        <v>55</v>
      </c>
      <c r="N153" s="77" t="s">
        <v>1309</v>
      </c>
      <c r="O153" s="49"/>
      <c r="P153" s="49"/>
      <c r="Q153" s="49"/>
      <c r="R153" s="50">
        <v>0</v>
      </c>
      <c r="S153" s="50">
        <v>0</v>
      </c>
      <c r="T153" s="51">
        <v>0</v>
      </c>
      <c r="U153" s="51">
        <v>3</v>
      </c>
      <c r="V153" s="75">
        <f t="shared" si="6"/>
        <v>900</v>
      </c>
      <c r="W153" s="51" t="s">
        <v>221</v>
      </c>
      <c r="X153" s="30" t="s">
        <v>1310</v>
      </c>
      <c r="Y153" s="64" t="s">
        <v>50</v>
      </c>
      <c r="Z153" s="32"/>
      <c r="AA153" s="33" t="s">
        <v>774</v>
      </c>
      <c r="AB153" s="65" t="s">
        <v>1311</v>
      </c>
      <c r="AC153" s="35">
        <v>1980</v>
      </c>
      <c r="AD153" s="66"/>
      <c r="AE153" s="67" t="s">
        <v>73</v>
      </c>
      <c r="AF153" s="38"/>
      <c r="AG153" s="38" t="s">
        <v>56</v>
      </c>
      <c r="AH153" s="38" t="s">
        <v>56</v>
      </c>
      <c r="AI153" s="38"/>
      <c r="AJ153" s="38"/>
      <c r="AK153" s="38"/>
      <c r="AL153" s="68"/>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c r="CD153" s="66"/>
      <c r="CE153" s="66"/>
      <c r="CF153" s="66"/>
      <c r="CG153" s="66"/>
      <c r="CH153" s="66"/>
      <c r="CI153" s="66"/>
      <c r="CJ153" s="66"/>
      <c r="CK153" s="66"/>
      <c r="CL153" s="66"/>
      <c r="CM153" s="66"/>
      <c r="CN153" s="66"/>
      <c r="CO153" s="66"/>
      <c r="CP153" s="66"/>
      <c r="CQ153" s="66"/>
      <c r="CR153" s="66"/>
      <c r="CS153" s="66"/>
      <c r="CT153" s="66"/>
      <c r="CU153" s="66"/>
      <c r="CV153" s="66"/>
      <c r="CW153" s="66"/>
      <c r="CX153" s="66"/>
      <c r="CY153" s="66"/>
      <c r="CZ153" s="66"/>
      <c r="DA153" s="66"/>
      <c r="DB153" s="66"/>
      <c r="DC153" s="66"/>
      <c r="DD153" s="66"/>
      <c r="DE153" s="66"/>
      <c r="DF153" s="66"/>
      <c r="DG153" s="66"/>
    </row>
    <row r="154" spans="1:111" s="13" customFormat="1" ht="113.25" customHeight="1" x14ac:dyDescent="0.25">
      <c r="A154" s="14">
        <v>46079</v>
      </c>
      <c r="B154" s="1412" t="s">
        <v>1312</v>
      </c>
      <c r="C154" s="95" t="s">
        <v>1313</v>
      </c>
      <c r="D154" s="95"/>
      <c r="E154" s="96" t="s">
        <v>39</v>
      </c>
      <c r="F154" s="97"/>
      <c r="G154" s="97"/>
      <c r="H154" s="1405">
        <v>1</v>
      </c>
      <c r="I154" s="72" t="s">
        <v>1314</v>
      </c>
      <c r="J154" s="98">
        <v>20</v>
      </c>
      <c r="K154" s="1425" t="s">
        <v>1315</v>
      </c>
      <c r="L154" s="100" t="s">
        <v>41</v>
      </c>
      <c r="M154" s="100" t="s">
        <v>55</v>
      </c>
      <c r="N154" s="1426" t="s">
        <v>1316</v>
      </c>
      <c r="O154" s="102" t="s">
        <v>1317</v>
      </c>
      <c r="P154" s="102" t="s">
        <v>1055</v>
      </c>
      <c r="Q154" s="102" t="s">
        <v>1318</v>
      </c>
      <c r="R154" s="103">
        <v>2</v>
      </c>
      <c r="S154" s="103">
        <v>2</v>
      </c>
      <c r="T154" s="96" t="s">
        <v>47</v>
      </c>
      <c r="U154" s="96">
        <v>0</v>
      </c>
      <c r="V154" s="104">
        <f t="shared" si="6"/>
        <v>0</v>
      </c>
      <c r="W154" s="96" t="s">
        <v>48</v>
      </c>
      <c r="X154" s="30" t="s">
        <v>1319</v>
      </c>
      <c r="Y154" s="31" t="s">
        <v>324</v>
      </c>
      <c r="Z154" s="32" t="s">
        <v>483</v>
      </c>
      <c r="AA154" s="33" t="s">
        <v>83</v>
      </c>
      <c r="AB154" s="65" t="s">
        <v>1320</v>
      </c>
      <c r="AC154" s="35">
        <v>3840</v>
      </c>
      <c r="AD154" s="36"/>
      <c r="AE154" s="67" t="s">
        <v>85</v>
      </c>
      <c r="AF154" s="38" t="str">
        <f>IF(U154=0,"x","")</f>
        <v>x</v>
      </c>
      <c r="AG154" s="38" t="s">
        <v>56</v>
      </c>
      <c r="AH154" s="38" t="s">
        <v>86</v>
      </c>
      <c r="AI154" s="38"/>
      <c r="AJ154" s="38" t="s">
        <v>56</v>
      </c>
      <c r="AK154" s="38" t="s">
        <v>74</v>
      </c>
      <c r="AL154" s="38"/>
      <c r="AM154" s="36">
        <v>5</v>
      </c>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row>
    <row r="155" spans="1:111" s="13" customFormat="1" ht="113.25" customHeight="1" x14ac:dyDescent="0.25">
      <c r="A155" s="14">
        <v>46079</v>
      </c>
      <c r="B155" s="1412" t="s">
        <v>1321</v>
      </c>
      <c r="C155" s="1412" t="s">
        <v>1322</v>
      </c>
      <c r="D155" s="1412" t="s">
        <v>1323</v>
      </c>
      <c r="E155" s="1427" t="s">
        <v>39</v>
      </c>
      <c r="F155" s="1428"/>
      <c r="G155" s="1428"/>
      <c r="H155" s="1405">
        <v>1</v>
      </c>
      <c r="I155" s="72" t="s">
        <v>1324</v>
      </c>
      <c r="J155" s="98">
        <v>150</v>
      </c>
      <c r="K155" s="1425" t="s">
        <v>1315</v>
      </c>
      <c r="L155" s="100" t="s">
        <v>63</v>
      </c>
      <c r="M155" s="100" t="s">
        <v>55</v>
      </c>
      <c r="N155" s="1426" t="s">
        <v>1325</v>
      </c>
      <c r="O155" s="102" t="s">
        <v>1326</v>
      </c>
      <c r="P155" s="102" t="s">
        <v>1327</v>
      </c>
      <c r="Q155" s="102" t="s">
        <v>1328</v>
      </c>
      <c r="R155" s="103">
        <v>55</v>
      </c>
      <c r="S155" s="103">
        <v>156</v>
      </c>
      <c r="T155" s="96" t="s">
        <v>180</v>
      </c>
      <c r="U155" s="96">
        <v>7</v>
      </c>
      <c r="V155" s="75">
        <f t="shared" si="6"/>
        <v>1050</v>
      </c>
      <c r="W155" s="96" t="s">
        <v>68</v>
      </c>
      <c r="X155" s="30" t="s">
        <v>773</v>
      </c>
      <c r="Y155" s="64" t="s">
        <v>70</v>
      </c>
      <c r="Z155" s="32" t="s">
        <v>51</v>
      </c>
      <c r="AA155" s="33" t="s">
        <v>1329</v>
      </c>
      <c r="AB155" s="65" t="s">
        <v>1330</v>
      </c>
      <c r="AC155" s="35">
        <v>14280</v>
      </c>
      <c r="AD155" s="66"/>
      <c r="AE155" s="67" t="s">
        <v>73</v>
      </c>
      <c r="AF155" s="38" t="s">
        <v>55</v>
      </c>
      <c r="AG155" s="38" t="s">
        <v>56</v>
      </c>
      <c r="AH155" s="38" t="s">
        <v>86</v>
      </c>
      <c r="AI155" s="38"/>
      <c r="AJ155" s="38" t="s">
        <v>56</v>
      </c>
      <c r="AK155" s="38" t="s">
        <v>74</v>
      </c>
      <c r="AL155" s="68"/>
      <c r="AM155" s="66">
        <v>12</v>
      </c>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6"/>
      <c r="BZ155" s="66"/>
      <c r="CA155" s="66"/>
      <c r="CB155" s="66"/>
      <c r="CC155" s="66"/>
      <c r="CD155" s="66"/>
      <c r="CE155" s="66"/>
      <c r="CF155" s="66"/>
      <c r="CG155" s="66"/>
      <c r="CH155" s="66"/>
      <c r="CI155" s="66"/>
      <c r="CJ155" s="66"/>
      <c r="CK155" s="66"/>
      <c r="CL155" s="66"/>
      <c r="CM155" s="66"/>
      <c r="CN155" s="66"/>
      <c r="CO155" s="66"/>
      <c r="CP155" s="66"/>
      <c r="CQ155" s="66"/>
      <c r="CR155" s="66"/>
      <c r="CS155" s="66"/>
      <c r="CT155" s="66"/>
      <c r="CU155" s="66"/>
      <c r="CV155" s="66"/>
      <c r="CW155" s="66"/>
      <c r="CX155" s="66"/>
      <c r="CY155" s="66"/>
      <c r="CZ155" s="66"/>
      <c r="DA155" s="66"/>
      <c r="DB155" s="66"/>
      <c r="DC155" s="66"/>
      <c r="DD155" s="66"/>
      <c r="DE155" s="66"/>
      <c r="DF155" s="66"/>
      <c r="DG155" s="66"/>
    </row>
    <row r="156" spans="1:111" s="13" customFormat="1" ht="113.25" customHeight="1" x14ac:dyDescent="0.25">
      <c r="A156" s="14">
        <v>46079</v>
      </c>
      <c r="B156" s="41" t="s">
        <v>1331</v>
      </c>
      <c r="C156" s="1345" t="s">
        <v>1332</v>
      </c>
      <c r="D156" s="41"/>
      <c r="E156" s="42" t="s">
        <v>39</v>
      </c>
      <c r="F156" s="1395"/>
      <c r="G156" s="1395"/>
      <c r="H156" s="1394"/>
      <c r="I156" s="72" t="s">
        <v>9874</v>
      </c>
      <c r="J156" s="45">
        <v>85</v>
      </c>
      <c r="K156" s="46" t="s">
        <v>1333</v>
      </c>
      <c r="L156" s="47" t="s">
        <v>63</v>
      </c>
      <c r="M156" s="42" t="s">
        <v>42</v>
      </c>
      <c r="N156" s="48" t="s">
        <v>1334</v>
      </c>
      <c r="O156" s="49" t="s">
        <v>1335</v>
      </c>
      <c r="P156" s="49" t="s">
        <v>1336</v>
      </c>
      <c r="Q156" s="49" t="s">
        <v>1336</v>
      </c>
      <c r="R156" s="92">
        <v>135</v>
      </c>
      <c r="S156" s="50">
        <v>1375</v>
      </c>
      <c r="T156" s="51" t="s">
        <v>141</v>
      </c>
      <c r="U156" s="51">
        <v>13</v>
      </c>
      <c r="V156" s="75">
        <f t="shared" si="6"/>
        <v>1105</v>
      </c>
      <c r="W156" s="51" t="s">
        <v>510</v>
      </c>
      <c r="X156" s="30" t="s">
        <v>1337</v>
      </c>
      <c r="Y156" s="31" t="s">
        <v>324</v>
      </c>
      <c r="Z156" s="53"/>
      <c r="AA156" s="33" t="s">
        <v>512</v>
      </c>
      <c r="AB156" s="65" t="s">
        <v>1338</v>
      </c>
      <c r="AC156" s="35">
        <v>33359.1</v>
      </c>
      <c r="AD156" s="36"/>
      <c r="AE156" s="67" t="s">
        <v>85</v>
      </c>
      <c r="AF156" s="38"/>
      <c r="AG156" s="107"/>
      <c r="AH156" s="107"/>
      <c r="AI156" s="38"/>
      <c r="AJ156" s="38" t="s">
        <v>56</v>
      </c>
      <c r="AK156" s="38" t="s">
        <v>74</v>
      </c>
      <c r="AL156" s="38"/>
      <c r="AM156" s="36">
        <v>1</v>
      </c>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row>
    <row r="157" spans="1:111" s="13" customFormat="1" ht="113.25" customHeight="1" x14ac:dyDescent="0.25">
      <c r="A157" s="14">
        <v>46079</v>
      </c>
      <c r="B157" s="1348" t="s">
        <v>1339</v>
      </c>
      <c r="C157" s="1348" t="s">
        <v>1340</v>
      </c>
      <c r="D157" s="41" t="s">
        <v>1341</v>
      </c>
      <c r="E157" s="42" t="s">
        <v>39</v>
      </c>
      <c r="F157" s="1394"/>
      <c r="G157" s="1395"/>
      <c r="H157" s="1395"/>
      <c r="I157" s="72" t="s">
        <v>9875</v>
      </c>
      <c r="J157" s="45">
        <v>65</v>
      </c>
      <c r="K157" s="1346" t="s">
        <v>1342</v>
      </c>
      <c r="L157" s="47" t="s">
        <v>63</v>
      </c>
      <c r="M157" s="73" t="s">
        <v>42</v>
      </c>
      <c r="N157" s="77" t="s">
        <v>1343</v>
      </c>
      <c r="O157" s="49"/>
      <c r="P157" s="49" t="s">
        <v>1344</v>
      </c>
      <c r="Q157" s="49" t="s">
        <v>1345</v>
      </c>
      <c r="R157" s="50">
        <v>56</v>
      </c>
      <c r="S157" s="50">
        <v>176</v>
      </c>
      <c r="T157" s="51" t="s">
        <v>96</v>
      </c>
      <c r="U157" s="51">
        <v>0</v>
      </c>
      <c r="V157" s="52">
        <f t="shared" si="6"/>
        <v>0</v>
      </c>
      <c r="W157" s="51" t="s">
        <v>510</v>
      </c>
      <c r="X157" s="30" t="s">
        <v>583</v>
      </c>
      <c r="Y157" s="64" t="s">
        <v>70</v>
      </c>
      <c r="Z157" s="32"/>
      <c r="AA157" s="33" t="s">
        <v>1346</v>
      </c>
      <c r="AB157" s="34" t="s">
        <v>1347</v>
      </c>
      <c r="AC157" s="35">
        <v>3992.3</v>
      </c>
      <c r="AD157" s="66"/>
      <c r="AE157" s="67" t="s">
        <v>85</v>
      </c>
      <c r="AF157" s="38"/>
      <c r="AG157" s="38" t="s">
        <v>56</v>
      </c>
      <c r="AH157" s="38" t="s">
        <v>56</v>
      </c>
      <c r="AI157" s="38"/>
      <c r="AJ157" s="38" t="s">
        <v>56</v>
      </c>
      <c r="AK157" s="38" t="s">
        <v>74</v>
      </c>
      <c r="AL157" s="78" t="s">
        <v>1348</v>
      </c>
      <c r="AM157" s="66">
        <v>1</v>
      </c>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c r="BV157" s="66"/>
      <c r="BW157" s="66"/>
      <c r="BX157" s="66"/>
      <c r="BY157" s="66"/>
      <c r="BZ157" s="66"/>
      <c r="CA157" s="66"/>
      <c r="CB157" s="66"/>
      <c r="CC157" s="66"/>
      <c r="CD157" s="66"/>
      <c r="CE157" s="66"/>
      <c r="CF157" s="66"/>
      <c r="CG157" s="66"/>
      <c r="CH157" s="66"/>
      <c r="CI157" s="66"/>
      <c r="CJ157" s="66"/>
      <c r="CK157" s="66"/>
      <c r="CL157" s="66"/>
      <c r="CM157" s="66"/>
      <c r="CN157" s="66"/>
      <c r="CO157" s="66"/>
      <c r="CP157" s="66"/>
      <c r="CQ157" s="66"/>
      <c r="CR157" s="66"/>
      <c r="CS157" s="66"/>
      <c r="CT157" s="66"/>
      <c r="CU157" s="66"/>
      <c r="CV157" s="66"/>
      <c r="CW157" s="66"/>
      <c r="CX157" s="66"/>
      <c r="CY157" s="66"/>
      <c r="CZ157" s="66"/>
      <c r="DA157" s="66"/>
      <c r="DB157" s="66"/>
      <c r="DC157" s="66"/>
      <c r="DD157" s="66"/>
      <c r="DE157" s="66"/>
      <c r="DF157" s="66"/>
      <c r="DG157" s="66"/>
    </row>
    <row r="158" spans="1:111" s="13" customFormat="1" ht="113.25" customHeight="1" x14ac:dyDescent="0.25">
      <c r="A158" s="14">
        <v>46078</v>
      </c>
      <c r="B158" s="55" t="s">
        <v>1349</v>
      </c>
      <c r="C158" s="1424" t="s">
        <v>1350</v>
      </c>
      <c r="D158" s="55" t="s">
        <v>1351</v>
      </c>
      <c r="E158" s="1403" t="s">
        <v>39</v>
      </c>
      <c r="F158" s="1404"/>
      <c r="G158" s="1404"/>
      <c r="H158" s="1405">
        <v>1</v>
      </c>
      <c r="I158" s="44" t="s">
        <v>1352</v>
      </c>
      <c r="J158" s="1399">
        <v>10</v>
      </c>
      <c r="K158" s="70" t="s">
        <v>1353</v>
      </c>
      <c r="L158" s="61" t="s">
        <v>63</v>
      </c>
      <c r="M158" s="1403" t="s">
        <v>42</v>
      </c>
      <c r="N158" s="24" t="s">
        <v>1354</v>
      </c>
      <c r="O158" s="1414" t="s">
        <v>1355</v>
      </c>
      <c r="P158" s="1414" t="s">
        <v>1356</v>
      </c>
      <c r="Q158" s="1414" t="s">
        <v>1357</v>
      </c>
      <c r="R158" s="1402">
        <v>99</v>
      </c>
      <c r="S158" s="1402">
        <v>568</v>
      </c>
      <c r="T158" s="1403" t="s">
        <v>180</v>
      </c>
      <c r="U158" s="1403">
        <v>11</v>
      </c>
      <c r="V158" s="1415">
        <f t="shared" si="6"/>
        <v>110</v>
      </c>
      <c r="W158" s="1403" t="s">
        <v>48</v>
      </c>
      <c r="X158" s="1416" t="s">
        <v>960</v>
      </c>
      <c r="Y158" s="1417" t="s">
        <v>50</v>
      </c>
      <c r="Z158" s="32" t="s">
        <v>51</v>
      </c>
      <c r="AA158" s="1418" t="s">
        <v>512</v>
      </c>
      <c r="AB158" s="1378" t="s">
        <v>513</v>
      </c>
      <c r="AC158" s="1379">
        <f>19972.5+985</f>
        <v>20957.5</v>
      </c>
      <c r="AD158" s="1413"/>
      <c r="AE158" s="67" t="s">
        <v>1358</v>
      </c>
      <c r="AF158" s="38" t="s">
        <v>55</v>
      </c>
      <c r="AG158" s="38" t="s">
        <v>56</v>
      </c>
      <c r="AH158" s="38" t="s">
        <v>56</v>
      </c>
      <c r="AI158" s="1380"/>
      <c r="AJ158" s="1380"/>
      <c r="AK158" s="1380"/>
      <c r="AL158" s="1419"/>
      <c r="AM158" s="1413">
        <v>2</v>
      </c>
      <c r="AN158" s="1413"/>
      <c r="AO158" s="1413"/>
      <c r="AP158" s="1413"/>
      <c r="AQ158" s="1413"/>
      <c r="AR158" s="1413"/>
      <c r="AS158" s="1413"/>
      <c r="AT158" s="1413"/>
      <c r="AU158" s="1413"/>
      <c r="AV158" s="1413"/>
      <c r="AW158" s="1413"/>
      <c r="AX158" s="1413"/>
      <c r="AY158" s="1413"/>
      <c r="AZ158" s="1413"/>
      <c r="BA158" s="1413"/>
      <c r="BB158" s="1413"/>
      <c r="BC158" s="1413"/>
      <c r="BD158" s="1413"/>
      <c r="BE158" s="1413"/>
      <c r="BF158" s="1413"/>
      <c r="BG158" s="1413"/>
      <c r="BH158" s="1413"/>
      <c r="BI158" s="1413"/>
      <c r="BJ158" s="1413"/>
      <c r="BK158" s="1413"/>
      <c r="BL158" s="1413"/>
      <c r="BM158" s="1413"/>
      <c r="BN158" s="1413"/>
      <c r="BO158" s="1413"/>
      <c r="BP158" s="1413"/>
      <c r="BQ158" s="1413"/>
      <c r="BR158" s="1413"/>
      <c r="BS158" s="1413"/>
      <c r="BT158" s="1413"/>
      <c r="BU158" s="1413"/>
      <c r="BV158" s="1413"/>
      <c r="BW158" s="1413"/>
      <c r="BX158" s="1413"/>
      <c r="BY158" s="1413"/>
      <c r="BZ158" s="1413"/>
      <c r="CA158" s="1413"/>
      <c r="CB158" s="1413"/>
      <c r="CC158" s="1413"/>
      <c r="CD158" s="1413"/>
      <c r="CE158" s="1413"/>
      <c r="CF158" s="1413"/>
      <c r="CG158" s="1413"/>
      <c r="CH158" s="1413"/>
      <c r="CI158" s="1413"/>
      <c r="CJ158" s="1413"/>
      <c r="CK158" s="1413"/>
      <c r="CL158" s="1413"/>
      <c r="CM158" s="1413"/>
      <c r="CN158" s="1413"/>
      <c r="CO158" s="1413"/>
      <c r="CP158" s="1413"/>
      <c r="CQ158" s="1413"/>
      <c r="CR158" s="1413"/>
      <c r="CS158" s="1413"/>
      <c r="CT158" s="1413"/>
      <c r="CU158" s="1413"/>
      <c r="CV158" s="1413"/>
      <c r="CW158" s="1413"/>
      <c r="CX158" s="1413"/>
      <c r="CY158" s="1413"/>
      <c r="CZ158" s="1413"/>
      <c r="DA158" s="1413"/>
      <c r="DB158" s="1413"/>
      <c r="DC158" s="66"/>
      <c r="DD158" s="66"/>
      <c r="DE158" s="66"/>
      <c r="DF158" s="66"/>
      <c r="DG158" s="66"/>
    </row>
    <row r="159" spans="1:111" s="13" customFormat="1" ht="113.25" customHeight="1" x14ac:dyDescent="0.25">
      <c r="A159" s="14">
        <v>46078</v>
      </c>
      <c r="B159" s="55" t="s">
        <v>1331</v>
      </c>
      <c r="C159" s="55" t="s">
        <v>1359</v>
      </c>
      <c r="D159" s="55"/>
      <c r="E159" s="1403" t="s">
        <v>39</v>
      </c>
      <c r="F159" s="1349">
        <v>2</v>
      </c>
      <c r="G159" s="1404"/>
      <c r="H159" s="1404"/>
      <c r="I159" s="44" t="s">
        <v>1360</v>
      </c>
      <c r="J159" s="1399">
        <v>16</v>
      </c>
      <c r="K159" s="70" t="s">
        <v>1361</v>
      </c>
      <c r="L159" s="1402" t="s">
        <v>63</v>
      </c>
      <c r="M159" s="1402" t="s">
        <v>55</v>
      </c>
      <c r="N159" s="24" t="s">
        <v>1362</v>
      </c>
      <c r="O159" s="1414"/>
      <c r="P159" s="1414"/>
      <c r="Q159" s="62" t="s">
        <v>1285</v>
      </c>
      <c r="R159" s="1402">
        <v>6</v>
      </c>
      <c r="S159" s="1402">
        <v>13</v>
      </c>
      <c r="T159" s="1403" t="s">
        <v>393</v>
      </c>
      <c r="U159" s="1403">
        <v>32</v>
      </c>
      <c r="V159" s="1415">
        <f t="shared" si="6"/>
        <v>512</v>
      </c>
      <c r="W159" s="1403" t="s">
        <v>48</v>
      </c>
      <c r="X159" s="1416" t="s">
        <v>960</v>
      </c>
      <c r="Y159" s="1417" t="s">
        <v>50</v>
      </c>
      <c r="Z159" s="1393" t="s">
        <v>51</v>
      </c>
      <c r="AA159" s="1418" t="s">
        <v>1363</v>
      </c>
      <c r="AB159" s="1378" t="s">
        <v>1338</v>
      </c>
      <c r="AC159" s="1379">
        <v>14593</v>
      </c>
      <c r="AD159" s="1413"/>
      <c r="AE159" s="67" t="s">
        <v>85</v>
      </c>
      <c r="AF159" s="1380" t="s">
        <v>55</v>
      </c>
      <c r="AG159" s="38" t="s">
        <v>56</v>
      </c>
      <c r="AH159" s="38" t="s">
        <v>56</v>
      </c>
      <c r="AI159" s="1380"/>
      <c r="AJ159" s="1380"/>
      <c r="AK159" s="1380"/>
      <c r="AL159" s="1419"/>
      <c r="AM159" s="1413">
        <v>1</v>
      </c>
      <c r="AN159" s="1413"/>
      <c r="AO159" s="1413"/>
      <c r="AP159" s="1413"/>
      <c r="AQ159" s="1413"/>
      <c r="AR159" s="1413"/>
      <c r="AS159" s="1413"/>
      <c r="AT159" s="1413"/>
      <c r="AU159" s="1413"/>
      <c r="AV159" s="1413"/>
      <c r="AW159" s="1413"/>
      <c r="AX159" s="1413"/>
      <c r="AY159" s="1413"/>
      <c r="AZ159" s="1413"/>
      <c r="BA159" s="1413"/>
      <c r="BB159" s="1413"/>
      <c r="BC159" s="1413"/>
      <c r="BD159" s="1413"/>
      <c r="BE159" s="1413"/>
      <c r="BF159" s="1413"/>
      <c r="BG159" s="1413"/>
      <c r="BH159" s="1413"/>
      <c r="BI159" s="1413"/>
      <c r="BJ159" s="1413"/>
      <c r="BK159" s="1413"/>
      <c r="BL159" s="1413"/>
      <c r="BM159" s="1413"/>
      <c r="BN159" s="1413"/>
      <c r="BO159" s="1413"/>
      <c r="BP159" s="1413"/>
      <c r="BQ159" s="1413"/>
      <c r="BR159" s="1413"/>
      <c r="BS159" s="1413"/>
      <c r="BT159" s="1413"/>
      <c r="BU159" s="1413"/>
      <c r="BV159" s="1413"/>
      <c r="BW159" s="1413"/>
      <c r="BX159" s="1413"/>
      <c r="BY159" s="1413"/>
      <c r="BZ159" s="1413"/>
      <c r="CA159" s="1413"/>
      <c r="CB159" s="1413"/>
      <c r="CC159" s="1413"/>
      <c r="CD159" s="1413"/>
      <c r="CE159" s="1413"/>
      <c r="CF159" s="1413"/>
      <c r="CG159" s="1413"/>
      <c r="CH159" s="1413"/>
      <c r="CI159" s="1413"/>
      <c r="CJ159" s="1413"/>
      <c r="CK159" s="1413"/>
      <c r="CL159" s="1413"/>
      <c r="CM159" s="1413"/>
      <c r="CN159" s="1413"/>
      <c r="CO159" s="1413"/>
      <c r="CP159" s="1413"/>
      <c r="CQ159" s="1413"/>
      <c r="CR159" s="1413"/>
      <c r="CS159" s="1413"/>
      <c r="CT159" s="1413"/>
      <c r="CU159" s="1413"/>
      <c r="CV159" s="1413"/>
      <c r="CW159" s="1413"/>
      <c r="CX159" s="1413"/>
      <c r="CY159" s="1413"/>
      <c r="CZ159" s="1413"/>
      <c r="DA159" s="1413"/>
      <c r="DB159" s="1413"/>
      <c r="DC159" s="1413"/>
      <c r="DD159" s="1413"/>
      <c r="DE159" s="66"/>
      <c r="DF159" s="66"/>
      <c r="DG159" s="66"/>
    </row>
    <row r="160" spans="1:111" s="13" customFormat="1" ht="113.25" customHeight="1" x14ac:dyDescent="0.25">
      <c r="A160" s="14">
        <v>46077</v>
      </c>
      <c r="B160" s="1345" t="s">
        <v>1364</v>
      </c>
      <c r="C160" s="41" t="s">
        <v>1365</v>
      </c>
      <c r="D160" s="41"/>
      <c r="E160" s="42" t="s">
        <v>39</v>
      </c>
      <c r="F160" s="19">
        <v>4</v>
      </c>
      <c r="G160" s="43"/>
      <c r="H160" s="43"/>
      <c r="I160" s="72" t="s">
        <v>1366</v>
      </c>
      <c r="J160" s="45">
        <v>50</v>
      </c>
      <c r="K160" s="46" t="s">
        <v>1367</v>
      </c>
      <c r="L160" s="1372" t="s">
        <v>63</v>
      </c>
      <c r="M160" s="42" t="s">
        <v>42</v>
      </c>
      <c r="N160" s="77" t="s">
        <v>240</v>
      </c>
      <c r="O160" s="49"/>
      <c r="P160" s="49" t="s">
        <v>1345</v>
      </c>
      <c r="Q160" s="49" t="s">
        <v>1368</v>
      </c>
      <c r="R160" s="50">
        <v>1</v>
      </c>
      <c r="S160" s="50">
        <v>1</v>
      </c>
      <c r="T160" s="51" t="s">
        <v>96</v>
      </c>
      <c r="U160" s="51">
        <v>1</v>
      </c>
      <c r="V160" s="52">
        <f t="shared" si="6"/>
        <v>50</v>
      </c>
      <c r="W160" s="51" t="s">
        <v>142</v>
      </c>
      <c r="X160" s="30" t="s">
        <v>434</v>
      </c>
      <c r="Y160" s="64" t="s">
        <v>82</v>
      </c>
      <c r="Z160" s="32"/>
      <c r="AA160" s="33" t="s">
        <v>224</v>
      </c>
      <c r="AB160" s="65" t="s">
        <v>1369</v>
      </c>
      <c r="AC160" s="35">
        <v>2440</v>
      </c>
      <c r="AD160" s="66"/>
      <c r="AE160" s="67" t="s">
        <v>85</v>
      </c>
      <c r="AF160" s="38"/>
      <c r="AG160" s="38" t="s">
        <v>56</v>
      </c>
      <c r="AH160" s="38" t="s">
        <v>56</v>
      </c>
      <c r="AI160" s="38"/>
      <c r="AJ160" s="38"/>
      <c r="AK160" s="38"/>
      <c r="AL160" s="68"/>
      <c r="AM160" s="66">
        <v>20</v>
      </c>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66"/>
      <c r="BL160" s="66"/>
      <c r="BM160" s="66"/>
      <c r="BN160" s="66"/>
      <c r="BO160" s="66"/>
      <c r="BP160" s="66"/>
      <c r="BQ160" s="66"/>
      <c r="BR160" s="66"/>
      <c r="BS160" s="66"/>
      <c r="BT160" s="66"/>
      <c r="BU160" s="66"/>
      <c r="BV160" s="66"/>
      <c r="BW160" s="66"/>
      <c r="BX160" s="66"/>
      <c r="BY160" s="66"/>
      <c r="BZ160" s="66"/>
      <c r="CA160" s="66"/>
      <c r="CB160" s="66"/>
      <c r="CC160" s="66"/>
      <c r="CD160" s="66"/>
      <c r="CE160" s="66"/>
      <c r="CF160" s="66"/>
      <c r="CG160" s="66"/>
      <c r="CH160" s="66"/>
      <c r="CI160" s="66"/>
      <c r="CJ160" s="66"/>
      <c r="CK160" s="66"/>
      <c r="CL160" s="66"/>
      <c r="CM160" s="66"/>
      <c r="CN160" s="66"/>
      <c r="CO160" s="66"/>
      <c r="CP160" s="66"/>
      <c r="CQ160" s="66"/>
      <c r="CR160" s="66"/>
      <c r="CS160" s="66"/>
      <c r="CT160" s="66"/>
      <c r="CU160" s="66"/>
      <c r="CV160" s="66"/>
      <c r="CW160" s="66"/>
      <c r="CX160" s="66"/>
      <c r="CY160" s="66"/>
      <c r="CZ160" s="66"/>
      <c r="DA160" s="66"/>
      <c r="DB160" s="66"/>
      <c r="DC160" s="66"/>
      <c r="DD160" s="66"/>
      <c r="DE160" s="66"/>
      <c r="DF160" s="66"/>
      <c r="DG160" s="66"/>
    </row>
    <row r="161" spans="1:111" s="13" customFormat="1" ht="113.25" customHeight="1" x14ac:dyDescent="0.25">
      <c r="A161" s="14">
        <v>46077</v>
      </c>
      <c r="B161" s="1345" t="s">
        <v>1370</v>
      </c>
      <c r="C161" s="1345" t="s">
        <v>1168</v>
      </c>
      <c r="D161" s="41" t="s">
        <v>1169</v>
      </c>
      <c r="E161" s="42" t="s">
        <v>39</v>
      </c>
      <c r="F161" s="1394">
        <v>1</v>
      </c>
      <c r="G161" s="1395"/>
      <c r="H161" s="1395"/>
      <c r="I161" s="72" t="s">
        <v>1371</v>
      </c>
      <c r="J161" s="45">
        <v>4</v>
      </c>
      <c r="K161" s="46" t="s">
        <v>1372</v>
      </c>
      <c r="L161" s="50" t="s">
        <v>63</v>
      </c>
      <c r="M161" s="73" t="s">
        <v>42</v>
      </c>
      <c r="N161" s="48" t="s">
        <v>1373</v>
      </c>
      <c r="O161" s="49" t="s">
        <v>1374</v>
      </c>
      <c r="P161" s="49" t="s">
        <v>1375</v>
      </c>
      <c r="Q161" s="49" t="s">
        <v>1375</v>
      </c>
      <c r="R161" s="50">
        <v>12</v>
      </c>
      <c r="S161" s="50">
        <v>364</v>
      </c>
      <c r="T161" s="51" t="s">
        <v>47</v>
      </c>
      <c r="U161" s="319">
        <v>81</v>
      </c>
      <c r="V161" s="75">
        <f t="shared" si="6"/>
        <v>324</v>
      </c>
      <c r="W161" s="51" t="s">
        <v>350</v>
      </c>
      <c r="X161" s="93" t="s">
        <v>1175</v>
      </c>
      <c r="Y161" s="31" t="s">
        <v>144</v>
      </c>
      <c r="Z161" s="32" t="s">
        <v>1176</v>
      </c>
      <c r="AA161" s="33" t="s">
        <v>1177</v>
      </c>
      <c r="AB161" s="34" t="s">
        <v>1178</v>
      </c>
      <c r="AC161" s="35">
        <f>765+5470.65*J161/15</f>
        <v>2223.84</v>
      </c>
      <c r="AD161" s="36"/>
      <c r="AE161" s="67" t="s">
        <v>85</v>
      </c>
      <c r="AF161" s="38" t="s">
        <v>354</v>
      </c>
      <c r="AG161" s="38" t="s">
        <v>56</v>
      </c>
      <c r="AH161" s="38" t="s">
        <v>56</v>
      </c>
      <c r="AI161" s="38"/>
      <c r="AJ161" s="38"/>
      <c r="AK161" s="38"/>
      <c r="AL161" s="38"/>
      <c r="AM161" s="175">
        <v>1</v>
      </c>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row>
    <row r="162" spans="1:111" s="13" customFormat="1" ht="156.75" customHeight="1" x14ac:dyDescent="0.25">
      <c r="A162" s="14">
        <v>46077</v>
      </c>
      <c r="B162" s="1406" t="s">
        <v>1376</v>
      </c>
      <c r="C162" s="1406" t="s">
        <v>1377</v>
      </c>
      <c r="D162" s="1406" t="s">
        <v>1378</v>
      </c>
      <c r="E162" s="452" t="s">
        <v>1379</v>
      </c>
      <c r="F162" s="1394">
        <v>3</v>
      </c>
      <c r="G162" s="1407"/>
      <c r="H162" s="1407"/>
      <c r="I162" s="72" t="s">
        <v>1380</v>
      </c>
      <c r="J162" s="454">
        <v>5</v>
      </c>
      <c r="K162" s="1408" t="s">
        <v>1381</v>
      </c>
      <c r="L162" s="458" t="s">
        <v>63</v>
      </c>
      <c r="M162" s="1409" t="s">
        <v>42</v>
      </c>
      <c r="N162" s="1410" t="s">
        <v>1382</v>
      </c>
      <c r="O162" s="1411" t="s">
        <v>1383</v>
      </c>
      <c r="P162" s="1411" t="s">
        <v>1100</v>
      </c>
      <c r="Q162" s="457" t="s">
        <v>1100</v>
      </c>
      <c r="R162" s="458">
        <v>89</v>
      </c>
      <c r="S162" s="458">
        <v>360</v>
      </c>
      <c r="T162" s="452" t="s">
        <v>180</v>
      </c>
      <c r="U162" s="452">
        <v>15</v>
      </c>
      <c r="V162" s="459">
        <f t="shared" si="6"/>
        <v>75</v>
      </c>
      <c r="W162" s="452" t="s">
        <v>48</v>
      </c>
      <c r="X162" s="93" t="s">
        <v>232</v>
      </c>
      <c r="Y162" s="31" t="s">
        <v>50</v>
      </c>
      <c r="Z162" s="32"/>
      <c r="AA162" s="33" t="s">
        <v>83</v>
      </c>
      <c r="AB162" s="1378" t="s">
        <v>1384</v>
      </c>
      <c r="AC162" s="35">
        <v>13974.7</v>
      </c>
      <c r="AD162" s="36"/>
      <c r="AE162" s="67" t="s">
        <v>85</v>
      </c>
      <c r="AF162" s="38"/>
      <c r="AG162" s="38" t="s">
        <v>56</v>
      </c>
      <c r="AH162" s="38" t="s">
        <v>56</v>
      </c>
      <c r="AI162" s="38"/>
      <c r="AJ162" s="38"/>
      <c r="AK162" s="38"/>
      <c r="AL162" s="38"/>
      <c r="AM162" s="36">
        <v>1</v>
      </c>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row>
    <row r="163" spans="1:111" s="13" customFormat="1" ht="113.25" customHeight="1" x14ac:dyDescent="0.25">
      <c r="A163" s="14">
        <v>46077</v>
      </c>
      <c r="B163" s="1401" t="s">
        <v>1385</v>
      </c>
      <c r="C163" s="1348" t="s">
        <v>1386</v>
      </c>
      <c r="D163" s="41" t="s">
        <v>1387</v>
      </c>
      <c r="E163" s="42" t="s">
        <v>39</v>
      </c>
      <c r="F163" s="43"/>
      <c r="G163" s="43"/>
      <c r="H163" s="19">
        <v>2</v>
      </c>
      <c r="I163" s="44" t="s">
        <v>1388</v>
      </c>
      <c r="J163" s="45">
        <v>4</v>
      </c>
      <c r="K163" s="1346" t="s">
        <v>1389</v>
      </c>
      <c r="L163" s="47" t="s">
        <v>63</v>
      </c>
      <c r="M163" s="73" t="s">
        <v>42</v>
      </c>
      <c r="N163" s="48" t="s">
        <v>1390</v>
      </c>
      <c r="O163" s="49" t="s">
        <v>1391</v>
      </c>
      <c r="P163" s="49" t="s">
        <v>1345</v>
      </c>
      <c r="Q163" s="49" t="s">
        <v>1335</v>
      </c>
      <c r="R163" s="50">
        <v>111</v>
      </c>
      <c r="S163" s="92">
        <v>1849</v>
      </c>
      <c r="T163" s="51" t="s">
        <v>180</v>
      </c>
      <c r="U163" s="51">
        <v>6</v>
      </c>
      <c r="V163" s="52">
        <f t="shared" si="6"/>
        <v>24</v>
      </c>
      <c r="W163" s="51" t="s">
        <v>350</v>
      </c>
      <c r="X163" s="30" t="s">
        <v>1392</v>
      </c>
      <c r="Y163" s="64" t="s">
        <v>82</v>
      </c>
      <c r="Z163" s="32" t="s">
        <v>483</v>
      </c>
      <c r="AA163" s="33" t="s">
        <v>1393</v>
      </c>
      <c r="AB163" s="34" t="s">
        <v>1394</v>
      </c>
      <c r="AC163" s="35">
        <v>13372</v>
      </c>
      <c r="AD163" s="66"/>
      <c r="AE163" s="67" t="s">
        <v>85</v>
      </c>
      <c r="AF163" s="38" t="s">
        <v>354</v>
      </c>
      <c r="AG163" s="38" t="s">
        <v>56</v>
      </c>
      <c r="AH163" s="38" t="s">
        <v>56</v>
      </c>
      <c r="AI163" s="38"/>
      <c r="AJ163" s="38"/>
      <c r="AK163" s="38"/>
      <c r="AL163" s="39" t="s">
        <v>1395</v>
      </c>
      <c r="AM163" s="66">
        <v>1</v>
      </c>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c r="BO163" s="66"/>
      <c r="BP163" s="66"/>
      <c r="BQ163" s="66"/>
      <c r="BR163" s="66"/>
      <c r="BS163" s="66"/>
      <c r="BT163" s="66"/>
      <c r="BU163" s="66"/>
      <c r="BV163" s="66"/>
      <c r="BW163" s="66"/>
      <c r="BX163" s="66"/>
      <c r="BY163" s="66"/>
      <c r="BZ163" s="66"/>
      <c r="CA163" s="66"/>
      <c r="CB163" s="66"/>
      <c r="CC163" s="66"/>
      <c r="CD163" s="66"/>
      <c r="CE163" s="66"/>
      <c r="CF163" s="66"/>
      <c r="CG163" s="66"/>
      <c r="CH163" s="66"/>
      <c r="CI163" s="66"/>
      <c r="CJ163" s="66"/>
      <c r="CK163" s="66"/>
      <c r="CL163" s="66"/>
      <c r="CM163" s="66"/>
      <c r="CN163" s="66"/>
      <c r="CO163" s="66"/>
      <c r="CP163" s="66"/>
      <c r="CQ163" s="66"/>
      <c r="CR163" s="66"/>
      <c r="CS163" s="66"/>
      <c r="CT163" s="66"/>
      <c r="CU163" s="66"/>
      <c r="CV163" s="66"/>
      <c r="CW163" s="66"/>
      <c r="CX163" s="66"/>
      <c r="CY163" s="66"/>
      <c r="CZ163" s="66"/>
      <c r="DA163" s="66"/>
      <c r="DB163" s="66"/>
      <c r="DC163" s="66"/>
      <c r="DD163" s="66"/>
      <c r="DE163" s="66"/>
      <c r="DF163" s="66"/>
      <c r="DG163" s="66"/>
    </row>
    <row r="164" spans="1:111" s="13" customFormat="1" ht="113.25" customHeight="1" x14ac:dyDescent="0.25">
      <c r="A164" s="14">
        <v>46077</v>
      </c>
      <c r="B164" s="95" t="s">
        <v>1396</v>
      </c>
      <c r="C164" s="1412" t="s">
        <v>1397</v>
      </c>
      <c r="D164" s="95" t="s">
        <v>1398</v>
      </c>
      <c r="E164" s="96" t="s">
        <v>39</v>
      </c>
      <c r="F164" s="97"/>
      <c r="G164" s="97"/>
      <c r="H164" s="19">
        <v>1</v>
      </c>
      <c r="I164" s="72" t="s">
        <v>1399</v>
      </c>
      <c r="J164" s="98">
        <v>5</v>
      </c>
      <c r="K164" s="99" t="s">
        <v>1400</v>
      </c>
      <c r="L164" s="100" t="s">
        <v>63</v>
      </c>
      <c r="M164" s="100" t="s">
        <v>55</v>
      </c>
      <c r="N164" s="101" t="s">
        <v>1401</v>
      </c>
      <c r="O164" s="102" t="s">
        <v>1402</v>
      </c>
      <c r="P164" s="102" t="s">
        <v>1403</v>
      </c>
      <c r="Q164" s="102" t="s">
        <v>1345</v>
      </c>
      <c r="R164" s="92">
        <v>132</v>
      </c>
      <c r="S164" s="103">
        <v>692</v>
      </c>
      <c r="T164" s="96" t="s">
        <v>141</v>
      </c>
      <c r="U164" s="96">
        <v>7</v>
      </c>
      <c r="V164" s="104">
        <f t="shared" si="6"/>
        <v>35</v>
      </c>
      <c r="W164" s="96" t="s">
        <v>48</v>
      </c>
      <c r="X164" s="94" t="s">
        <v>232</v>
      </c>
      <c r="Y164" s="31" t="s">
        <v>50</v>
      </c>
      <c r="Z164" s="53" t="s">
        <v>51</v>
      </c>
      <c r="AA164" s="33" t="s">
        <v>1103</v>
      </c>
      <c r="AB164" s="65" t="s">
        <v>944</v>
      </c>
      <c r="AC164" s="35">
        <v>11715.5</v>
      </c>
      <c r="AD164" s="36"/>
      <c r="AE164" s="67" t="s">
        <v>85</v>
      </c>
      <c r="AF164" s="38"/>
      <c r="AG164" s="38" t="s">
        <v>56</v>
      </c>
      <c r="AH164" s="38" t="s">
        <v>56</v>
      </c>
      <c r="AI164" s="38"/>
      <c r="AJ164" s="38"/>
      <c r="AK164" s="38"/>
      <c r="AL164" s="38"/>
      <c r="AM164" s="36">
        <v>1</v>
      </c>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row>
    <row r="165" spans="1:111" s="13" customFormat="1" ht="113.25" customHeight="1" x14ac:dyDescent="0.25">
      <c r="A165" s="14">
        <v>46077</v>
      </c>
      <c r="B165" s="55" t="s">
        <v>1404</v>
      </c>
      <c r="C165" s="55" t="s">
        <v>1405</v>
      </c>
      <c r="D165" s="54" t="s">
        <v>1406</v>
      </c>
      <c r="E165" s="1403" t="s">
        <v>39</v>
      </c>
      <c r="F165" s="1404"/>
      <c r="G165" s="57"/>
      <c r="H165" s="1405">
        <v>1</v>
      </c>
      <c r="I165" s="69" t="s">
        <v>1407</v>
      </c>
      <c r="J165" s="59">
        <v>30</v>
      </c>
      <c r="K165" s="70" t="s">
        <v>1408</v>
      </c>
      <c r="L165" s="61" t="s">
        <v>63</v>
      </c>
      <c r="M165" s="61" t="s">
        <v>42</v>
      </c>
      <c r="N165" s="80" t="s">
        <v>1409</v>
      </c>
      <c r="O165" s="62" t="s">
        <v>1410</v>
      </c>
      <c r="P165" s="62" t="s">
        <v>1411</v>
      </c>
      <c r="Q165" s="62" t="s">
        <v>508</v>
      </c>
      <c r="R165" s="92">
        <v>149</v>
      </c>
      <c r="S165" s="92">
        <v>677</v>
      </c>
      <c r="T165" s="56" t="s">
        <v>141</v>
      </c>
      <c r="U165" s="56">
        <v>2</v>
      </c>
      <c r="V165" s="63">
        <f t="shared" si="6"/>
        <v>60</v>
      </c>
      <c r="W165" s="56" t="s">
        <v>48</v>
      </c>
      <c r="X165" s="30" t="s">
        <v>482</v>
      </c>
      <c r="Y165" s="64" t="s">
        <v>50</v>
      </c>
      <c r="Z165" s="32"/>
      <c r="AA165" s="33" t="s">
        <v>1329</v>
      </c>
      <c r="AB165" s="65" t="s">
        <v>1412</v>
      </c>
      <c r="AC165" s="35">
        <v>38761</v>
      </c>
      <c r="AD165" s="66"/>
      <c r="AE165" s="37" t="s">
        <v>73</v>
      </c>
      <c r="AF165" s="38" t="s">
        <v>55</v>
      </c>
      <c r="AG165" s="38" t="s">
        <v>56</v>
      </c>
      <c r="AH165" s="38" t="s">
        <v>56</v>
      </c>
      <c r="AI165" s="38"/>
      <c r="AJ165" s="38"/>
      <c r="AK165" s="38"/>
      <c r="AL165" s="68"/>
      <c r="AM165" s="66">
        <v>1</v>
      </c>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66"/>
      <c r="BL165" s="66"/>
      <c r="BM165" s="66"/>
      <c r="BN165" s="66"/>
      <c r="BO165" s="66"/>
      <c r="BP165" s="66"/>
      <c r="BQ165" s="66"/>
      <c r="BR165" s="66"/>
      <c r="BS165" s="66"/>
      <c r="BT165" s="66"/>
      <c r="BU165" s="66"/>
      <c r="BV165" s="66"/>
      <c r="BW165" s="66"/>
      <c r="BX165" s="66"/>
      <c r="BY165" s="66"/>
      <c r="BZ165" s="66"/>
      <c r="CA165" s="66"/>
      <c r="CB165" s="66"/>
      <c r="CC165" s="66"/>
      <c r="CD165" s="66"/>
      <c r="CE165" s="66"/>
      <c r="CF165" s="66"/>
      <c r="CG165" s="66"/>
      <c r="CH165" s="66"/>
      <c r="CI165" s="66"/>
      <c r="CJ165" s="66"/>
      <c r="CK165" s="66"/>
      <c r="CL165" s="66"/>
      <c r="CM165" s="66"/>
      <c r="CN165" s="66"/>
      <c r="CO165" s="66"/>
      <c r="CP165" s="66"/>
      <c r="CQ165" s="66"/>
      <c r="CR165" s="66"/>
      <c r="CS165" s="66"/>
      <c r="CT165" s="66"/>
      <c r="CU165" s="66"/>
      <c r="CV165" s="66"/>
      <c r="CW165" s="66"/>
      <c r="CX165" s="66"/>
      <c r="CY165" s="66"/>
      <c r="CZ165" s="66"/>
      <c r="DA165" s="66"/>
      <c r="DB165" s="66"/>
      <c r="DC165" s="66"/>
      <c r="DD165" s="66"/>
      <c r="DE165" s="66"/>
      <c r="DF165" s="66"/>
      <c r="DG165" s="66"/>
    </row>
    <row r="166" spans="1:111" s="13" customFormat="1" ht="113.25" customHeight="1" x14ac:dyDescent="0.25">
      <c r="A166" s="14">
        <v>46077</v>
      </c>
      <c r="B166" s="54" t="s">
        <v>1331</v>
      </c>
      <c r="C166" s="55" t="s">
        <v>1413</v>
      </c>
      <c r="D166" s="54"/>
      <c r="E166" s="56" t="s">
        <v>39</v>
      </c>
      <c r="F166" s="19">
        <v>2</v>
      </c>
      <c r="G166" s="57"/>
      <c r="H166" s="57"/>
      <c r="I166" s="72" t="s">
        <v>1414</v>
      </c>
      <c r="J166" s="59">
        <v>14</v>
      </c>
      <c r="K166" s="70" t="s">
        <v>1408</v>
      </c>
      <c r="L166" s="1402" t="s">
        <v>63</v>
      </c>
      <c r="M166" s="1402" t="s">
        <v>55</v>
      </c>
      <c r="N166" s="80" t="s">
        <v>1415</v>
      </c>
      <c r="O166" s="62"/>
      <c r="P166" s="62"/>
      <c r="Q166" s="62" t="s">
        <v>1285</v>
      </c>
      <c r="R166" s="61">
        <v>6</v>
      </c>
      <c r="S166" s="61">
        <v>13</v>
      </c>
      <c r="T166" s="56" t="s">
        <v>393</v>
      </c>
      <c r="U166" s="56">
        <v>32</v>
      </c>
      <c r="V166" s="63">
        <f t="shared" si="6"/>
        <v>448</v>
      </c>
      <c r="W166" s="56" t="s">
        <v>48</v>
      </c>
      <c r="X166" s="30" t="s">
        <v>960</v>
      </c>
      <c r="Y166" s="64" t="s">
        <v>50</v>
      </c>
      <c r="Z166" s="32" t="s">
        <v>51</v>
      </c>
      <c r="AA166" s="33" t="s">
        <v>1363</v>
      </c>
      <c r="AB166" s="65" t="s">
        <v>1338</v>
      </c>
      <c r="AC166" s="35">
        <v>0</v>
      </c>
      <c r="AD166" s="66"/>
      <c r="AE166" s="67" t="s">
        <v>85</v>
      </c>
      <c r="AF166" s="38"/>
      <c r="AG166" s="107"/>
      <c r="AH166" s="107"/>
      <c r="AI166" s="38"/>
      <c r="AJ166" s="38"/>
      <c r="AK166" s="38"/>
      <c r="AL166" s="68"/>
      <c r="AM166" s="66">
        <v>1</v>
      </c>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c r="BO166" s="66"/>
      <c r="BP166" s="66"/>
      <c r="BQ166" s="66"/>
      <c r="BR166" s="66"/>
      <c r="BS166" s="66"/>
      <c r="BT166" s="66"/>
      <c r="BU166" s="66"/>
      <c r="BV166" s="66"/>
      <c r="BW166" s="66"/>
      <c r="BX166" s="66"/>
      <c r="BY166" s="66"/>
      <c r="BZ166" s="66"/>
      <c r="CA166" s="66"/>
      <c r="CB166" s="66"/>
      <c r="CC166" s="66"/>
      <c r="CD166" s="66"/>
      <c r="CE166" s="66"/>
      <c r="CF166" s="66"/>
      <c r="CG166" s="66"/>
      <c r="CH166" s="66"/>
      <c r="CI166" s="66"/>
      <c r="CJ166" s="66"/>
      <c r="CK166" s="66"/>
      <c r="CL166" s="66"/>
      <c r="CM166" s="66"/>
      <c r="CN166" s="66"/>
      <c r="CO166" s="66"/>
      <c r="CP166" s="66"/>
      <c r="CQ166" s="66"/>
      <c r="CR166" s="66"/>
      <c r="CS166" s="66"/>
      <c r="CT166" s="66"/>
      <c r="CU166" s="66"/>
      <c r="CV166" s="66"/>
      <c r="CW166" s="66"/>
      <c r="CX166" s="66"/>
      <c r="CY166" s="66"/>
      <c r="CZ166" s="66"/>
      <c r="DA166" s="66"/>
      <c r="DB166" s="66"/>
      <c r="DC166" s="66"/>
      <c r="DD166" s="66"/>
      <c r="DE166" s="66"/>
      <c r="DF166" s="66"/>
      <c r="DG166" s="66"/>
    </row>
    <row r="167" spans="1:111" s="13" customFormat="1" ht="113.25" customHeight="1" x14ac:dyDescent="0.25">
      <c r="A167" s="14">
        <v>46077</v>
      </c>
      <c r="B167" s="41" t="s">
        <v>1416</v>
      </c>
      <c r="C167" s="1345" t="s">
        <v>1417</v>
      </c>
      <c r="D167" s="41"/>
      <c r="E167" s="42" t="s">
        <v>39</v>
      </c>
      <c r="F167" s="1394">
        <v>2</v>
      </c>
      <c r="G167" s="1395"/>
      <c r="H167" s="1395"/>
      <c r="I167" s="72" t="s">
        <v>1418</v>
      </c>
      <c r="J167" s="45">
        <v>100</v>
      </c>
      <c r="K167" s="46" t="s">
        <v>1372</v>
      </c>
      <c r="L167" s="47" t="s">
        <v>63</v>
      </c>
      <c r="M167" s="42" t="s">
        <v>42</v>
      </c>
      <c r="N167" s="77" t="s">
        <v>1419</v>
      </c>
      <c r="O167" s="49"/>
      <c r="P167" s="49"/>
      <c r="Q167" s="49"/>
      <c r="R167" s="50">
        <v>11</v>
      </c>
      <c r="S167" s="50">
        <v>13</v>
      </c>
      <c r="T167" s="51" t="s">
        <v>96</v>
      </c>
      <c r="U167" s="51">
        <v>7</v>
      </c>
      <c r="V167" s="75">
        <f t="shared" si="6"/>
        <v>700</v>
      </c>
      <c r="W167" s="51" t="s">
        <v>48</v>
      </c>
      <c r="X167" s="30" t="s">
        <v>1420</v>
      </c>
      <c r="Y167" s="64" t="s">
        <v>82</v>
      </c>
      <c r="Z167" s="32" t="s">
        <v>51</v>
      </c>
      <c r="AA167" s="33" t="s">
        <v>1047</v>
      </c>
      <c r="AB167" s="65" t="s">
        <v>1421</v>
      </c>
      <c r="AC167" s="35">
        <v>3760</v>
      </c>
      <c r="AD167" s="66"/>
      <c r="AE167" s="37" t="s">
        <v>1422</v>
      </c>
      <c r="AF167" s="38"/>
      <c r="AG167" s="38" t="s">
        <v>56</v>
      </c>
      <c r="AH167" s="38" t="s">
        <v>56</v>
      </c>
      <c r="AI167" s="38"/>
      <c r="AJ167" s="38"/>
      <c r="AK167" s="38"/>
      <c r="AL167" s="68"/>
      <c r="AM167" s="66">
        <v>1</v>
      </c>
      <c r="AN167" s="66"/>
      <c r="AO167" s="66"/>
      <c r="AP167" s="66"/>
      <c r="AQ167" s="66"/>
      <c r="AR167" s="66"/>
      <c r="AS167" s="66"/>
      <c r="AT167" s="66"/>
      <c r="AU167" s="66"/>
      <c r="AV167" s="66"/>
      <c r="AW167" s="66"/>
      <c r="AX167" s="66"/>
      <c r="AY167" s="66"/>
      <c r="AZ167" s="66"/>
      <c r="BA167" s="66"/>
      <c r="BB167" s="66"/>
      <c r="BC167" s="66"/>
      <c r="BD167" s="66"/>
      <c r="BE167" s="66"/>
      <c r="BF167" s="66"/>
      <c r="BG167" s="66"/>
      <c r="BH167" s="66"/>
      <c r="BI167" s="66"/>
      <c r="BJ167" s="66"/>
      <c r="BK167" s="66"/>
      <c r="BL167" s="66"/>
      <c r="BM167" s="66"/>
      <c r="BN167" s="66"/>
      <c r="BO167" s="66"/>
      <c r="BP167" s="66"/>
      <c r="BQ167" s="66"/>
      <c r="BR167" s="66"/>
      <c r="BS167" s="66"/>
      <c r="BT167" s="66"/>
      <c r="BU167" s="66"/>
      <c r="BV167" s="66"/>
      <c r="BW167" s="66"/>
      <c r="BX167" s="66"/>
      <c r="BY167" s="66"/>
      <c r="BZ167" s="66"/>
      <c r="CA167" s="66"/>
      <c r="CB167" s="66"/>
      <c r="CC167" s="66"/>
      <c r="CD167" s="66"/>
      <c r="CE167" s="66"/>
      <c r="CF167" s="66"/>
      <c r="CG167" s="66"/>
      <c r="CH167" s="66"/>
      <c r="CI167" s="66"/>
      <c r="CJ167" s="66"/>
      <c r="CK167" s="66"/>
      <c r="CL167" s="66"/>
      <c r="CM167" s="66"/>
      <c r="CN167" s="66"/>
      <c r="CO167" s="66"/>
      <c r="CP167" s="66"/>
      <c r="CQ167" s="66"/>
      <c r="CR167" s="66"/>
      <c r="CS167" s="66"/>
      <c r="CT167" s="66"/>
      <c r="CU167" s="66"/>
      <c r="CV167" s="66"/>
      <c r="CW167" s="66"/>
      <c r="CX167" s="66"/>
      <c r="CY167" s="66"/>
      <c r="CZ167" s="66"/>
      <c r="DA167" s="66"/>
      <c r="DB167" s="66"/>
      <c r="DC167" s="66"/>
      <c r="DD167" s="66"/>
      <c r="DE167" s="66"/>
      <c r="DF167" s="66"/>
      <c r="DG167" s="66"/>
    </row>
    <row r="168" spans="1:111" s="13" customFormat="1" ht="113.25" customHeight="1" x14ac:dyDescent="0.25">
      <c r="A168" s="14">
        <v>46076</v>
      </c>
      <c r="B168" s="1345" t="s">
        <v>1423</v>
      </c>
      <c r="C168" s="41" t="s">
        <v>1424</v>
      </c>
      <c r="D168" s="41"/>
      <c r="E168" s="42" t="s">
        <v>39</v>
      </c>
      <c r="F168" s="1394">
        <v>3</v>
      </c>
      <c r="G168" s="1395"/>
      <c r="H168" s="1395"/>
      <c r="I168" s="72" t="s">
        <v>1425</v>
      </c>
      <c r="J168" s="45">
        <v>200</v>
      </c>
      <c r="K168" s="46" t="s">
        <v>1426</v>
      </c>
      <c r="L168" s="1372" t="s">
        <v>63</v>
      </c>
      <c r="M168" s="73" t="s">
        <v>42</v>
      </c>
      <c r="N168" s="48" t="s">
        <v>1427</v>
      </c>
      <c r="O168" s="49" t="s">
        <v>1428</v>
      </c>
      <c r="P168" s="49" t="s">
        <v>1429</v>
      </c>
      <c r="Q168" s="49" t="s">
        <v>1430</v>
      </c>
      <c r="R168" s="50">
        <v>12</v>
      </c>
      <c r="S168" s="50">
        <v>28</v>
      </c>
      <c r="T168" s="51" t="s">
        <v>47</v>
      </c>
      <c r="U168" s="51">
        <v>0</v>
      </c>
      <c r="V168" s="52">
        <f t="shared" si="6"/>
        <v>0</v>
      </c>
      <c r="W168" s="51" t="s">
        <v>142</v>
      </c>
      <c r="X168" s="30" t="s">
        <v>1431</v>
      </c>
      <c r="Y168" s="31" t="s">
        <v>82</v>
      </c>
      <c r="Z168" s="53" t="s">
        <v>51</v>
      </c>
      <c r="AA168" s="33" t="s">
        <v>1047</v>
      </c>
      <c r="AB168" s="65" t="s">
        <v>1421</v>
      </c>
      <c r="AC168" s="35">
        <v>5740</v>
      </c>
      <c r="AD168" s="36"/>
      <c r="AE168" s="37" t="s">
        <v>1422</v>
      </c>
      <c r="AF168" s="38"/>
      <c r="AG168" s="38" t="s">
        <v>56</v>
      </c>
      <c r="AH168" s="38" t="s">
        <v>56</v>
      </c>
      <c r="AI168" s="38"/>
      <c r="AJ168" s="38"/>
      <c r="AK168" s="38"/>
      <c r="AL168" s="38"/>
      <c r="AM168" s="36">
        <v>15</v>
      </c>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row>
    <row r="169" spans="1:111" s="13" customFormat="1" ht="113.25" customHeight="1" x14ac:dyDescent="0.25">
      <c r="A169" s="14">
        <v>46076</v>
      </c>
      <c r="B169" s="41" t="s">
        <v>1432</v>
      </c>
      <c r="C169" s="1345" t="s">
        <v>1433</v>
      </c>
      <c r="D169" s="41"/>
      <c r="E169" s="42" t="s">
        <v>39</v>
      </c>
      <c r="F169" s="19">
        <v>1</v>
      </c>
      <c r="G169" s="43"/>
      <c r="H169" s="43"/>
      <c r="I169" s="72" t="s">
        <v>1434</v>
      </c>
      <c r="J169" s="45">
        <v>100</v>
      </c>
      <c r="K169" s="46" t="s">
        <v>1435</v>
      </c>
      <c r="L169" s="47" t="s">
        <v>63</v>
      </c>
      <c r="M169" s="73" t="s">
        <v>42</v>
      </c>
      <c r="N169" s="48" t="s">
        <v>1436</v>
      </c>
      <c r="O169" s="49" t="s">
        <v>1437</v>
      </c>
      <c r="P169" s="49" t="s">
        <v>1438</v>
      </c>
      <c r="Q169" s="49" t="s">
        <v>1403</v>
      </c>
      <c r="R169" s="50">
        <v>28</v>
      </c>
      <c r="S169" s="50">
        <v>111</v>
      </c>
      <c r="T169" s="51" t="s">
        <v>549</v>
      </c>
      <c r="U169" s="51">
        <v>1</v>
      </c>
      <c r="V169" s="52">
        <f t="shared" si="6"/>
        <v>100</v>
      </c>
      <c r="W169" s="51" t="s">
        <v>221</v>
      </c>
      <c r="X169" s="30" t="s">
        <v>644</v>
      </c>
      <c r="Y169" s="64" t="s">
        <v>324</v>
      </c>
      <c r="Z169" s="32"/>
      <c r="AA169" s="33" t="s">
        <v>1439</v>
      </c>
      <c r="AB169" s="65" t="s">
        <v>1440</v>
      </c>
      <c r="AC169" s="35">
        <v>2956</v>
      </c>
      <c r="AD169" s="66"/>
      <c r="AE169" s="37" t="s">
        <v>1191</v>
      </c>
      <c r="AF169" s="38"/>
      <c r="AG169" s="38" t="s">
        <v>56</v>
      </c>
      <c r="AH169" s="38" t="s">
        <v>56</v>
      </c>
      <c r="AI169" s="38"/>
      <c r="AJ169" s="38" t="s">
        <v>56</v>
      </c>
      <c r="AK169" s="38" t="s">
        <v>74</v>
      </c>
      <c r="AL169" s="68"/>
      <c r="AM169" s="66">
        <v>1</v>
      </c>
      <c r="AN169" s="66"/>
      <c r="AO169" s="66"/>
      <c r="AP169" s="66"/>
      <c r="AQ169" s="66"/>
      <c r="AR169" s="66"/>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c r="BV169" s="66"/>
      <c r="BW169" s="66"/>
      <c r="BX169" s="66"/>
      <c r="BY169" s="66"/>
      <c r="BZ169" s="66"/>
      <c r="CA169" s="66"/>
      <c r="CB169" s="66"/>
      <c r="CC169" s="66"/>
      <c r="CD169" s="66"/>
      <c r="CE169" s="66"/>
      <c r="CF169" s="66"/>
      <c r="CG169" s="66"/>
      <c r="CH169" s="66"/>
      <c r="CI169" s="66"/>
      <c r="CJ169" s="66"/>
      <c r="CK169" s="66"/>
      <c r="CL169" s="66"/>
      <c r="CM169" s="66"/>
      <c r="CN169" s="66"/>
      <c r="CO169" s="66"/>
      <c r="CP169" s="66"/>
      <c r="CQ169" s="66"/>
      <c r="CR169" s="66"/>
      <c r="CS169" s="66"/>
      <c r="CT169" s="66"/>
      <c r="CU169" s="66"/>
      <c r="CV169" s="66"/>
      <c r="CW169" s="66"/>
      <c r="CX169" s="66"/>
      <c r="CY169" s="66"/>
      <c r="CZ169" s="66"/>
      <c r="DA169" s="66"/>
      <c r="DB169" s="66"/>
      <c r="DC169" s="66"/>
      <c r="DD169" s="66"/>
      <c r="DE169" s="66"/>
    </row>
    <row r="170" spans="1:111" s="13" customFormat="1" ht="113.25" customHeight="1" x14ac:dyDescent="0.25">
      <c r="A170" s="14">
        <v>46076</v>
      </c>
      <c r="B170" s="1345" t="s">
        <v>1441</v>
      </c>
      <c r="C170" s="41" t="s">
        <v>938</v>
      </c>
      <c r="D170" s="41"/>
      <c r="E170" s="42" t="s">
        <v>39</v>
      </c>
      <c r="F170" s="1394">
        <v>2</v>
      </c>
      <c r="G170" s="1395"/>
      <c r="H170" s="1395"/>
      <c r="I170" s="72" t="s">
        <v>1442</v>
      </c>
      <c r="J170" s="45">
        <v>120</v>
      </c>
      <c r="K170" s="46" t="s">
        <v>1426</v>
      </c>
      <c r="L170" s="1372" t="s">
        <v>63</v>
      </c>
      <c r="M170" s="73" t="s">
        <v>42</v>
      </c>
      <c r="N170" s="77" t="s">
        <v>1443</v>
      </c>
      <c r="O170" s="49"/>
      <c r="P170" s="49" t="s">
        <v>1444</v>
      </c>
      <c r="Q170" s="49" t="s">
        <v>1444</v>
      </c>
      <c r="R170" s="50">
        <v>38</v>
      </c>
      <c r="S170" s="50">
        <v>107</v>
      </c>
      <c r="T170" s="51" t="s">
        <v>67</v>
      </c>
      <c r="U170" s="51">
        <v>8</v>
      </c>
      <c r="V170" s="75">
        <f t="shared" si="6"/>
        <v>960</v>
      </c>
      <c r="W170" s="51" t="s">
        <v>48</v>
      </c>
      <c r="X170" s="30" t="s">
        <v>1445</v>
      </c>
      <c r="Y170" s="64" t="s">
        <v>144</v>
      </c>
      <c r="Z170" s="32" t="s">
        <v>51</v>
      </c>
      <c r="AA170" s="33" t="s">
        <v>1103</v>
      </c>
      <c r="AB170" s="65" t="s">
        <v>944</v>
      </c>
      <c r="AC170" s="35">
        <v>6725.4</v>
      </c>
      <c r="AD170" s="66"/>
      <c r="AE170" s="37" t="s">
        <v>1191</v>
      </c>
      <c r="AF170" s="38"/>
      <c r="AG170" s="38" t="s">
        <v>56</v>
      </c>
      <c r="AH170" s="38" t="s">
        <v>56</v>
      </c>
      <c r="AI170" s="38"/>
      <c r="AJ170" s="38"/>
      <c r="AK170" s="38"/>
      <c r="AL170" s="68"/>
      <c r="AM170" s="66">
        <v>2</v>
      </c>
      <c r="AN170" s="66"/>
      <c r="AO170" s="66"/>
      <c r="AP170" s="66"/>
      <c r="AQ170" s="66"/>
      <c r="AR170" s="66"/>
      <c r="AS170" s="66"/>
      <c r="AT170" s="66"/>
      <c r="AU170" s="66"/>
      <c r="AV170" s="66"/>
      <c r="AW170" s="66"/>
      <c r="AX170" s="66"/>
      <c r="AY170" s="66"/>
      <c r="AZ170" s="66"/>
      <c r="BA170" s="66"/>
      <c r="BB170" s="66"/>
      <c r="BC170" s="66"/>
      <c r="BD170" s="66"/>
      <c r="BE170" s="66"/>
      <c r="BF170" s="66"/>
      <c r="BG170" s="66"/>
      <c r="BH170" s="66"/>
      <c r="BI170" s="66"/>
      <c r="BJ170" s="66"/>
      <c r="BK170" s="66"/>
      <c r="BL170" s="66"/>
      <c r="BM170" s="66"/>
      <c r="BN170" s="66"/>
      <c r="BO170" s="66"/>
      <c r="BP170" s="66"/>
      <c r="BQ170" s="66"/>
      <c r="BR170" s="66"/>
      <c r="BS170" s="66"/>
      <c r="BT170" s="66"/>
      <c r="BU170" s="66"/>
      <c r="BV170" s="66"/>
      <c r="BW170" s="66"/>
      <c r="BX170" s="66"/>
      <c r="BY170" s="66"/>
      <c r="BZ170" s="66"/>
      <c r="CA170" s="66"/>
      <c r="CB170" s="66"/>
      <c r="CC170" s="66"/>
      <c r="CD170" s="66"/>
      <c r="CE170" s="66"/>
      <c r="CF170" s="66"/>
      <c r="CG170" s="66"/>
      <c r="CH170" s="66"/>
      <c r="CI170" s="66"/>
      <c r="CJ170" s="66"/>
      <c r="CK170" s="66"/>
      <c r="CL170" s="66"/>
      <c r="CM170" s="66"/>
      <c r="CN170" s="66"/>
      <c r="CO170" s="66"/>
      <c r="CP170" s="66"/>
      <c r="CQ170" s="66"/>
      <c r="CR170" s="66"/>
      <c r="CS170" s="66"/>
      <c r="CT170" s="66"/>
      <c r="CU170" s="66"/>
      <c r="CV170" s="66"/>
      <c r="CW170" s="66"/>
      <c r="CX170" s="66"/>
      <c r="CY170" s="66"/>
      <c r="CZ170" s="66"/>
      <c r="DA170" s="66"/>
      <c r="DB170" s="66"/>
      <c r="DC170" s="66"/>
      <c r="DD170" s="66"/>
      <c r="DE170" s="66"/>
    </row>
    <row r="171" spans="1:111" s="13" customFormat="1" ht="113.25" customHeight="1" x14ac:dyDescent="0.25">
      <c r="A171" s="14">
        <v>46076</v>
      </c>
      <c r="B171" s="1345" t="s">
        <v>1446</v>
      </c>
      <c r="C171" s="41" t="s">
        <v>1447</v>
      </c>
      <c r="D171" s="41"/>
      <c r="E171" s="42" t="s">
        <v>39</v>
      </c>
      <c r="F171" s="1394">
        <v>1</v>
      </c>
      <c r="G171" s="1395"/>
      <c r="H171" s="1395"/>
      <c r="I171" s="72" t="s">
        <v>1448</v>
      </c>
      <c r="J171" s="45">
        <v>40</v>
      </c>
      <c r="K171" s="46" t="s">
        <v>1426</v>
      </c>
      <c r="L171" s="1372" t="s">
        <v>63</v>
      </c>
      <c r="M171" s="73" t="s">
        <v>42</v>
      </c>
      <c r="N171" s="77" t="s">
        <v>240</v>
      </c>
      <c r="O171" s="49" t="s">
        <v>1449</v>
      </c>
      <c r="P171" s="49" t="s">
        <v>1450</v>
      </c>
      <c r="Q171" s="49" t="s">
        <v>1451</v>
      </c>
      <c r="R171" s="50">
        <v>35</v>
      </c>
      <c r="S171" s="50">
        <v>471</v>
      </c>
      <c r="T171" s="51" t="s">
        <v>47</v>
      </c>
      <c r="U171" s="51">
        <v>0</v>
      </c>
      <c r="V171" s="52">
        <f t="shared" si="6"/>
        <v>0</v>
      </c>
      <c r="W171" s="51" t="s">
        <v>48</v>
      </c>
      <c r="X171" s="30" t="s">
        <v>1452</v>
      </c>
      <c r="Y171" s="64" t="s">
        <v>324</v>
      </c>
      <c r="Z171" s="32"/>
      <c r="AA171" s="33" t="s">
        <v>774</v>
      </c>
      <c r="AB171" s="65" t="s">
        <v>944</v>
      </c>
      <c r="AC171" s="35">
        <v>7850.8</v>
      </c>
      <c r="AD171" s="66"/>
      <c r="AE171" s="107" t="s">
        <v>1453</v>
      </c>
      <c r="AF171" s="38"/>
      <c r="AG171" s="38" t="s">
        <v>56</v>
      </c>
      <c r="AH171" s="38" t="s">
        <v>56</v>
      </c>
      <c r="AI171" s="38"/>
      <c r="AJ171" s="38"/>
      <c r="AK171" s="38"/>
      <c r="AL171" s="68"/>
      <c r="AM171" s="66">
        <v>1</v>
      </c>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66"/>
      <c r="BL171" s="66"/>
      <c r="BM171" s="66"/>
      <c r="BN171" s="66"/>
      <c r="BO171" s="66"/>
      <c r="BP171" s="66"/>
      <c r="BQ171" s="66"/>
      <c r="BR171" s="66"/>
      <c r="BS171" s="66"/>
      <c r="BT171" s="66"/>
      <c r="BU171" s="66"/>
      <c r="BV171" s="66"/>
      <c r="BW171" s="66"/>
      <c r="BX171" s="66"/>
      <c r="BY171" s="66"/>
      <c r="BZ171" s="66"/>
      <c r="CA171" s="66"/>
      <c r="CB171" s="66"/>
      <c r="CC171" s="66"/>
      <c r="CD171" s="66"/>
      <c r="CE171" s="66"/>
      <c r="CF171" s="66"/>
      <c r="CG171" s="66"/>
      <c r="CH171" s="66"/>
      <c r="CI171" s="66"/>
      <c r="CJ171" s="66"/>
      <c r="CK171" s="66"/>
      <c r="CL171" s="66"/>
      <c r="CM171" s="66"/>
      <c r="CN171" s="66"/>
      <c r="CO171" s="66"/>
      <c r="CP171" s="66"/>
      <c r="CQ171" s="66"/>
      <c r="CR171" s="66"/>
      <c r="CS171" s="66"/>
      <c r="CT171" s="66"/>
      <c r="CU171" s="66"/>
      <c r="CV171" s="66"/>
      <c r="CW171" s="66"/>
      <c r="CX171" s="66"/>
      <c r="CY171" s="66"/>
      <c r="CZ171" s="66"/>
      <c r="DA171" s="66"/>
      <c r="DB171" s="66"/>
      <c r="DC171" s="66"/>
      <c r="DD171" s="66"/>
      <c r="DE171" s="66"/>
    </row>
    <row r="172" spans="1:111" s="13" customFormat="1" ht="113.25" customHeight="1" x14ac:dyDescent="0.25">
      <c r="A172" s="14">
        <v>46076</v>
      </c>
      <c r="B172" s="55" t="s">
        <v>1454</v>
      </c>
      <c r="C172" s="54" t="s">
        <v>1455</v>
      </c>
      <c r="D172" s="54" t="s">
        <v>1456</v>
      </c>
      <c r="E172" s="56" t="s">
        <v>39</v>
      </c>
      <c r="F172" s="1397"/>
      <c r="G172" s="1397"/>
      <c r="H172" s="1398">
        <v>1</v>
      </c>
      <c r="I172" s="44" t="s">
        <v>1457</v>
      </c>
      <c r="J172" s="1399">
        <v>37</v>
      </c>
      <c r="K172" s="1400" t="s">
        <v>1458</v>
      </c>
      <c r="L172" s="61" t="s">
        <v>63</v>
      </c>
      <c r="M172" s="61" t="s">
        <v>42</v>
      </c>
      <c r="N172" s="80" t="s">
        <v>1459</v>
      </c>
      <c r="O172" s="62" t="s">
        <v>1375</v>
      </c>
      <c r="P172" s="62" t="s">
        <v>1460</v>
      </c>
      <c r="Q172" s="62" t="s">
        <v>1285</v>
      </c>
      <c r="R172" s="92">
        <v>147</v>
      </c>
      <c r="S172" s="92">
        <v>902</v>
      </c>
      <c r="T172" s="56" t="s">
        <v>141</v>
      </c>
      <c r="U172" s="56">
        <v>2</v>
      </c>
      <c r="V172" s="63">
        <f t="shared" si="6"/>
        <v>74</v>
      </c>
      <c r="W172" s="56" t="s">
        <v>48</v>
      </c>
      <c r="X172" s="30" t="s">
        <v>482</v>
      </c>
      <c r="Y172" s="31" t="s">
        <v>50</v>
      </c>
      <c r="Z172" s="53"/>
      <c r="AA172" s="33" t="s">
        <v>1439</v>
      </c>
      <c r="AB172" s="65" t="s">
        <v>1461</v>
      </c>
      <c r="AC172" s="35">
        <f>37572+932</f>
        <v>38504</v>
      </c>
      <c r="AD172" s="36"/>
      <c r="AE172" s="107" t="s">
        <v>1453</v>
      </c>
      <c r="AF172" s="38"/>
      <c r="AG172" s="38" t="s">
        <v>56</v>
      </c>
      <c r="AH172" s="38" t="s">
        <v>56</v>
      </c>
      <c r="AI172" s="38"/>
      <c r="AJ172" s="38"/>
      <c r="AK172" s="38"/>
      <c r="AL172" s="38"/>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row>
    <row r="173" spans="1:111" s="13" customFormat="1" ht="113.25" customHeight="1" x14ac:dyDescent="0.25">
      <c r="A173" s="14">
        <v>46073</v>
      </c>
      <c r="B173" s="1345" t="s">
        <v>1462</v>
      </c>
      <c r="C173" s="41" t="s">
        <v>1365</v>
      </c>
      <c r="D173" s="41" t="s">
        <v>1463</v>
      </c>
      <c r="E173" s="42" t="s">
        <v>39</v>
      </c>
      <c r="F173" s="43"/>
      <c r="G173" s="43"/>
      <c r="H173" s="19">
        <v>2</v>
      </c>
      <c r="I173" s="72" t="s">
        <v>1464</v>
      </c>
      <c r="J173" s="45">
        <v>30</v>
      </c>
      <c r="K173" s="46" t="s">
        <v>1465</v>
      </c>
      <c r="L173" s="47" t="s">
        <v>63</v>
      </c>
      <c r="M173" s="42" t="s">
        <v>42</v>
      </c>
      <c r="N173" s="48" t="s">
        <v>1466</v>
      </c>
      <c r="O173" s="49" t="s">
        <v>1402</v>
      </c>
      <c r="P173" s="49" t="s">
        <v>1467</v>
      </c>
      <c r="Q173" s="49" t="s">
        <v>1468</v>
      </c>
      <c r="R173" s="50">
        <v>6</v>
      </c>
      <c r="S173" s="50">
        <v>14</v>
      </c>
      <c r="T173" s="51" t="s">
        <v>47</v>
      </c>
      <c r="U173" s="51">
        <v>0</v>
      </c>
      <c r="V173" s="52">
        <f t="shared" si="6"/>
        <v>0</v>
      </c>
      <c r="W173" s="51" t="s">
        <v>142</v>
      </c>
      <c r="X173" s="30" t="s">
        <v>1243</v>
      </c>
      <c r="Y173" s="64" t="s">
        <v>82</v>
      </c>
      <c r="Z173" s="32"/>
      <c r="AA173" s="33" t="s">
        <v>224</v>
      </c>
      <c r="AB173" s="65" t="s">
        <v>435</v>
      </c>
      <c r="AC173" s="35">
        <f>805+3654</f>
        <v>4459</v>
      </c>
      <c r="AD173" s="66"/>
      <c r="AE173" s="107" t="s">
        <v>1453</v>
      </c>
      <c r="AF173" s="38"/>
      <c r="AG173" s="38" t="s">
        <v>56</v>
      </c>
      <c r="AH173" s="38" t="s">
        <v>56</v>
      </c>
      <c r="AI173" s="38"/>
      <c r="AJ173" s="38" t="s">
        <v>56</v>
      </c>
      <c r="AK173" s="38" t="s">
        <v>74</v>
      </c>
      <c r="AL173" s="78" t="s">
        <v>1469</v>
      </c>
      <c r="AM173" s="66">
        <v>50</v>
      </c>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c r="BV173" s="66"/>
      <c r="BW173" s="66"/>
      <c r="BX173" s="66"/>
      <c r="BY173" s="66"/>
      <c r="BZ173" s="66"/>
      <c r="CA173" s="66"/>
      <c r="CB173" s="66"/>
      <c r="CC173" s="66"/>
      <c r="CD173" s="66"/>
      <c r="CE173" s="66"/>
      <c r="CF173" s="66"/>
      <c r="CG173" s="66"/>
      <c r="CH173" s="66"/>
      <c r="CI173" s="66"/>
      <c r="CJ173" s="66"/>
      <c r="CK173" s="66"/>
      <c r="CL173" s="66"/>
      <c r="CM173" s="66"/>
      <c r="CN173" s="66"/>
      <c r="CO173" s="66"/>
      <c r="CP173" s="66"/>
      <c r="CQ173" s="66"/>
      <c r="CR173" s="66"/>
      <c r="CS173" s="66"/>
      <c r="CT173" s="66"/>
      <c r="CU173" s="66"/>
      <c r="CV173" s="66"/>
      <c r="CW173" s="66"/>
      <c r="CX173" s="66"/>
      <c r="CY173" s="66"/>
      <c r="CZ173" s="66"/>
      <c r="DA173" s="66"/>
      <c r="DB173" s="66"/>
      <c r="DC173" s="66"/>
      <c r="DD173" s="66"/>
      <c r="DE173" s="66"/>
    </row>
    <row r="174" spans="1:111" s="13" customFormat="1" ht="113.25" customHeight="1" x14ac:dyDescent="0.25">
      <c r="A174" s="14">
        <v>46073</v>
      </c>
      <c r="B174" s="1345" t="s">
        <v>1470</v>
      </c>
      <c r="C174" s="1345" t="s">
        <v>1471</v>
      </c>
      <c r="D174" s="41"/>
      <c r="E174" s="42" t="s">
        <v>39</v>
      </c>
      <c r="F174" s="1349">
        <v>2</v>
      </c>
      <c r="G174" s="43"/>
      <c r="H174" s="43"/>
      <c r="I174" s="69" t="s">
        <v>1472</v>
      </c>
      <c r="J174" s="45">
        <v>2</v>
      </c>
      <c r="K174" s="46" t="s">
        <v>1473</v>
      </c>
      <c r="L174" s="47" t="s">
        <v>63</v>
      </c>
      <c r="M174" s="42" t="s">
        <v>42</v>
      </c>
      <c r="N174" s="48" t="s">
        <v>1474</v>
      </c>
      <c r="O174" s="49"/>
      <c r="P174" s="49" t="s">
        <v>1475</v>
      </c>
      <c r="Q174" s="49" t="s">
        <v>1476</v>
      </c>
      <c r="R174" s="50">
        <v>38</v>
      </c>
      <c r="S174" s="50">
        <v>538</v>
      </c>
      <c r="T174" s="51" t="s">
        <v>96</v>
      </c>
      <c r="U174" s="51">
        <v>24</v>
      </c>
      <c r="V174" s="52">
        <f t="shared" si="6"/>
        <v>48</v>
      </c>
      <c r="W174" s="323" t="s">
        <v>1477</v>
      </c>
      <c r="X174" s="93" t="s">
        <v>1478</v>
      </c>
      <c r="Y174" s="64" t="s">
        <v>324</v>
      </c>
      <c r="Z174" s="32"/>
      <c r="AA174" s="33" t="s">
        <v>1439</v>
      </c>
      <c r="AB174" s="65" t="s">
        <v>1479</v>
      </c>
      <c r="AC174" s="35">
        <v>2478</v>
      </c>
      <c r="AD174" s="66"/>
      <c r="AE174" s="107" t="s">
        <v>1453</v>
      </c>
      <c r="AF174" s="38"/>
      <c r="AG174" s="38" t="s">
        <v>56</v>
      </c>
      <c r="AH174" s="38" t="s">
        <v>56</v>
      </c>
      <c r="AI174" s="38"/>
      <c r="AJ174" s="38"/>
      <c r="AK174" s="38"/>
      <c r="AL174" s="68"/>
      <c r="AM174" s="66">
        <v>1</v>
      </c>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66"/>
      <c r="BL174" s="66"/>
      <c r="BM174" s="66"/>
      <c r="BN174" s="66"/>
      <c r="BO174" s="66"/>
      <c r="BP174" s="66"/>
      <c r="BQ174" s="66"/>
      <c r="BR174" s="66"/>
      <c r="BS174" s="66"/>
      <c r="BT174" s="66"/>
      <c r="BU174" s="66"/>
      <c r="BV174" s="66"/>
      <c r="BW174" s="66"/>
      <c r="BX174" s="66"/>
      <c r="BY174" s="66"/>
      <c r="BZ174" s="66"/>
      <c r="CA174" s="66"/>
      <c r="CB174" s="66"/>
      <c r="CC174" s="66"/>
      <c r="CD174" s="66"/>
      <c r="CE174" s="66"/>
      <c r="CF174" s="66"/>
      <c r="CG174" s="66"/>
      <c r="CH174" s="66"/>
      <c r="CI174" s="66"/>
      <c r="CJ174" s="66"/>
      <c r="CK174" s="66"/>
      <c r="CL174" s="66"/>
      <c r="CM174" s="66"/>
      <c r="CN174" s="66"/>
      <c r="CO174" s="66"/>
      <c r="CP174" s="66"/>
      <c r="CQ174" s="66"/>
      <c r="CR174" s="66"/>
      <c r="CS174" s="66"/>
      <c r="CT174" s="66"/>
      <c r="CU174" s="66"/>
      <c r="CV174" s="66"/>
      <c r="CW174" s="66"/>
      <c r="CX174" s="66"/>
      <c r="CY174" s="66"/>
      <c r="CZ174" s="66"/>
      <c r="DA174" s="66"/>
      <c r="DB174" s="66"/>
      <c r="DC174" s="66"/>
      <c r="DD174" s="66"/>
      <c r="DE174" s="66"/>
    </row>
    <row r="175" spans="1:111" s="13" customFormat="1" ht="113.25" customHeight="1" x14ac:dyDescent="0.25">
      <c r="A175" s="14">
        <v>46073</v>
      </c>
      <c r="B175" s="82" t="s">
        <v>1480</v>
      </c>
      <c r="C175" s="1348" t="s">
        <v>1481</v>
      </c>
      <c r="D175" s="1345" t="s">
        <v>1482</v>
      </c>
      <c r="E175" s="42" t="s">
        <v>39</v>
      </c>
      <c r="F175" s="1349">
        <v>1</v>
      </c>
      <c r="G175" s="43"/>
      <c r="H175" s="141"/>
      <c r="I175" s="163" t="s">
        <v>1483</v>
      </c>
      <c r="J175" s="142">
        <v>100</v>
      </c>
      <c r="K175" s="46" t="s">
        <v>1484</v>
      </c>
      <c r="L175" s="50" t="s">
        <v>63</v>
      </c>
      <c r="M175" s="42" t="s">
        <v>55</v>
      </c>
      <c r="N175" s="48" t="s">
        <v>1485</v>
      </c>
      <c r="O175" s="49" t="s">
        <v>1486</v>
      </c>
      <c r="P175" s="49" t="s">
        <v>1487</v>
      </c>
      <c r="Q175" s="49" t="s">
        <v>1488</v>
      </c>
      <c r="R175" s="50">
        <v>116</v>
      </c>
      <c r="S175" s="50">
        <v>408</v>
      </c>
      <c r="T175" s="51" t="s">
        <v>180</v>
      </c>
      <c r="U175" s="51">
        <v>1</v>
      </c>
      <c r="V175" s="31">
        <f t="shared" si="6"/>
        <v>100</v>
      </c>
      <c r="W175" s="51" t="s">
        <v>510</v>
      </c>
      <c r="X175" s="93" t="s">
        <v>538</v>
      </c>
      <c r="Y175" s="31" t="s">
        <v>324</v>
      </c>
      <c r="Z175" s="53" t="s">
        <v>51</v>
      </c>
      <c r="AA175" s="33" t="s">
        <v>83</v>
      </c>
      <c r="AB175" s="65" t="s">
        <v>1489</v>
      </c>
      <c r="AC175" s="35">
        <v>9320</v>
      </c>
      <c r="AD175" s="36"/>
      <c r="AE175" s="107" t="s">
        <v>1453</v>
      </c>
      <c r="AF175" s="38"/>
      <c r="AG175" s="38" t="s">
        <v>56</v>
      </c>
      <c r="AH175" s="38" t="s">
        <v>56</v>
      </c>
      <c r="AI175" s="38"/>
      <c r="AJ175" s="38"/>
      <c r="AK175" s="38"/>
      <c r="AL175" s="38"/>
      <c r="AM175" s="36">
        <v>1</v>
      </c>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c r="BL175" s="36"/>
      <c r="BM175" s="36"/>
      <c r="BN175" s="36"/>
      <c r="BO175" s="36"/>
      <c r="BP175" s="36"/>
      <c r="BQ175" s="36"/>
      <c r="BR175" s="36"/>
      <c r="BS175" s="36"/>
      <c r="BT175" s="36"/>
      <c r="BU175" s="36"/>
      <c r="BV175" s="36"/>
      <c r="BW175" s="36"/>
      <c r="BX175" s="36"/>
      <c r="BY175" s="36"/>
      <c r="BZ175" s="36"/>
      <c r="CA175" s="36"/>
      <c r="CB175" s="36"/>
      <c r="CC175" s="36"/>
      <c r="CD175" s="36"/>
      <c r="CE175" s="36"/>
      <c r="CF175" s="36"/>
      <c r="CG175" s="36"/>
      <c r="CH175" s="36"/>
      <c r="CI175" s="36"/>
      <c r="CJ175" s="36"/>
      <c r="CK175" s="36"/>
      <c r="CL175" s="36"/>
      <c r="CM175" s="36"/>
      <c r="CN175" s="36"/>
      <c r="CO175" s="36"/>
      <c r="CP175" s="36"/>
      <c r="CQ175" s="36"/>
      <c r="CR175" s="36"/>
      <c r="CS175" s="36"/>
      <c r="CT175" s="36"/>
      <c r="CU175" s="36"/>
      <c r="CV175" s="36"/>
      <c r="CW175" s="36"/>
      <c r="CX175" s="36"/>
      <c r="CY175" s="36"/>
      <c r="CZ175" s="36"/>
      <c r="DA175" s="36"/>
      <c r="DB175" s="36"/>
      <c r="DC175" s="36"/>
      <c r="DD175" s="36"/>
      <c r="DE175" s="36"/>
    </row>
    <row r="176" spans="1:111" s="13" customFormat="1" ht="113.25" customHeight="1" x14ac:dyDescent="0.25">
      <c r="A176" s="14">
        <v>46073</v>
      </c>
      <c r="B176" s="41" t="s">
        <v>1490</v>
      </c>
      <c r="C176" s="41" t="s">
        <v>1491</v>
      </c>
      <c r="D176" s="41"/>
      <c r="E176" s="42" t="s">
        <v>39</v>
      </c>
      <c r="F176" s="1349">
        <v>1</v>
      </c>
      <c r="G176" s="43"/>
      <c r="H176" s="43"/>
      <c r="I176" s="72" t="s">
        <v>1492</v>
      </c>
      <c r="J176" s="45">
        <v>240</v>
      </c>
      <c r="K176" s="46" t="s">
        <v>1484</v>
      </c>
      <c r="L176" s="47" t="s">
        <v>63</v>
      </c>
      <c r="M176" s="42" t="s">
        <v>55</v>
      </c>
      <c r="N176" s="77" t="s">
        <v>1493</v>
      </c>
      <c r="O176" s="49" t="s">
        <v>1494</v>
      </c>
      <c r="P176" s="49" t="s">
        <v>1495</v>
      </c>
      <c r="Q176" s="49" t="s">
        <v>1496</v>
      </c>
      <c r="R176" s="50">
        <v>38</v>
      </c>
      <c r="S176" s="50">
        <v>104</v>
      </c>
      <c r="T176" s="51" t="s">
        <v>180</v>
      </c>
      <c r="U176" s="51">
        <v>4</v>
      </c>
      <c r="V176" s="75">
        <f t="shared" si="6"/>
        <v>960</v>
      </c>
      <c r="W176" s="51" t="s">
        <v>48</v>
      </c>
      <c r="X176" s="30" t="s">
        <v>1445</v>
      </c>
      <c r="Y176" s="64" t="s">
        <v>144</v>
      </c>
      <c r="Z176" s="32"/>
      <c r="AA176" s="33" t="s">
        <v>1103</v>
      </c>
      <c r="AB176" s="65" t="s">
        <v>1497</v>
      </c>
      <c r="AC176" s="35">
        <v>8599.6</v>
      </c>
      <c r="AD176" s="66"/>
      <c r="AE176" s="107" t="s">
        <v>1453</v>
      </c>
      <c r="AF176" s="38"/>
      <c r="AG176" s="38" t="s">
        <v>56</v>
      </c>
      <c r="AH176" s="38" t="s">
        <v>56</v>
      </c>
      <c r="AI176" s="38"/>
      <c r="AJ176" s="38"/>
      <c r="AK176" s="38"/>
      <c r="AL176" s="68"/>
      <c r="AM176" s="66">
        <v>2</v>
      </c>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c r="BV176" s="66"/>
      <c r="BW176" s="66"/>
      <c r="BX176" s="66"/>
      <c r="BY176" s="66"/>
      <c r="BZ176" s="66"/>
      <c r="CA176" s="66"/>
      <c r="CB176" s="66"/>
      <c r="CC176" s="66"/>
      <c r="CD176" s="66"/>
      <c r="CE176" s="66"/>
      <c r="CF176" s="66"/>
      <c r="CG176" s="66"/>
      <c r="CH176" s="66"/>
      <c r="CI176" s="66"/>
      <c r="CJ176" s="66"/>
      <c r="CK176" s="66"/>
      <c r="CL176" s="66"/>
      <c r="CM176" s="66"/>
      <c r="CN176" s="66"/>
      <c r="CO176" s="66"/>
      <c r="CP176" s="66"/>
      <c r="CQ176" s="66"/>
      <c r="CR176" s="66"/>
      <c r="CS176" s="66"/>
      <c r="CT176" s="66"/>
      <c r="CU176" s="66"/>
      <c r="CV176" s="66"/>
      <c r="CW176" s="66"/>
      <c r="CX176" s="66"/>
      <c r="CY176" s="66"/>
      <c r="CZ176" s="66"/>
      <c r="DA176" s="66"/>
      <c r="DB176" s="66"/>
      <c r="DC176" s="66"/>
      <c r="DD176" s="66"/>
      <c r="DE176" s="66"/>
    </row>
    <row r="177" spans="1:109" s="13" customFormat="1" ht="113.25" customHeight="1" x14ac:dyDescent="0.25">
      <c r="A177" s="14">
        <v>46072</v>
      </c>
      <c r="B177" s="1391" t="s">
        <v>1498</v>
      </c>
      <c r="C177" s="55" t="s">
        <v>1499</v>
      </c>
      <c r="D177" s="54"/>
      <c r="E177" s="56" t="s">
        <v>39</v>
      </c>
      <c r="F177" s="57"/>
      <c r="G177" s="57"/>
      <c r="H177" s="57"/>
      <c r="I177" s="72" t="s">
        <v>1500</v>
      </c>
      <c r="J177" s="59">
        <v>30</v>
      </c>
      <c r="K177" s="70" t="s">
        <v>1501</v>
      </c>
      <c r="L177" s="1392" t="s">
        <v>63</v>
      </c>
      <c r="M177" s="319"/>
      <c r="N177" s="24" t="s">
        <v>1502</v>
      </c>
      <c r="O177" s="62" t="s">
        <v>1503</v>
      </c>
      <c r="P177" s="62" t="s">
        <v>1504</v>
      </c>
      <c r="Q177" s="62" t="s">
        <v>1504</v>
      </c>
      <c r="R177" s="61">
        <v>2</v>
      </c>
      <c r="S177" s="61">
        <v>3</v>
      </c>
      <c r="T177" s="56" t="s">
        <v>393</v>
      </c>
      <c r="U177" s="56">
        <v>78</v>
      </c>
      <c r="V177" s="75">
        <f t="shared" si="6"/>
        <v>2340</v>
      </c>
      <c r="W177" s="56" t="s">
        <v>48</v>
      </c>
      <c r="X177" s="30" t="s">
        <v>960</v>
      </c>
      <c r="Y177" s="64" t="s">
        <v>50</v>
      </c>
      <c r="Z177" s="1393"/>
      <c r="AA177" s="33" t="s">
        <v>1047</v>
      </c>
      <c r="AB177" s="65" t="s">
        <v>1421</v>
      </c>
      <c r="AC177" s="35">
        <v>16626</v>
      </c>
      <c r="AD177" s="66"/>
      <c r="AE177" s="37" t="s">
        <v>1191</v>
      </c>
      <c r="AF177" s="38"/>
      <c r="AG177" s="1380" t="s">
        <v>56</v>
      </c>
      <c r="AH177" s="1380" t="s">
        <v>56</v>
      </c>
      <c r="AI177" s="38"/>
      <c r="AJ177" s="38" t="s">
        <v>56</v>
      </c>
      <c r="AK177" s="38" t="s">
        <v>1505</v>
      </c>
      <c r="AL177" s="68"/>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66"/>
      <c r="BL177" s="66"/>
      <c r="BM177" s="66"/>
      <c r="BN177" s="66"/>
      <c r="BO177" s="66"/>
      <c r="BP177" s="66"/>
      <c r="BQ177" s="66"/>
      <c r="BR177" s="66"/>
      <c r="BS177" s="66"/>
      <c r="BT177" s="66"/>
      <c r="BU177" s="66"/>
      <c r="BV177" s="66"/>
      <c r="BW177" s="66"/>
      <c r="BX177" s="66"/>
      <c r="BY177" s="66"/>
      <c r="BZ177" s="66"/>
      <c r="CA177" s="66"/>
      <c r="CB177" s="66"/>
      <c r="CC177" s="66"/>
      <c r="CD177" s="66"/>
      <c r="CE177" s="66"/>
      <c r="CF177" s="66"/>
      <c r="CG177" s="66"/>
      <c r="CH177" s="66"/>
      <c r="CI177" s="66"/>
      <c r="CJ177" s="66"/>
      <c r="CK177" s="66"/>
      <c r="CL177" s="66"/>
      <c r="CM177" s="66"/>
      <c r="CN177" s="66"/>
      <c r="CO177" s="66"/>
      <c r="CP177" s="66"/>
      <c r="CQ177" s="66"/>
      <c r="CR177" s="66"/>
      <c r="CS177" s="66"/>
      <c r="CT177" s="66"/>
      <c r="CU177" s="66"/>
      <c r="CV177" s="66"/>
      <c r="CW177" s="66"/>
      <c r="CX177" s="66"/>
      <c r="CY177" s="66"/>
      <c r="CZ177" s="66"/>
      <c r="DA177" s="66"/>
      <c r="DB177" s="66"/>
      <c r="DC177" s="66"/>
      <c r="DD177" s="66"/>
      <c r="DE177" s="66"/>
    </row>
    <row r="178" spans="1:109" s="13" customFormat="1" ht="113.25" customHeight="1" x14ac:dyDescent="0.25">
      <c r="A178" s="14">
        <v>46072</v>
      </c>
      <c r="B178" s="82" t="s">
        <v>1506</v>
      </c>
      <c r="C178" s="82" t="s">
        <v>1507</v>
      </c>
      <c r="D178" s="41" t="s">
        <v>1508</v>
      </c>
      <c r="E178" s="42" t="s">
        <v>39</v>
      </c>
      <c r="F178" s="19">
        <v>1</v>
      </c>
      <c r="G178" s="43"/>
      <c r="H178" s="43"/>
      <c r="I178" s="58" t="s">
        <v>1509</v>
      </c>
      <c r="J178" s="45">
        <v>400</v>
      </c>
      <c r="K178" s="1346" t="s">
        <v>1510</v>
      </c>
      <c r="L178" s="50" t="s">
        <v>63</v>
      </c>
      <c r="M178" s="73" t="s">
        <v>42</v>
      </c>
      <c r="N178" s="48" t="s">
        <v>1511</v>
      </c>
      <c r="O178" s="49" t="s">
        <v>1512</v>
      </c>
      <c r="P178" s="49" t="s">
        <v>1513</v>
      </c>
      <c r="Q178" s="49" t="s">
        <v>1268</v>
      </c>
      <c r="R178" s="50">
        <v>44</v>
      </c>
      <c r="S178" s="50">
        <v>71</v>
      </c>
      <c r="T178" s="51" t="s">
        <v>549</v>
      </c>
      <c r="U178" s="51">
        <v>10</v>
      </c>
      <c r="V178" s="75">
        <f t="shared" si="6"/>
        <v>4000</v>
      </c>
      <c r="W178" s="51" t="s">
        <v>142</v>
      </c>
      <c r="X178" s="30" t="s">
        <v>1514</v>
      </c>
      <c r="Y178" s="64" t="s">
        <v>144</v>
      </c>
      <c r="Z178" s="32" t="s">
        <v>51</v>
      </c>
      <c r="AA178" s="33" t="s">
        <v>100</v>
      </c>
      <c r="AB178" s="65" t="s">
        <v>1515</v>
      </c>
      <c r="AC178" s="35">
        <v>12102</v>
      </c>
      <c r="AD178" s="66"/>
      <c r="AE178" s="107" t="s">
        <v>1453</v>
      </c>
      <c r="AF178" s="38"/>
      <c r="AG178" s="38" t="s">
        <v>56</v>
      </c>
      <c r="AH178" s="38" t="s">
        <v>56</v>
      </c>
      <c r="AI178" s="38"/>
      <c r="AJ178" s="38"/>
      <c r="AK178" s="38"/>
      <c r="AL178" s="68"/>
      <c r="AM178" s="66">
        <v>1</v>
      </c>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c r="BV178" s="66"/>
      <c r="BW178" s="66"/>
      <c r="BX178" s="66"/>
      <c r="BY178" s="66"/>
      <c r="BZ178" s="66"/>
      <c r="CA178" s="66"/>
      <c r="CB178" s="66"/>
      <c r="CC178" s="66"/>
      <c r="CD178" s="66"/>
      <c r="CE178" s="66"/>
      <c r="CF178" s="66"/>
      <c r="CG178" s="66"/>
      <c r="CH178" s="66"/>
      <c r="CI178" s="66"/>
      <c r="CJ178" s="66"/>
      <c r="CK178" s="66"/>
      <c r="CL178" s="66"/>
      <c r="CM178" s="66"/>
      <c r="CN178" s="66"/>
      <c r="CO178" s="66"/>
      <c r="CP178" s="66"/>
      <c r="CQ178" s="66"/>
      <c r="CR178" s="66"/>
      <c r="CS178" s="66"/>
      <c r="CT178" s="66"/>
      <c r="CU178" s="66"/>
      <c r="CV178" s="66"/>
      <c r="CW178" s="66"/>
      <c r="CX178" s="66"/>
      <c r="CY178" s="66"/>
      <c r="CZ178" s="66"/>
      <c r="DA178" s="66"/>
      <c r="DB178" s="66"/>
      <c r="DC178" s="66"/>
      <c r="DD178" s="66"/>
      <c r="DE178" s="66"/>
    </row>
    <row r="179" spans="1:109" s="13" customFormat="1" ht="113.25" customHeight="1" x14ac:dyDescent="0.25">
      <c r="A179" s="14">
        <v>46071</v>
      </c>
      <c r="B179" s="41" t="s">
        <v>1516</v>
      </c>
      <c r="C179" s="41" t="s">
        <v>1517</v>
      </c>
      <c r="D179" s="1345" t="s">
        <v>1518</v>
      </c>
      <c r="E179" s="42" t="s">
        <v>39</v>
      </c>
      <c r="F179" s="43"/>
      <c r="G179" s="43"/>
      <c r="H179" s="19">
        <v>1</v>
      </c>
      <c r="I179" s="72" t="s">
        <v>9876</v>
      </c>
      <c r="J179" s="45">
        <v>115</v>
      </c>
      <c r="K179" s="1346" t="s">
        <v>1519</v>
      </c>
      <c r="L179" s="50" t="s">
        <v>63</v>
      </c>
      <c r="M179" s="73" t="s">
        <v>42</v>
      </c>
      <c r="N179" s="77" t="s">
        <v>1520</v>
      </c>
      <c r="O179" s="49" t="s">
        <v>1521</v>
      </c>
      <c r="P179" s="49" t="s">
        <v>1522</v>
      </c>
      <c r="Q179" s="49" t="s">
        <v>1523</v>
      </c>
      <c r="R179" s="50">
        <v>35</v>
      </c>
      <c r="S179" s="50">
        <v>528</v>
      </c>
      <c r="T179" s="51" t="s">
        <v>47</v>
      </c>
      <c r="U179" s="51">
        <v>3</v>
      </c>
      <c r="V179" s="52">
        <f t="shared" si="6"/>
        <v>345</v>
      </c>
      <c r="W179" s="51" t="s">
        <v>221</v>
      </c>
      <c r="X179" s="93" t="s">
        <v>1524</v>
      </c>
      <c r="Y179" s="64" t="s">
        <v>144</v>
      </c>
      <c r="Z179" s="32" t="s">
        <v>645</v>
      </c>
      <c r="AA179" s="33" t="s">
        <v>1525</v>
      </c>
      <c r="AB179" s="65" t="s">
        <v>1526</v>
      </c>
      <c r="AC179" s="35">
        <v>17054.5</v>
      </c>
      <c r="AD179" s="66"/>
      <c r="AE179" s="67" t="s">
        <v>85</v>
      </c>
      <c r="AF179" s="38"/>
      <c r="AG179" s="38" t="s">
        <v>56</v>
      </c>
      <c r="AH179" s="38" t="s">
        <v>86</v>
      </c>
      <c r="AI179" s="38"/>
      <c r="AJ179" s="38" t="s">
        <v>56</v>
      </c>
      <c r="AK179" s="38" t="s">
        <v>1527</v>
      </c>
      <c r="AL179" s="68"/>
      <c r="AM179" s="66">
        <v>1</v>
      </c>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c r="BV179" s="66"/>
      <c r="BW179" s="66"/>
      <c r="BX179" s="66"/>
      <c r="BY179" s="66"/>
      <c r="BZ179" s="66"/>
      <c r="CA179" s="66"/>
      <c r="CB179" s="66"/>
      <c r="CC179" s="66"/>
      <c r="CD179" s="66"/>
      <c r="CE179" s="66"/>
      <c r="CF179" s="66"/>
      <c r="CG179" s="66"/>
      <c r="CH179" s="66"/>
      <c r="CI179" s="66"/>
      <c r="CJ179" s="66"/>
      <c r="CK179" s="66"/>
      <c r="CL179" s="66"/>
      <c r="CM179" s="66"/>
      <c r="CN179" s="66"/>
      <c r="CO179" s="66"/>
      <c r="CP179" s="66"/>
      <c r="CQ179" s="66"/>
      <c r="CR179" s="66"/>
      <c r="CS179" s="66"/>
      <c r="CT179" s="66"/>
      <c r="CU179" s="66"/>
      <c r="CV179" s="66"/>
      <c r="CW179" s="66"/>
      <c r="CX179" s="66"/>
      <c r="CY179" s="66"/>
      <c r="CZ179" s="66"/>
      <c r="DA179" s="66"/>
      <c r="DB179" s="66"/>
      <c r="DC179" s="66"/>
      <c r="DD179" s="66"/>
      <c r="DE179" s="66"/>
    </row>
    <row r="180" spans="1:109" s="13" customFormat="1" ht="113.25" customHeight="1" x14ac:dyDescent="0.25">
      <c r="A180" s="14">
        <v>46071</v>
      </c>
      <c r="B180" s="1348" t="s">
        <v>1528</v>
      </c>
      <c r="C180" s="82" t="s">
        <v>1529</v>
      </c>
      <c r="D180" s="41" t="s">
        <v>1530</v>
      </c>
      <c r="E180" s="1368" t="s">
        <v>39</v>
      </c>
      <c r="F180" s="43"/>
      <c r="G180" s="43"/>
      <c r="H180" s="19">
        <v>1</v>
      </c>
      <c r="I180" s="44" t="s">
        <v>1531</v>
      </c>
      <c r="J180" s="45">
        <v>66</v>
      </c>
      <c r="K180" s="1346" t="s">
        <v>1532</v>
      </c>
      <c r="L180" s="47" t="s">
        <v>63</v>
      </c>
      <c r="M180" s="73" t="s">
        <v>42</v>
      </c>
      <c r="N180" s="48" t="s">
        <v>1533</v>
      </c>
      <c r="O180" s="49" t="s">
        <v>1534</v>
      </c>
      <c r="P180" s="49" t="s">
        <v>1535</v>
      </c>
      <c r="Q180" s="49" t="s">
        <v>1536</v>
      </c>
      <c r="R180" s="92">
        <v>156</v>
      </c>
      <c r="S180" s="92">
        <v>856</v>
      </c>
      <c r="T180" s="51" t="s">
        <v>141</v>
      </c>
      <c r="U180" s="51">
        <v>1</v>
      </c>
      <c r="V180" s="52">
        <f t="shared" si="6"/>
        <v>66</v>
      </c>
      <c r="W180" s="51" t="s">
        <v>48</v>
      </c>
      <c r="X180" s="30" t="s">
        <v>482</v>
      </c>
      <c r="Y180" s="31" t="s">
        <v>50</v>
      </c>
      <c r="Z180" s="32" t="s">
        <v>645</v>
      </c>
      <c r="AA180" s="33" t="s">
        <v>484</v>
      </c>
      <c r="AB180" s="65" t="s">
        <v>1537</v>
      </c>
      <c r="AC180" s="35">
        <f>J180/132 * 37175.16</f>
        <v>18587.580000000002</v>
      </c>
      <c r="AD180" s="36"/>
      <c r="AE180" s="67" t="s">
        <v>85</v>
      </c>
      <c r="AF180" s="38"/>
      <c r="AG180" s="38" t="s">
        <v>56</v>
      </c>
      <c r="AH180" s="38" t="s">
        <v>56</v>
      </c>
      <c r="AI180" s="38"/>
      <c r="AJ180" s="107" t="s">
        <v>1538</v>
      </c>
      <c r="AK180" s="38" t="s">
        <v>1539</v>
      </c>
      <c r="AL180" s="39" t="s">
        <v>1540</v>
      </c>
      <c r="AM180" s="36">
        <v>1</v>
      </c>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row>
    <row r="181" spans="1:109" s="13" customFormat="1" ht="113.25" customHeight="1" x14ac:dyDescent="0.25">
      <c r="A181" s="14">
        <v>46071</v>
      </c>
      <c r="B181" s="451" t="s">
        <v>1541</v>
      </c>
      <c r="C181" s="1381" t="s">
        <v>1542</v>
      </c>
      <c r="D181" s="1382" t="s">
        <v>1543</v>
      </c>
      <c r="E181" s="1383" t="s">
        <v>39</v>
      </c>
      <c r="F181" s="19">
        <v>1</v>
      </c>
      <c r="G181" s="1384"/>
      <c r="H181" s="280"/>
      <c r="I181" s="86" t="s">
        <v>1544</v>
      </c>
      <c r="J181" s="1385">
        <v>5</v>
      </c>
      <c r="K181" s="165" t="s">
        <v>1545</v>
      </c>
      <c r="L181" s="1386" t="s">
        <v>63</v>
      </c>
      <c r="M181" s="1386" t="s">
        <v>55</v>
      </c>
      <c r="N181" s="101" t="s">
        <v>1546</v>
      </c>
      <c r="O181" s="1387"/>
      <c r="P181" s="1387"/>
      <c r="Q181" s="1387" t="s">
        <v>1547</v>
      </c>
      <c r="R181" s="1388">
        <v>4</v>
      </c>
      <c r="S181" s="1388">
        <v>5</v>
      </c>
      <c r="T181" s="1383" t="s">
        <v>47</v>
      </c>
      <c r="U181" s="1383">
        <v>86</v>
      </c>
      <c r="V181" s="1389">
        <f t="shared" si="6"/>
        <v>430</v>
      </c>
      <c r="W181" s="1383" t="s">
        <v>48</v>
      </c>
      <c r="X181" s="1390" t="s">
        <v>232</v>
      </c>
      <c r="Y181" s="64" t="s">
        <v>50</v>
      </c>
      <c r="Z181" s="32" t="s">
        <v>645</v>
      </c>
      <c r="AA181" s="33" t="s">
        <v>1548</v>
      </c>
      <c r="AB181" s="34" t="s">
        <v>1549</v>
      </c>
      <c r="AC181" s="35">
        <v>8645</v>
      </c>
      <c r="AD181" s="66"/>
      <c r="AE181" s="67" t="s">
        <v>85</v>
      </c>
      <c r="AF181" s="38"/>
      <c r="AG181" s="38" t="s">
        <v>56</v>
      </c>
      <c r="AH181" s="38" t="s">
        <v>56</v>
      </c>
      <c r="AI181" s="38"/>
      <c r="AJ181" s="38"/>
      <c r="AK181" s="38"/>
      <c r="AL181" s="68"/>
      <c r="AM181" s="40">
        <v>1</v>
      </c>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c r="BO181" s="66"/>
      <c r="BP181" s="66"/>
      <c r="BQ181" s="66"/>
      <c r="BR181" s="66"/>
      <c r="BS181" s="66"/>
      <c r="BT181" s="66"/>
      <c r="BU181" s="66"/>
      <c r="BV181" s="66"/>
      <c r="BW181" s="66"/>
      <c r="BX181" s="66"/>
      <c r="BY181" s="66"/>
      <c r="BZ181" s="66"/>
      <c r="CA181" s="66"/>
      <c r="CB181" s="66"/>
      <c r="CC181" s="66"/>
      <c r="CD181" s="66"/>
      <c r="CE181" s="66"/>
      <c r="CF181" s="66"/>
      <c r="CG181" s="66"/>
      <c r="CH181" s="66"/>
      <c r="CI181" s="66"/>
      <c r="CJ181" s="66"/>
      <c r="CK181" s="66"/>
      <c r="CL181" s="66"/>
      <c r="CM181" s="66"/>
      <c r="CN181" s="66"/>
      <c r="CO181" s="66"/>
      <c r="CP181" s="66"/>
      <c r="CQ181" s="66"/>
      <c r="CR181" s="66"/>
      <c r="CS181" s="66"/>
      <c r="CT181" s="66"/>
      <c r="CU181" s="66"/>
      <c r="CV181" s="66"/>
      <c r="CW181" s="66"/>
      <c r="CX181" s="66"/>
      <c r="CY181" s="66"/>
      <c r="CZ181" s="66"/>
      <c r="DA181" s="66"/>
      <c r="DB181" s="66"/>
      <c r="DC181" s="66"/>
      <c r="DD181" s="66"/>
      <c r="DE181" s="66"/>
    </row>
    <row r="182" spans="1:109" s="13" customFormat="1" ht="113.25" customHeight="1" x14ac:dyDescent="0.25">
      <c r="A182" s="14">
        <v>46070</v>
      </c>
      <c r="B182" s="1348" t="s">
        <v>1550</v>
      </c>
      <c r="C182" s="1345" t="s">
        <v>1551</v>
      </c>
      <c r="D182" s="41" t="s">
        <v>1552</v>
      </c>
      <c r="E182" s="42" t="s">
        <v>39</v>
      </c>
      <c r="F182" s="1349">
        <v>1</v>
      </c>
      <c r="G182" s="43"/>
      <c r="H182" s="43"/>
      <c r="I182" s="72" t="s">
        <v>1553</v>
      </c>
      <c r="J182" s="45">
        <v>25</v>
      </c>
      <c r="K182" s="46" t="s">
        <v>1554</v>
      </c>
      <c r="L182" s="47" t="s">
        <v>63</v>
      </c>
      <c r="M182" s="73" t="s">
        <v>42</v>
      </c>
      <c r="N182" s="48" t="s">
        <v>1555</v>
      </c>
      <c r="O182" s="49" t="s">
        <v>1556</v>
      </c>
      <c r="P182" s="49" t="s">
        <v>1557</v>
      </c>
      <c r="Q182" s="49" t="s">
        <v>1494</v>
      </c>
      <c r="R182" s="92">
        <v>123</v>
      </c>
      <c r="S182" s="50">
        <v>626</v>
      </c>
      <c r="T182" s="51" t="s">
        <v>141</v>
      </c>
      <c r="U182" s="51">
        <v>23</v>
      </c>
      <c r="V182" s="75">
        <f t="shared" si="6"/>
        <v>575</v>
      </c>
      <c r="W182" s="51" t="s">
        <v>48</v>
      </c>
      <c r="X182" s="30" t="s">
        <v>49</v>
      </c>
      <c r="Y182" s="64" t="s">
        <v>50</v>
      </c>
      <c r="Z182" s="32" t="s">
        <v>51</v>
      </c>
      <c r="AA182" s="33" t="s">
        <v>774</v>
      </c>
      <c r="AB182" s="65" t="s">
        <v>897</v>
      </c>
      <c r="AC182" s="35">
        <f>11861.25+1050+(16279.65*J182/70)</f>
        <v>18725.410714285714</v>
      </c>
      <c r="AD182" s="66"/>
      <c r="AE182" s="107" t="s">
        <v>1558</v>
      </c>
      <c r="AF182" s="38"/>
      <c r="AG182" s="38" t="s">
        <v>56</v>
      </c>
      <c r="AH182" s="38" t="s">
        <v>56</v>
      </c>
      <c r="AI182" s="38"/>
      <c r="AJ182" s="38"/>
      <c r="AK182" s="38"/>
      <c r="AL182" s="68"/>
      <c r="AM182" s="66">
        <v>1</v>
      </c>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c r="BO182" s="66"/>
      <c r="BP182" s="66"/>
      <c r="BQ182" s="66"/>
      <c r="BR182" s="66"/>
      <c r="BS182" s="66"/>
      <c r="BT182" s="66"/>
      <c r="BU182" s="66"/>
      <c r="BV182" s="66"/>
      <c r="BW182" s="66"/>
      <c r="BX182" s="66"/>
      <c r="BY182" s="66"/>
      <c r="BZ182" s="66"/>
      <c r="CA182" s="66"/>
      <c r="CB182" s="66"/>
      <c r="CC182" s="66"/>
      <c r="CD182" s="66"/>
      <c r="CE182" s="66"/>
      <c r="CF182" s="66"/>
      <c r="CG182" s="66"/>
      <c r="CH182" s="66"/>
      <c r="CI182" s="66"/>
      <c r="CJ182" s="66"/>
      <c r="CK182" s="66"/>
      <c r="CL182" s="66"/>
      <c r="CM182" s="66"/>
      <c r="CN182" s="66"/>
      <c r="CO182" s="66"/>
      <c r="CP182" s="66"/>
      <c r="CQ182" s="66"/>
      <c r="CR182" s="66"/>
      <c r="CS182" s="66"/>
      <c r="CT182" s="66"/>
      <c r="CU182" s="66"/>
      <c r="CV182" s="66"/>
      <c r="CW182" s="66"/>
      <c r="CX182" s="66"/>
      <c r="CY182" s="66"/>
      <c r="CZ182" s="66"/>
      <c r="DA182" s="66"/>
      <c r="DB182" s="66"/>
      <c r="DC182" s="66"/>
      <c r="DD182" s="66"/>
      <c r="DE182" s="66"/>
    </row>
    <row r="183" spans="1:109" s="13" customFormat="1" ht="113.25" customHeight="1" x14ac:dyDescent="0.25">
      <c r="A183" s="14">
        <v>46070</v>
      </c>
      <c r="B183" s="41" t="s">
        <v>1559</v>
      </c>
      <c r="C183" s="41" t="s">
        <v>1560</v>
      </c>
      <c r="D183" s="41"/>
      <c r="E183" s="42" t="s">
        <v>39</v>
      </c>
      <c r="F183" s="19">
        <v>1</v>
      </c>
      <c r="G183" s="43"/>
      <c r="H183" s="43"/>
      <c r="I183" s="72" t="s">
        <v>1561</v>
      </c>
      <c r="J183" s="45">
        <v>200</v>
      </c>
      <c r="K183" s="46" t="s">
        <v>1562</v>
      </c>
      <c r="L183" s="47" t="s">
        <v>63</v>
      </c>
      <c r="M183" s="73" t="s">
        <v>42</v>
      </c>
      <c r="N183" s="77" t="s">
        <v>1563</v>
      </c>
      <c r="O183" s="49" t="s">
        <v>1564</v>
      </c>
      <c r="P183" s="49" t="s">
        <v>1565</v>
      </c>
      <c r="Q183" s="49" t="s">
        <v>1556</v>
      </c>
      <c r="R183" s="50">
        <v>73</v>
      </c>
      <c r="S183" s="50">
        <v>270</v>
      </c>
      <c r="T183" s="51" t="s">
        <v>47</v>
      </c>
      <c r="U183" s="51">
        <v>10</v>
      </c>
      <c r="V183" s="75">
        <f t="shared" ref="V183:V200" si="7">U183*J183</f>
        <v>2000</v>
      </c>
      <c r="W183" s="51" t="s">
        <v>142</v>
      </c>
      <c r="X183" s="30" t="s">
        <v>1566</v>
      </c>
      <c r="Y183" s="64" t="s">
        <v>50</v>
      </c>
      <c r="Z183" s="32"/>
      <c r="AA183" s="33" t="s">
        <v>1567</v>
      </c>
      <c r="AB183" s="65" t="s">
        <v>1568</v>
      </c>
      <c r="AC183" s="35">
        <v>13840</v>
      </c>
      <c r="AD183" s="66"/>
      <c r="AE183" s="67" t="s">
        <v>73</v>
      </c>
      <c r="AF183" s="38"/>
      <c r="AG183" s="38" t="s">
        <v>56</v>
      </c>
      <c r="AH183" s="38" t="s">
        <v>86</v>
      </c>
      <c r="AI183" s="38"/>
      <c r="AJ183" s="38" t="s">
        <v>56</v>
      </c>
      <c r="AK183" s="38" t="s">
        <v>1539</v>
      </c>
      <c r="AL183" s="68"/>
      <c r="AM183" s="66">
        <v>1</v>
      </c>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c r="BO183" s="66"/>
      <c r="BP183" s="66"/>
      <c r="BQ183" s="66"/>
      <c r="BR183" s="66"/>
      <c r="BS183" s="66"/>
      <c r="BT183" s="66"/>
      <c r="BU183" s="66"/>
      <c r="BV183" s="66"/>
      <c r="BW183" s="66"/>
      <c r="BX183" s="66"/>
      <c r="BY183" s="66"/>
      <c r="BZ183" s="66"/>
      <c r="CA183" s="66"/>
      <c r="CB183" s="66"/>
      <c r="CC183" s="66"/>
      <c r="CD183" s="66"/>
      <c r="CE183" s="66"/>
      <c r="CF183" s="66"/>
      <c r="CG183" s="66"/>
      <c r="CH183" s="66"/>
      <c r="CI183" s="66"/>
      <c r="CJ183" s="66"/>
      <c r="CK183" s="66"/>
      <c r="CL183" s="66"/>
      <c r="CM183" s="66"/>
      <c r="CN183" s="66"/>
      <c r="CO183" s="66"/>
      <c r="CP183" s="66"/>
      <c r="CQ183" s="66"/>
      <c r="CR183" s="66"/>
      <c r="CS183" s="66"/>
      <c r="CT183" s="66"/>
      <c r="CU183" s="66"/>
      <c r="CV183" s="66"/>
      <c r="CW183" s="66"/>
      <c r="CX183" s="66"/>
      <c r="CY183" s="66"/>
      <c r="CZ183" s="66"/>
      <c r="DA183" s="66"/>
      <c r="DB183" s="66"/>
      <c r="DC183" s="66"/>
      <c r="DD183" s="66"/>
      <c r="DE183" s="66"/>
    </row>
    <row r="184" spans="1:109" s="13" customFormat="1" ht="113.25" customHeight="1" x14ac:dyDescent="0.25">
      <c r="A184" s="14">
        <v>46066</v>
      </c>
      <c r="B184" s="41" t="s">
        <v>1569</v>
      </c>
      <c r="C184" s="1345" t="s">
        <v>1570</v>
      </c>
      <c r="D184" s="1345" t="s">
        <v>1571</v>
      </c>
      <c r="E184" s="42" t="s">
        <v>39</v>
      </c>
      <c r="F184" s="43"/>
      <c r="G184" s="43"/>
      <c r="H184" s="563" t="s">
        <v>1572</v>
      </c>
      <c r="I184" s="72" t="s">
        <v>1573</v>
      </c>
      <c r="J184" s="45">
        <v>30</v>
      </c>
      <c r="K184" s="46" t="s">
        <v>1574</v>
      </c>
      <c r="L184" s="51" t="s">
        <v>63</v>
      </c>
      <c r="M184" s="73" t="s">
        <v>42</v>
      </c>
      <c r="N184" s="48" t="s">
        <v>1575</v>
      </c>
      <c r="O184" s="49" t="s">
        <v>1576</v>
      </c>
      <c r="P184" s="49" t="s">
        <v>1577</v>
      </c>
      <c r="Q184" s="49" t="s">
        <v>1578</v>
      </c>
      <c r="R184" s="50">
        <v>115</v>
      </c>
      <c r="S184" s="50">
        <v>680</v>
      </c>
      <c r="T184" s="51" t="s">
        <v>180</v>
      </c>
      <c r="U184" s="51">
        <v>6</v>
      </c>
      <c r="V184" s="75">
        <f t="shared" si="7"/>
        <v>180</v>
      </c>
      <c r="W184" s="51" t="s">
        <v>142</v>
      </c>
      <c r="X184" s="30" t="s">
        <v>331</v>
      </c>
      <c r="Y184" s="64" t="s">
        <v>82</v>
      </c>
      <c r="Z184" s="32"/>
      <c r="AA184" s="33" t="s">
        <v>1525</v>
      </c>
      <c r="AB184" s="65" t="s">
        <v>1579</v>
      </c>
      <c r="AC184" s="35">
        <f>8808+4000</f>
        <v>12808</v>
      </c>
      <c r="AD184" s="66"/>
      <c r="AE184" s="37" t="s">
        <v>73</v>
      </c>
      <c r="AF184" s="38"/>
      <c r="AG184" s="38" t="s">
        <v>56</v>
      </c>
      <c r="AH184" s="38" t="s">
        <v>56</v>
      </c>
      <c r="AI184" s="38"/>
      <c r="AJ184" s="38"/>
      <c r="AK184" s="38"/>
      <c r="AL184" s="39" t="s">
        <v>1580</v>
      </c>
      <c r="AM184" s="66">
        <v>2</v>
      </c>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c r="BO184" s="66"/>
      <c r="BP184" s="66"/>
      <c r="BQ184" s="66"/>
      <c r="BR184" s="66"/>
      <c r="BS184" s="66"/>
      <c r="BT184" s="66"/>
      <c r="BU184" s="66"/>
      <c r="BV184" s="66"/>
      <c r="BW184" s="66"/>
      <c r="BX184" s="66"/>
      <c r="BY184" s="66"/>
      <c r="BZ184" s="66"/>
      <c r="CA184" s="66"/>
      <c r="CB184" s="66"/>
      <c r="CC184" s="66"/>
      <c r="CD184" s="66"/>
      <c r="CE184" s="66"/>
      <c r="CF184" s="66"/>
      <c r="CG184" s="66"/>
      <c r="CH184" s="66"/>
      <c r="CI184" s="66"/>
      <c r="CJ184" s="66"/>
      <c r="CK184" s="66"/>
      <c r="CL184" s="66"/>
      <c r="CM184" s="66"/>
      <c r="CN184" s="66"/>
      <c r="CO184" s="66"/>
      <c r="CP184" s="66"/>
      <c r="CQ184" s="66"/>
      <c r="CR184" s="66"/>
      <c r="CS184" s="66"/>
      <c r="CT184" s="66"/>
      <c r="CU184" s="66"/>
      <c r="CV184" s="66"/>
      <c r="CW184" s="66"/>
      <c r="CX184" s="66"/>
      <c r="CY184" s="66"/>
      <c r="CZ184" s="66"/>
      <c r="DA184" s="66"/>
      <c r="DB184" s="66"/>
      <c r="DC184" s="66"/>
      <c r="DD184" s="66"/>
      <c r="DE184" s="66"/>
    </row>
    <row r="185" spans="1:109" s="13" customFormat="1" ht="113.25" customHeight="1" x14ac:dyDescent="0.25">
      <c r="A185" s="14">
        <v>46066</v>
      </c>
      <c r="B185" s="41" t="s">
        <v>1569</v>
      </c>
      <c r="C185" s="1345" t="s">
        <v>1570</v>
      </c>
      <c r="D185" s="1345" t="s">
        <v>1571</v>
      </c>
      <c r="E185" s="42" t="s">
        <v>39</v>
      </c>
      <c r="F185" s="43"/>
      <c r="G185" s="43"/>
      <c r="H185" s="563" t="s">
        <v>1572</v>
      </c>
      <c r="I185" s="72" t="s">
        <v>1581</v>
      </c>
      <c r="J185" s="45">
        <v>70</v>
      </c>
      <c r="K185" s="46" t="s">
        <v>1582</v>
      </c>
      <c r="L185" s="51" t="s">
        <v>63</v>
      </c>
      <c r="M185" s="73" t="s">
        <v>42</v>
      </c>
      <c r="N185" s="77" t="s">
        <v>1583</v>
      </c>
      <c r="O185" s="49" t="s">
        <v>1576</v>
      </c>
      <c r="P185" s="49" t="s">
        <v>1577</v>
      </c>
      <c r="Q185" s="49" t="s">
        <v>1578</v>
      </c>
      <c r="R185" s="50">
        <v>115</v>
      </c>
      <c r="S185" s="50">
        <v>680</v>
      </c>
      <c r="T185" s="51" t="s">
        <v>180</v>
      </c>
      <c r="U185" s="51">
        <v>6</v>
      </c>
      <c r="V185" s="75">
        <f t="shared" si="7"/>
        <v>420</v>
      </c>
      <c r="W185" s="51" t="s">
        <v>142</v>
      </c>
      <c r="X185" s="30" t="s">
        <v>331</v>
      </c>
      <c r="Y185" s="64" t="s">
        <v>82</v>
      </c>
      <c r="Z185" s="32"/>
      <c r="AA185" s="33" t="s">
        <v>1525</v>
      </c>
      <c r="AB185" s="65" t="s">
        <v>1579</v>
      </c>
      <c r="AC185" s="35">
        <f>(29390*J185/100)</f>
        <v>20573</v>
      </c>
      <c r="AD185" s="66"/>
      <c r="AE185" s="1347" t="s">
        <v>1236</v>
      </c>
      <c r="AF185" s="38"/>
      <c r="AG185" s="38" t="s">
        <v>56</v>
      </c>
      <c r="AH185" s="38" t="s">
        <v>56</v>
      </c>
      <c r="AI185" s="38"/>
      <c r="AJ185" s="38"/>
      <c r="AK185" s="38"/>
      <c r="AL185" s="39" t="s">
        <v>1580</v>
      </c>
      <c r="AM185" s="66">
        <v>2</v>
      </c>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6"/>
      <c r="BZ185" s="66"/>
      <c r="CA185" s="66"/>
      <c r="CB185" s="66"/>
      <c r="CC185" s="66"/>
      <c r="CD185" s="66"/>
      <c r="CE185" s="66"/>
      <c r="CF185" s="66"/>
      <c r="CG185" s="66"/>
      <c r="CH185" s="66"/>
      <c r="CI185" s="66"/>
      <c r="CJ185" s="66"/>
      <c r="CK185" s="66"/>
      <c r="CL185" s="66"/>
      <c r="CM185" s="66"/>
      <c r="CN185" s="66"/>
      <c r="CO185" s="66"/>
      <c r="CP185" s="66"/>
      <c r="CQ185" s="66"/>
      <c r="CR185" s="66"/>
      <c r="CS185" s="66"/>
      <c r="CT185" s="66"/>
      <c r="CU185" s="66"/>
      <c r="CV185" s="66"/>
      <c r="CW185" s="66"/>
      <c r="CX185" s="66"/>
      <c r="CY185" s="66"/>
      <c r="CZ185" s="66"/>
      <c r="DA185" s="66"/>
      <c r="DB185" s="66"/>
      <c r="DC185" s="66"/>
      <c r="DD185" s="66"/>
      <c r="DE185" s="66"/>
    </row>
    <row r="186" spans="1:109" s="13" customFormat="1" ht="113.25" customHeight="1" x14ac:dyDescent="0.25">
      <c r="A186" s="14">
        <v>46066</v>
      </c>
      <c r="B186" s="55" t="s">
        <v>1584</v>
      </c>
      <c r="C186" s="54" t="s">
        <v>1585</v>
      </c>
      <c r="D186" s="54"/>
      <c r="E186" s="56" t="s">
        <v>39</v>
      </c>
      <c r="F186" s="57"/>
      <c r="G186" s="57"/>
      <c r="H186" s="563" t="s">
        <v>1586</v>
      </c>
      <c r="I186" s="72" t="s">
        <v>1587</v>
      </c>
      <c r="J186" s="59">
        <v>10</v>
      </c>
      <c r="K186" s="70" t="s">
        <v>1588</v>
      </c>
      <c r="L186" s="79" t="s">
        <v>63</v>
      </c>
      <c r="M186" s="79" t="s">
        <v>55</v>
      </c>
      <c r="N186" s="24" t="s">
        <v>1589</v>
      </c>
      <c r="O186" s="62" t="s">
        <v>1495</v>
      </c>
      <c r="P186" s="62" t="s">
        <v>1590</v>
      </c>
      <c r="Q186" s="62" t="s">
        <v>1591</v>
      </c>
      <c r="R186" s="61">
        <v>46</v>
      </c>
      <c r="S186" s="61">
        <v>137</v>
      </c>
      <c r="T186" s="56" t="s">
        <v>47</v>
      </c>
      <c r="U186" s="56">
        <v>26</v>
      </c>
      <c r="V186" s="63">
        <f t="shared" si="7"/>
        <v>260</v>
      </c>
      <c r="W186" s="56" t="s">
        <v>48</v>
      </c>
      <c r="X186" s="30" t="s">
        <v>960</v>
      </c>
      <c r="Y186" s="64" t="s">
        <v>50</v>
      </c>
      <c r="Z186" s="32"/>
      <c r="AA186" s="33" t="s">
        <v>1212</v>
      </c>
      <c r="AB186" s="65" t="s">
        <v>1592</v>
      </c>
      <c r="AC186" s="35">
        <f>10670.5+910</f>
        <v>11580.5</v>
      </c>
      <c r="AD186" s="66"/>
      <c r="AE186" s="67" t="s">
        <v>1593</v>
      </c>
      <c r="AF186" s="38"/>
      <c r="AG186" s="38" t="s">
        <v>56</v>
      </c>
      <c r="AH186" s="38" t="s">
        <v>56</v>
      </c>
      <c r="AI186" s="38"/>
      <c r="AJ186" s="38"/>
      <c r="AK186" s="38"/>
      <c r="AL186" s="68"/>
      <c r="AM186" s="66">
        <v>1</v>
      </c>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6"/>
      <c r="BZ186" s="66"/>
      <c r="CA186" s="66"/>
      <c r="CB186" s="66"/>
      <c r="CC186" s="66"/>
      <c r="CD186" s="66"/>
      <c r="CE186" s="66"/>
      <c r="CF186" s="66"/>
      <c r="CG186" s="66"/>
      <c r="CH186" s="66"/>
      <c r="CI186" s="66"/>
      <c r="CJ186" s="66"/>
      <c r="CK186" s="66"/>
      <c r="CL186" s="66"/>
      <c r="CM186" s="66"/>
      <c r="CN186" s="66"/>
      <c r="CO186" s="66"/>
      <c r="CP186" s="66"/>
      <c r="CQ186" s="66"/>
      <c r="CR186" s="66"/>
      <c r="CS186" s="66"/>
      <c r="CT186" s="66"/>
      <c r="CU186" s="66"/>
      <c r="CV186" s="66"/>
      <c r="CW186" s="66"/>
      <c r="CX186" s="66"/>
      <c r="CY186" s="66"/>
      <c r="CZ186" s="66"/>
      <c r="DA186" s="66"/>
      <c r="DB186" s="66"/>
      <c r="DC186" s="66"/>
      <c r="DD186" s="66"/>
      <c r="DE186" s="66"/>
    </row>
    <row r="187" spans="1:109" s="13" customFormat="1" ht="113.25" customHeight="1" x14ac:dyDescent="0.25">
      <c r="A187" s="14">
        <v>46065</v>
      </c>
      <c r="B187" s="41" t="s">
        <v>1594</v>
      </c>
      <c r="C187" s="41" t="s">
        <v>1595</v>
      </c>
      <c r="D187" s="41"/>
      <c r="E187" s="42" t="s">
        <v>195</v>
      </c>
      <c r="F187" s="43"/>
      <c r="G187" s="43"/>
      <c r="H187" s="43"/>
      <c r="I187" s="58" t="s">
        <v>1596</v>
      </c>
      <c r="J187" s="45">
        <v>157</v>
      </c>
      <c r="K187" s="46" t="s">
        <v>1597</v>
      </c>
      <c r="L187" s="47" t="s">
        <v>42</v>
      </c>
      <c r="M187" s="47" t="s">
        <v>42</v>
      </c>
      <c r="N187" s="77" t="s">
        <v>1598</v>
      </c>
      <c r="O187" s="49"/>
      <c r="P187" s="49"/>
      <c r="Q187" s="49"/>
      <c r="R187" s="50">
        <v>0</v>
      </c>
      <c r="S187" s="50">
        <v>0</v>
      </c>
      <c r="T187" s="51">
        <v>0</v>
      </c>
      <c r="U187" s="51">
        <v>4</v>
      </c>
      <c r="V187" s="75">
        <f t="shared" si="7"/>
        <v>628</v>
      </c>
      <c r="W187" s="51" t="s">
        <v>48</v>
      </c>
      <c r="X187" s="30" t="s">
        <v>1599</v>
      </c>
      <c r="Y187" s="64" t="s">
        <v>82</v>
      </c>
      <c r="Z187" s="32" t="s">
        <v>51</v>
      </c>
      <c r="AA187" s="33" t="s">
        <v>774</v>
      </c>
      <c r="AB187" s="65" t="s">
        <v>1600</v>
      </c>
      <c r="AC187" s="35">
        <v>7850</v>
      </c>
      <c r="AD187" s="66"/>
      <c r="AE187" s="67" t="s">
        <v>1601</v>
      </c>
      <c r="AF187" s="38"/>
      <c r="AG187" s="38" t="s">
        <v>56</v>
      </c>
      <c r="AH187" s="38" t="s">
        <v>56</v>
      </c>
      <c r="AI187" s="38"/>
      <c r="AJ187" s="38"/>
      <c r="AK187" s="38"/>
      <c r="AL187" s="68"/>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66"/>
      <c r="BL187" s="66"/>
      <c r="BM187" s="66"/>
      <c r="BN187" s="66"/>
      <c r="BO187" s="66"/>
      <c r="BP187" s="66"/>
      <c r="BQ187" s="66"/>
      <c r="BR187" s="66"/>
      <c r="BS187" s="66"/>
      <c r="BT187" s="66"/>
      <c r="BU187" s="66"/>
      <c r="BV187" s="66"/>
      <c r="BW187" s="66"/>
      <c r="BX187" s="66"/>
      <c r="BY187" s="66"/>
      <c r="BZ187" s="66"/>
      <c r="CA187" s="66"/>
      <c r="CB187" s="66"/>
      <c r="CC187" s="66"/>
      <c r="CD187" s="66"/>
      <c r="CE187" s="66"/>
      <c r="CF187" s="66"/>
      <c r="CG187" s="66"/>
      <c r="CH187" s="66"/>
      <c r="CI187" s="66"/>
      <c r="CJ187" s="66"/>
      <c r="CK187" s="66"/>
      <c r="CL187" s="66"/>
      <c r="CM187" s="66"/>
      <c r="CN187" s="66"/>
      <c r="CO187" s="66"/>
      <c r="CP187" s="66"/>
      <c r="CQ187" s="66"/>
      <c r="CR187" s="66"/>
      <c r="CS187" s="66"/>
      <c r="CT187" s="66"/>
      <c r="CU187" s="66"/>
      <c r="CV187" s="66"/>
      <c r="CW187" s="66"/>
      <c r="CX187" s="66"/>
      <c r="CY187" s="66"/>
      <c r="CZ187" s="66"/>
      <c r="DA187" s="66"/>
      <c r="DB187" s="66"/>
      <c r="DC187" s="66"/>
      <c r="DD187" s="66"/>
      <c r="DE187" s="66"/>
    </row>
    <row r="188" spans="1:109" s="13" customFormat="1" ht="113.25" customHeight="1" x14ac:dyDescent="0.25">
      <c r="A188" s="14">
        <v>46065</v>
      </c>
      <c r="B188" s="82" t="s">
        <v>1602</v>
      </c>
      <c r="C188" s="82" t="s">
        <v>1603</v>
      </c>
      <c r="D188" s="1345" t="s">
        <v>1604</v>
      </c>
      <c r="E188" s="42" t="s">
        <v>39</v>
      </c>
      <c r="F188" s="19">
        <v>1</v>
      </c>
      <c r="G188" s="143"/>
      <c r="H188" s="43"/>
      <c r="I188" s="148" t="s">
        <v>1605</v>
      </c>
      <c r="J188" s="45">
        <v>57</v>
      </c>
      <c r="K188" s="1346" t="s">
        <v>1606</v>
      </c>
      <c r="L188" s="47" t="s">
        <v>63</v>
      </c>
      <c r="M188" s="73" t="s">
        <v>42</v>
      </c>
      <c r="N188" s="1344" t="s">
        <v>1607</v>
      </c>
      <c r="O188" s="49"/>
      <c r="P188" s="49" t="s">
        <v>1608</v>
      </c>
      <c r="Q188" s="49" t="s">
        <v>1609</v>
      </c>
      <c r="R188" s="50">
        <v>10</v>
      </c>
      <c r="S188" s="50">
        <v>23</v>
      </c>
      <c r="T188" s="51" t="s">
        <v>96</v>
      </c>
      <c r="U188" s="51">
        <v>2</v>
      </c>
      <c r="V188" s="52">
        <f t="shared" si="7"/>
        <v>114</v>
      </c>
      <c r="W188" s="51" t="s">
        <v>142</v>
      </c>
      <c r="X188" s="30" t="s">
        <v>340</v>
      </c>
      <c r="Y188" s="64" t="s">
        <v>82</v>
      </c>
      <c r="Z188" s="32" t="s">
        <v>1610</v>
      </c>
      <c r="AA188" s="33" t="s">
        <v>1611</v>
      </c>
      <c r="AB188" s="65" t="s">
        <v>1612</v>
      </c>
      <c r="AC188" s="35">
        <v>2331.87</v>
      </c>
      <c r="AD188" s="66"/>
      <c r="AE188" s="67" t="s">
        <v>85</v>
      </c>
      <c r="AF188" s="38"/>
      <c r="AG188" s="38" t="s">
        <v>56</v>
      </c>
      <c r="AH188" s="38" t="s">
        <v>56</v>
      </c>
      <c r="AI188" s="38"/>
      <c r="AJ188" s="38" t="s">
        <v>56</v>
      </c>
      <c r="AK188" s="38" t="s">
        <v>1613</v>
      </c>
      <c r="AL188" s="78" t="s">
        <v>1614</v>
      </c>
      <c r="AM188" s="66">
        <v>1</v>
      </c>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c r="BO188" s="66"/>
      <c r="BP188" s="66"/>
      <c r="BQ188" s="66"/>
      <c r="BR188" s="66"/>
      <c r="BS188" s="66"/>
      <c r="BT188" s="66"/>
      <c r="BU188" s="66"/>
      <c r="BV188" s="66"/>
      <c r="BW188" s="66"/>
      <c r="BX188" s="66"/>
      <c r="BY188" s="66"/>
      <c r="BZ188" s="66"/>
      <c r="CA188" s="66"/>
      <c r="CB188" s="66"/>
      <c r="CC188" s="66"/>
      <c r="CD188" s="66"/>
      <c r="CE188" s="66"/>
      <c r="CF188" s="66"/>
      <c r="CG188" s="66"/>
      <c r="CH188" s="66"/>
      <c r="CI188" s="66"/>
      <c r="CJ188" s="66"/>
      <c r="CK188" s="66"/>
      <c r="CL188" s="66"/>
      <c r="CM188" s="66"/>
      <c r="CN188" s="66"/>
      <c r="CO188" s="66"/>
      <c r="CP188" s="66"/>
      <c r="CQ188" s="66"/>
      <c r="CR188" s="66"/>
      <c r="CS188" s="66"/>
      <c r="CT188" s="66"/>
      <c r="CU188" s="66"/>
      <c r="CV188" s="66"/>
      <c r="CW188" s="66"/>
      <c r="CX188" s="66"/>
      <c r="CY188" s="66"/>
      <c r="CZ188" s="66"/>
      <c r="DA188" s="66"/>
      <c r="DB188" s="66"/>
      <c r="DC188" s="66"/>
      <c r="DE188" s="66"/>
    </row>
    <row r="189" spans="1:109" s="36" customFormat="1" ht="165" x14ac:dyDescent="0.25">
      <c r="A189" s="14">
        <v>46063</v>
      </c>
      <c r="B189" s="15" t="s">
        <v>1615</v>
      </c>
      <c r="C189" s="16" t="s">
        <v>1616</v>
      </c>
      <c r="D189" s="15"/>
      <c r="E189" s="17" t="s">
        <v>39</v>
      </c>
      <c r="F189" s="18"/>
      <c r="G189" s="18"/>
      <c r="H189" s="19">
        <v>1</v>
      </c>
      <c r="I189" s="20" t="s">
        <v>1617</v>
      </c>
      <c r="J189" s="21">
        <v>15</v>
      </c>
      <c r="K189" s="22" t="s">
        <v>1618</v>
      </c>
      <c r="L189" s="23" t="s">
        <v>63</v>
      </c>
      <c r="M189" s="23" t="s">
        <v>42</v>
      </c>
      <c r="N189" s="24" t="s">
        <v>1619</v>
      </c>
      <c r="O189" s="25" t="s">
        <v>1620</v>
      </c>
      <c r="P189" s="26"/>
      <c r="Q189" s="27" t="s">
        <v>1621</v>
      </c>
      <c r="R189" s="28">
        <v>1</v>
      </c>
      <c r="S189" s="28">
        <v>5</v>
      </c>
      <c r="T189" s="17" t="s">
        <v>393</v>
      </c>
      <c r="U189" s="17">
        <v>5</v>
      </c>
      <c r="V189" s="29">
        <f t="shared" si="7"/>
        <v>75</v>
      </c>
      <c r="W189" s="17" t="s">
        <v>350</v>
      </c>
      <c r="X189" s="30" t="s">
        <v>482</v>
      </c>
      <c r="Y189" s="31" t="s">
        <v>50</v>
      </c>
      <c r="Z189" s="32" t="s">
        <v>483</v>
      </c>
      <c r="AA189" s="33" t="s">
        <v>1622</v>
      </c>
      <c r="AB189" s="34" t="s">
        <v>1623</v>
      </c>
      <c r="AC189" s="35">
        <f>J189/55*4895</f>
        <v>1335</v>
      </c>
      <c r="AE189" s="37" t="s">
        <v>1358</v>
      </c>
      <c r="AF189" s="38" t="s">
        <v>354</v>
      </c>
      <c r="AG189" s="38" t="s">
        <v>56</v>
      </c>
      <c r="AH189" s="38" t="s">
        <v>56</v>
      </c>
      <c r="AI189" s="38"/>
      <c r="AJ189" s="38" t="s">
        <v>56</v>
      </c>
      <c r="AK189" s="38" t="s">
        <v>74</v>
      </c>
      <c r="AL189" s="39" t="s">
        <v>1624</v>
      </c>
      <c r="AM189" s="40">
        <v>1</v>
      </c>
    </row>
    <row r="190" spans="1:109" s="36" customFormat="1" ht="180" x14ac:dyDescent="0.25">
      <c r="A190" s="14">
        <v>46063</v>
      </c>
      <c r="B190" s="41" t="s">
        <v>1007</v>
      </c>
      <c r="C190" s="41" t="s">
        <v>1625</v>
      </c>
      <c r="D190" s="41" t="s">
        <v>1009</v>
      </c>
      <c r="E190" s="42" t="s">
        <v>39</v>
      </c>
      <c r="F190" s="43"/>
      <c r="G190" s="43"/>
      <c r="H190" s="19">
        <v>1</v>
      </c>
      <c r="I190" s="44" t="s">
        <v>1626</v>
      </c>
      <c r="J190" s="45">
        <v>32</v>
      </c>
      <c r="K190" s="46" t="s">
        <v>1627</v>
      </c>
      <c r="L190" s="47" t="s">
        <v>63</v>
      </c>
      <c r="M190" s="47" t="s">
        <v>42</v>
      </c>
      <c r="N190" s="48" t="s">
        <v>1628</v>
      </c>
      <c r="O190" s="49" t="s">
        <v>1013</v>
      </c>
      <c r="P190" s="49"/>
      <c r="Q190" s="49" t="s">
        <v>1014</v>
      </c>
      <c r="R190" s="50">
        <v>1</v>
      </c>
      <c r="S190" s="50">
        <v>5</v>
      </c>
      <c r="T190" s="51" t="s">
        <v>393</v>
      </c>
      <c r="U190" s="51">
        <v>5</v>
      </c>
      <c r="V190" s="52">
        <f t="shared" si="7"/>
        <v>160</v>
      </c>
      <c r="W190" s="51" t="s">
        <v>48</v>
      </c>
      <c r="X190" s="30" t="s">
        <v>482</v>
      </c>
      <c r="Y190" s="31" t="s">
        <v>50</v>
      </c>
      <c r="Z190" s="53" t="s">
        <v>483</v>
      </c>
      <c r="AA190" s="33" t="s">
        <v>1015</v>
      </c>
      <c r="AB190" s="34" t="s">
        <v>1016</v>
      </c>
      <c r="AC190" s="35">
        <f>2327.5*J190/70</f>
        <v>1064</v>
      </c>
      <c r="AE190" s="37" t="s">
        <v>1358</v>
      </c>
      <c r="AF190" s="38" t="s">
        <v>354</v>
      </c>
      <c r="AG190" s="38" t="s">
        <v>56</v>
      </c>
      <c r="AH190" s="38" t="s">
        <v>56</v>
      </c>
      <c r="AI190" s="38"/>
      <c r="AJ190" s="38" t="s">
        <v>56</v>
      </c>
      <c r="AK190" s="38" t="s">
        <v>1017</v>
      </c>
      <c r="AL190" s="38"/>
      <c r="AM190" s="36">
        <v>5</v>
      </c>
    </row>
    <row r="191" spans="1:109" s="66" customFormat="1" ht="165" x14ac:dyDescent="0.25">
      <c r="A191" s="14">
        <v>46063</v>
      </c>
      <c r="B191" s="54" t="s">
        <v>1629</v>
      </c>
      <c r="C191" s="55" t="s">
        <v>1630</v>
      </c>
      <c r="D191" s="54"/>
      <c r="E191" s="56" t="s">
        <v>39</v>
      </c>
      <c r="F191" s="57"/>
      <c r="G191" s="57"/>
      <c r="H191" s="19">
        <v>3</v>
      </c>
      <c r="I191" s="58" t="s">
        <v>1631</v>
      </c>
      <c r="J191" s="59">
        <v>38</v>
      </c>
      <c r="K191" s="60" t="s">
        <v>1632</v>
      </c>
      <c r="L191" s="61" t="s">
        <v>63</v>
      </c>
      <c r="M191" s="61" t="s">
        <v>55</v>
      </c>
      <c r="N191" s="24" t="s">
        <v>1633</v>
      </c>
      <c r="O191" s="62"/>
      <c r="P191" s="62"/>
      <c r="Q191" s="62"/>
      <c r="R191" s="61">
        <v>1</v>
      </c>
      <c r="S191" s="61">
        <v>1</v>
      </c>
      <c r="T191" s="56" t="s">
        <v>96</v>
      </c>
      <c r="U191" s="56">
        <v>1</v>
      </c>
      <c r="V191" s="63">
        <f t="shared" si="7"/>
        <v>38</v>
      </c>
      <c r="W191" s="56" t="s">
        <v>48</v>
      </c>
      <c r="X191" s="30" t="s">
        <v>482</v>
      </c>
      <c r="Y191" s="64" t="s">
        <v>50</v>
      </c>
      <c r="Z191" s="32" t="s">
        <v>1634</v>
      </c>
      <c r="AA191" s="33" t="s">
        <v>1068</v>
      </c>
      <c r="AB191" s="65" t="s">
        <v>1271</v>
      </c>
      <c r="AC191" s="35">
        <v>8290</v>
      </c>
      <c r="AE191" s="67" t="s">
        <v>85</v>
      </c>
      <c r="AF191" s="38"/>
      <c r="AG191" s="38" t="s">
        <v>56</v>
      </c>
      <c r="AH191" s="38" t="s">
        <v>56</v>
      </c>
      <c r="AI191" s="38"/>
      <c r="AJ191" s="38"/>
      <c r="AK191" s="38"/>
      <c r="AL191" s="68"/>
      <c r="AM191" s="66">
        <v>10</v>
      </c>
    </row>
    <row r="192" spans="1:109" s="66" customFormat="1" ht="120" x14ac:dyDescent="0.25">
      <c r="A192" s="14">
        <v>46063</v>
      </c>
      <c r="B192" s="54" t="s">
        <v>1635</v>
      </c>
      <c r="C192" s="55" t="s">
        <v>1636</v>
      </c>
      <c r="D192" s="54"/>
      <c r="E192" s="56" t="s">
        <v>39</v>
      </c>
      <c r="F192" s="57"/>
      <c r="G192" s="57"/>
      <c r="H192" s="19">
        <v>2</v>
      </c>
      <c r="I192" s="69" t="s">
        <v>1637</v>
      </c>
      <c r="J192" s="59">
        <v>38</v>
      </c>
      <c r="K192" s="70" t="s">
        <v>1632</v>
      </c>
      <c r="L192" s="61" t="s">
        <v>63</v>
      </c>
      <c r="M192" s="61" t="s">
        <v>55</v>
      </c>
      <c r="N192" s="24" t="s">
        <v>1638</v>
      </c>
      <c r="O192" s="62"/>
      <c r="P192" s="62"/>
      <c r="Q192" s="62"/>
      <c r="R192" s="61">
        <v>1</v>
      </c>
      <c r="S192" s="61">
        <v>1</v>
      </c>
      <c r="T192" s="56" t="s">
        <v>393</v>
      </c>
      <c r="U192" s="56">
        <v>1</v>
      </c>
      <c r="V192" s="63">
        <f t="shared" si="7"/>
        <v>38</v>
      </c>
      <c r="W192" s="56" t="s">
        <v>48</v>
      </c>
      <c r="X192" s="30" t="s">
        <v>482</v>
      </c>
      <c r="Y192" s="64" t="s">
        <v>50</v>
      </c>
      <c r="Z192" s="32" t="s">
        <v>1634</v>
      </c>
      <c r="AA192" s="33" t="s">
        <v>1068</v>
      </c>
      <c r="AB192" s="65" t="s">
        <v>1069</v>
      </c>
      <c r="AC192" s="35">
        <v>8290</v>
      </c>
      <c r="AE192" s="67" t="s">
        <v>1070</v>
      </c>
      <c r="AF192" s="38"/>
      <c r="AG192" s="38" t="s">
        <v>56</v>
      </c>
      <c r="AH192" s="38" t="s">
        <v>56</v>
      </c>
      <c r="AI192" s="38"/>
      <c r="AJ192" s="38"/>
      <c r="AK192" s="38"/>
      <c r="AL192" s="39" t="s">
        <v>1639</v>
      </c>
      <c r="AM192" s="66">
        <v>10</v>
      </c>
    </row>
    <row r="193" spans="1:39" s="66" customFormat="1" ht="120" x14ac:dyDescent="0.25">
      <c r="A193" s="14">
        <v>46063</v>
      </c>
      <c r="B193" s="41" t="s">
        <v>1640</v>
      </c>
      <c r="C193" s="71" t="s">
        <v>1641</v>
      </c>
      <c r="D193" s="71"/>
      <c r="E193" s="42" t="s">
        <v>39</v>
      </c>
      <c r="F193" s="19">
        <v>1</v>
      </c>
      <c r="G193" s="43"/>
      <c r="H193" s="43"/>
      <c r="I193" s="72" t="s">
        <v>1642</v>
      </c>
      <c r="J193" s="45">
        <v>200</v>
      </c>
      <c r="K193" s="46" t="s">
        <v>1643</v>
      </c>
      <c r="L193" s="47" t="s">
        <v>63</v>
      </c>
      <c r="M193" s="73" t="s">
        <v>42</v>
      </c>
      <c r="N193" s="74" t="s">
        <v>1644</v>
      </c>
      <c r="O193" s="49" t="s">
        <v>1645</v>
      </c>
      <c r="P193" s="49" t="s">
        <v>1646</v>
      </c>
      <c r="Q193" s="49" t="s">
        <v>1647</v>
      </c>
      <c r="R193" s="50">
        <v>23</v>
      </c>
      <c r="S193" s="50">
        <v>34</v>
      </c>
      <c r="T193" s="51" t="s">
        <v>47</v>
      </c>
      <c r="U193" s="51">
        <v>3</v>
      </c>
      <c r="V193" s="75">
        <f t="shared" si="7"/>
        <v>600</v>
      </c>
      <c r="W193" s="51" t="s">
        <v>48</v>
      </c>
      <c r="X193" s="30" t="s">
        <v>1648</v>
      </c>
      <c r="Y193" s="64" t="s">
        <v>82</v>
      </c>
      <c r="Z193" s="32"/>
      <c r="AA193" s="33" t="s">
        <v>1567</v>
      </c>
      <c r="AB193" s="65" t="s">
        <v>1649</v>
      </c>
      <c r="AC193" s="35">
        <v>2654</v>
      </c>
      <c r="AE193" s="67" t="s">
        <v>85</v>
      </c>
      <c r="AF193" s="38"/>
      <c r="AG193" s="38" t="s">
        <v>56</v>
      </c>
      <c r="AH193" s="38" t="s">
        <v>86</v>
      </c>
      <c r="AI193" s="38"/>
      <c r="AJ193" s="38" t="s">
        <v>56</v>
      </c>
      <c r="AK193" s="38" t="s">
        <v>1613</v>
      </c>
      <c r="AL193" s="68"/>
      <c r="AM193" s="66">
        <v>10</v>
      </c>
    </row>
    <row r="194" spans="1:39" s="66" customFormat="1" ht="102.75" customHeight="1" x14ac:dyDescent="0.25">
      <c r="A194" s="14">
        <v>46062</v>
      </c>
      <c r="B194" s="41" t="s">
        <v>1432</v>
      </c>
      <c r="C194" s="41" t="s">
        <v>1517</v>
      </c>
      <c r="D194" s="41"/>
      <c r="E194" s="42" t="s">
        <v>39</v>
      </c>
      <c r="F194" s="19">
        <v>1</v>
      </c>
      <c r="G194" s="43"/>
      <c r="H194" s="43"/>
      <c r="I194" s="72" t="s">
        <v>1650</v>
      </c>
      <c r="J194" s="45">
        <v>12</v>
      </c>
      <c r="K194" s="46" t="s">
        <v>1651</v>
      </c>
      <c r="L194" s="76" t="s">
        <v>63</v>
      </c>
      <c r="M194" s="73" t="s">
        <v>42</v>
      </c>
      <c r="N194" s="77" t="s">
        <v>1652</v>
      </c>
      <c r="O194" s="49" t="s">
        <v>1647</v>
      </c>
      <c r="P194" s="49" t="s">
        <v>1653</v>
      </c>
      <c r="Q194" s="49" t="s">
        <v>1654</v>
      </c>
      <c r="R194" s="50">
        <v>107</v>
      </c>
      <c r="S194" s="50">
        <v>701</v>
      </c>
      <c r="T194" s="51" t="s">
        <v>180</v>
      </c>
      <c r="U194" s="51">
        <v>28</v>
      </c>
      <c r="V194" s="52">
        <f t="shared" si="7"/>
        <v>336</v>
      </c>
      <c r="W194" s="51" t="s">
        <v>142</v>
      </c>
      <c r="X194" s="30" t="s">
        <v>434</v>
      </c>
      <c r="Y194" s="64" t="s">
        <v>82</v>
      </c>
      <c r="Z194" s="32"/>
      <c r="AA194" s="33" t="s">
        <v>1439</v>
      </c>
      <c r="AB194" s="65" t="s">
        <v>1461</v>
      </c>
      <c r="AC194" s="35">
        <v>7023.36</v>
      </c>
      <c r="AE194" s="67" t="s">
        <v>85</v>
      </c>
      <c r="AF194" s="38"/>
      <c r="AG194" s="38" t="s">
        <v>56</v>
      </c>
      <c r="AH194" s="38" t="s">
        <v>56</v>
      </c>
      <c r="AI194" s="38"/>
      <c r="AJ194" s="38" t="s">
        <v>56</v>
      </c>
      <c r="AK194" s="38" t="s">
        <v>1655</v>
      </c>
      <c r="AL194" s="39" t="s">
        <v>1656</v>
      </c>
      <c r="AM194" s="66">
        <v>2</v>
      </c>
    </row>
    <row r="195" spans="1:39" s="66" customFormat="1" ht="90" customHeight="1" x14ac:dyDescent="0.25">
      <c r="A195" s="14">
        <v>46062</v>
      </c>
      <c r="B195" s="41" t="s">
        <v>1657</v>
      </c>
      <c r="C195" s="41" t="s">
        <v>1658</v>
      </c>
      <c r="D195" s="41"/>
      <c r="E195" s="42" t="s">
        <v>39</v>
      </c>
      <c r="F195" s="19">
        <v>1</v>
      </c>
      <c r="G195" s="43"/>
      <c r="H195" s="43"/>
      <c r="I195" s="72" t="s">
        <v>1659</v>
      </c>
      <c r="J195" s="45">
        <v>8</v>
      </c>
      <c r="K195" s="46" t="s">
        <v>1651</v>
      </c>
      <c r="L195" s="76" t="s">
        <v>63</v>
      </c>
      <c r="M195" s="73" t="s">
        <v>42</v>
      </c>
      <c r="N195" s="48" t="s">
        <v>565</v>
      </c>
      <c r="O195" s="49" t="s">
        <v>1660</v>
      </c>
      <c r="P195" s="49"/>
      <c r="Q195" s="49" t="s">
        <v>1645</v>
      </c>
      <c r="R195" s="50">
        <v>64</v>
      </c>
      <c r="S195" s="50">
        <v>579</v>
      </c>
      <c r="T195" s="51" t="s">
        <v>47</v>
      </c>
      <c r="U195" s="51">
        <v>89</v>
      </c>
      <c r="V195" s="75">
        <f t="shared" si="7"/>
        <v>712</v>
      </c>
      <c r="W195" s="51" t="s">
        <v>48</v>
      </c>
      <c r="X195" s="30" t="s">
        <v>265</v>
      </c>
      <c r="Y195" s="64" t="s">
        <v>82</v>
      </c>
      <c r="Z195" s="32"/>
      <c r="AA195" s="33" t="s">
        <v>1567</v>
      </c>
      <c r="AB195" s="65" t="s">
        <v>1412</v>
      </c>
      <c r="AC195" s="35">
        <v>7078.6</v>
      </c>
      <c r="AE195" s="37" t="s">
        <v>1358</v>
      </c>
      <c r="AF195" s="38"/>
      <c r="AG195" s="38" t="s">
        <v>56</v>
      </c>
      <c r="AH195" s="38" t="s">
        <v>56</v>
      </c>
      <c r="AI195" s="38"/>
      <c r="AJ195" s="38"/>
      <c r="AK195" s="38"/>
      <c r="AL195" s="78" t="s">
        <v>1661</v>
      </c>
      <c r="AM195" s="66">
        <v>1</v>
      </c>
    </row>
    <row r="196" spans="1:39" s="36" customFormat="1" ht="33.75" customHeight="1" x14ac:dyDescent="0.25">
      <c r="A196" s="14">
        <v>46062</v>
      </c>
      <c r="B196" s="41" t="s">
        <v>1662</v>
      </c>
      <c r="C196" s="41" t="s">
        <v>1663</v>
      </c>
      <c r="D196" s="41" t="s">
        <v>1664</v>
      </c>
      <c r="E196" s="42" t="s">
        <v>39</v>
      </c>
      <c r="F196" s="19">
        <v>1</v>
      </c>
      <c r="G196" s="43"/>
      <c r="H196" s="43"/>
      <c r="I196" s="72" t="s">
        <v>1665</v>
      </c>
      <c r="J196" s="45">
        <v>170</v>
      </c>
      <c r="K196" s="46" t="s">
        <v>1666</v>
      </c>
      <c r="L196" s="47" t="s">
        <v>63</v>
      </c>
      <c r="M196" s="73" t="s">
        <v>42</v>
      </c>
      <c r="N196" s="77" t="s">
        <v>1667</v>
      </c>
      <c r="O196" s="49" t="s">
        <v>1668</v>
      </c>
      <c r="P196" s="49" t="s">
        <v>1669</v>
      </c>
      <c r="Q196" s="49" t="s">
        <v>1670</v>
      </c>
      <c r="R196" s="50">
        <v>23</v>
      </c>
      <c r="S196" s="50">
        <v>55</v>
      </c>
      <c r="T196" s="51" t="s">
        <v>47</v>
      </c>
      <c r="U196" s="51">
        <v>3</v>
      </c>
      <c r="V196" s="52">
        <f t="shared" si="7"/>
        <v>510</v>
      </c>
      <c r="W196" s="51" t="s">
        <v>221</v>
      </c>
      <c r="X196" s="30" t="s">
        <v>98</v>
      </c>
      <c r="Y196" s="31" t="s">
        <v>99</v>
      </c>
      <c r="Z196" s="32" t="s">
        <v>51</v>
      </c>
      <c r="AA196" s="33" t="s">
        <v>1671</v>
      </c>
      <c r="AB196" s="65" t="s">
        <v>1672</v>
      </c>
      <c r="AC196" s="35">
        <v>3536</v>
      </c>
      <c r="AE196" s="37" t="s">
        <v>85</v>
      </c>
      <c r="AF196" s="38"/>
      <c r="AG196" s="38" t="s">
        <v>56</v>
      </c>
      <c r="AH196" s="38" t="s">
        <v>86</v>
      </c>
      <c r="AI196" s="38"/>
      <c r="AJ196" s="38" t="s">
        <v>56</v>
      </c>
      <c r="AK196" s="38" t="s">
        <v>74</v>
      </c>
      <c r="AL196" s="38"/>
      <c r="AM196" s="36">
        <v>1</v>
      </c>
    </row>
    <row r="197" spans="1:39" s="66" customFormat="1" ht="69.75" customHeight="1" x14ac:dyDescent="0.25">
      <c r="A197" s="14">
        <v>46062</v>
      </c>
      <c r="B197" s="54" t="s">
        <v>1673</v>
      </c>
      <c r="C197" s="54" t="s">
        <v>1674</v>
      </c>
      <c r="D197" s="54"/>
      <c r="E197" s="56" t="s">
        <v>195</v>
      </c>
      <c r="F197" s="57"/>
      <c r="G197" s="57"/>
      <c r="H197" s="57"/>
      <c r="I197" s="58" t="s">
        <v>1675</v>
      </c>
      <c r="J197" s="59">
        <v>38</v>
      </c>
      <c r="K197" s="60" t="s">
        <v>1676</v>
      </c>
      <c r="L197" s="79" t="s">
        <v>42</v>
      </c>
      <c r="M197" s="56" t="s">
        <v>55</v>
      </c>
      <c r="N197" s="80" t="s">
        <v>1677</v>
      </c>
      <c r="O197" s="62"/>
      <c r="P197" s="62"/>
      <c r="Q197" s="62"/>
      <c r="R197" s="61">
        <v>0</v>
      </c>
      <c r="S197" s="61">
        <v>0</v>
      </c>
      <c r="T197" s="56">
        <v>0</v>
      </c>
      <c r="U197" s="56">
        <v>1</v>
      </c>
      <c r="V197" s="63">
        <f t="shared" si="7"/>
        <v>38</v>
      </c>
      <c r="W197" s="56" t="s">
        <v>48</v>
      </c>
      <c r="X197" s="30" t="s">
        <v>482</v>
      </c>
      <c r="Y197" s="64" t="s">
        <v>50</v>
      </c>
      <c r="Z197" s="32" t="s">
        <v>483</v>
      </c>
      <c r="AA197" s="33" t="s">
        <v>1329</v>
      </c>
      <c r="AB197" s="65" t="s">
        <v>1678</v>
      </c>
      <c r="AC197" s="35">
        <v>7371</v>
      </c>
      <c r="AE197" s="67" t="s">
        <v>1679</v>
      </c>
      <c r="AF197" s="38"/>
      <c r="AG197" s="38" t="s">
        <v>56</v>
      </c>
      <c r="AH197" s="38" t="s">
        <v>56</v>
      </c>
      <c r="AI197" s="38"/>
      <c r="AJ197" s="38"/>
      <c r="AK197" s="38"/>
      <c r="AL197" s="68"/>
    </row>
    <row r="198" spans="1:39" s="66" customFormat="1" ht="90" x14ac:dyDescent="0.25">
      <c r="A198" s="14">
        <v>46062</v>
      </c>
      <c r="B198" s="41" t="s">
        <v>1680</v>
      </c>
      <c r="C198" s="41" t="s">
        <v>1681</v>
      </c>
      <c r="D198" s="41" t="s">
        <v>1682</v>
      </c>
      <c r="E198" s="42" t="s">
        <v>39</v>
      </c>
      <c r="F198" s="19">
        <v>4</v>
      </c>
      <c r="G198" s="43"/>
      <c r="H198" s="43"/>
      <c r="I198" s="72" t="s">
        <v>1683</v>
      </c>
      <c r="J198" s="45">
        <v>60</v>
      </c>
      <c r="K198" s="46" t="s">
        <v>1684</v>
      </c>
      <c r="L198" s="47" t="s">
        <v>63</v>
      </c>
      <c r="M198" s="73" t="s">
        <v>42</v>
      </c>
      <c r="N198" s="77" t="s">
        <v>1685</v>
      </c>
      <c r="O198" s="49" t="s">
        <v>1686</v>
      </c>
      <c r="P198" s="49" t="s">
        <v>1687</v>
      </c>
      <c r="Q198" s="49" t="s">
        <v>1688</v>
      </c>
      <c r="R198" s="50">
        <v>29</v>
      </c>
      <c r="S198" s="50">
        <v>233</v>
      </c>
      <c r="T198" s="51" t="s">
        <v>47</v>
      </c>
      <c r="U198" s="51">
        <v>11</v>
      </c>
      <c r="V198" s="75">
        <f t="shared" si="7"/>
        <v>660</v>
      </c>
      <c r="W198" s="51" t="s">
        <v>68</v>
      </c>
      <c r="X198" s="30" t="s">
        <v>1689</v>
      </c>
      <c r="Y198" s="64" t="s">
        <v>70</v>
      </c>
      <c r="Z198" s="32"/>
      <c r="AA198" s="33" t="s">
        <v>1690</v>
      </c>
      <c r="AB198" s="65" t="s">
        <v>1691</v>
      </c>
      <c r="AC198" s="35">
        <v>5130</v>
      </c>
      <c r="AE198" s="67" t="s">
        <v>85</v>
      </c>
      <c r="AF198" s="38"/>
      <c r="AG198" s="38" t="s">
        <v>56</v>
      </c>
      <c r="AH198" s="38" t="s">
        <v>56</v>
      </c>
      <c r="AI198" s="38"/>
      <c r="AJ198" s="38"/>
      <c r="AK198" s="38"/>
      <c r="AL198" s="68"/>
      <c r="AM198" s="66">
        <v>6</v>
      </c>
    </row>
    <row r="199" spans="1:39" s="36" customFormat="1" ht="152.25" customHeight="1" x14ac:dyDescent="0.25">
      <c r="A199" s="14">
        <v>46059</v>
      </c>
      <c r="B199" s="81" t="s">
        <v>1692</v>
      </c>
      <c r="C199" s="82" t="s">
        <v>1693</v>
      </c>
      <c r="D199" s="83"/>
      <c r="E199" s="84" t="s">
        <v>39</v>
      </c>
      <c r="F199" s="85"/>
      <c r="G199" s="85"/>
      <c r="H199" s="19">
        <v>1</v>
      </c>
      <c r="I199" s="86" t="s">
        <v>1694</v>
      </c>
      <c r="J199" s="87">
        <v>25</v>
      </c>
      <c r="K199" s="88" t="s">
        <v>1695</v>
      </c>
      <c r="L199" s="76" t="s">
        <v>63</v>
      </c>
      <c r="M199" s="73" t="s">
        <v>42</v>
      </c>
      <c r="N199" s="77" t="s">
        <v>1696</v>
      </c>
      <c r="O199" s="49" t="s">
        <v>1697</v>
      </c>
      <c r="P199" s="49" t="s">
        <v>1698</v>
      </c>
      <c r="Q199" s="49" t="s">
        <v>1699</v>
      </c>
      <c r="R199" s="76">
        <v>126</v>
      </c>
      <c r="S199" s="89">
        <v>742</v>
      </c>
      <c r="T199" s="90" t="s">
        <v>141</v>
      </c>
      <c r="U199" s="90">
        <v>14</v>
      </c>
      <c r="V199" s="91">
        <f t="shared" si="7"/>
        <v>350</v>
      </c>
      <c r="W199" s="90" t="s">
        <v>350</v>
      </c>
      <c r="X199" s="30" t="s">
        <v>1700</v>
      </c>
      <c r="Y199" s="31" t="s">
        <v>82</v>
      </c>
      <c r="Z199" s="32" t="s">
        <v>51</v>
      </c>
      <c r="AA199" s="33" t="s">
        <v>1701</v>
      </c>
      <c r="AB199" s="65" t="s">
        <v>1702</v>
      </c>
      <c r="AC199" s="35">
        <v>9841.25</v>
      </c>
      <c r="AE199" s="67" t="s">
        <v>85</v>
      </c>
      <c r="AF199" s="38" t="s">
        <v>354</v>
      </c>
      <c r="AG199" s="38" t="s">
        <v>56</v>
      </c>
      <c r="AH199" s="38" t="s">
        <v>56</v>
      </c>
      <c r="AI199" s="38"/>
      <c r="AJ199" s="38"/>
      <c r="AK199" s="38"/>
      <c r="AL199" s="39" t="s">
        <v>1703</v>
      </c>
      <c r="AM199" s="36">
        <v>1</v>
      </c>
    </row>
    <row r="200" spans="1:39" s="36" customFormat="1" ht="210" x14ac:dyDescent="0.25">
      <c r="A200" s="14">
        <v>46059</v>
      </c>
      <c r="B200" s="82" t="s">
        <v>1704</v>
      </c>
      <c r="C200" s="82" t="s">
        <v>1705</v>
      </c>
      <c r="D200" s="82" t="s">
        <v>1706</v>
      </c>
      <c r="E200" s="42" t="s">
        <v>39</v>
      </c>
      <c r="F200" s="19">
        <v>1</v>
      </c>
      <c r="G200" s="43"/>
      <c r="H200" s="43"/>
      <c r="I200" s="72" t="s">
        <v>1707</v>
      </c>
      <c r="J200" s="45">
        <v>100</v>
      </c>
      <c r="K200" s="46" t="s">
        <v>1708</v>
      </c>
      <c r="L200" s="50" t="s">
        <v>63</v>
      </c>
      <c r="M200" s="73" t="s">
        <v>42</v>
      </c>
      <c r="N200" s="77" t="s">
        <v>1709</v>
      </c>
      <c r="O200" s="49" t="s">
        <v>643</v>
      </c>
      <c r="P200" s="49" t="s">
        <v>1710</v>
      </c>
      <c r="Q200" s="49" t="s">
        <v>1711</v>
      </c>
      <c r="R200" s="50">
        <v>125</v>
      </c>
      <c r="S200" s="92">
        <v>473</v>
      </c>
      <c r="T200" s="51" t="s">
        <v>180</v>
      </c>
      <c r="U200" s="51">
        <v>32</v>
      </c>
      <c r="V200" s="75">
        <f t="shared" si="7"/>
        <v>3200</v>
      </c>
      <c r="W200" s="51" t="s">
        <v>510</v>
      </c>
      <c r="X200" s="93" t="s">
        <v>538</v>
      </c>
      <c r="Y200" s="31" t="s">
        <v>324</v>
      </c>
      <c r="Z200" s="32" t="s">
        <v>645</v>
      </c>
      <c r="AA200" s="33" t="s">
        <v>1712</v>
      </c>
      <c r="AB200" s="65" t="s">
        <v>1713</v>
      </c>
      <c r="AC200" s="35">
        <v>13292</v>
      </c>
      <c r="AE200" s="67" t="s">
        <v>85</v>
      </c>
      <c r="AF200" s="38"/>
      <c r="AG200" s="38" t="s">
        <v>56</v>
      </c>
      <c r="AH200" s="38" t="s">
        <v>56</v>
      </c>
      <c r="AI200" s="38"/>
      <c r="AJ200" s="38"/>
      <c r="AK200" s="38"/>
      <c r="AL200" s="38"/>
      <c r="AM200" s="36">
        <v>1</v>
      </c>
    </row>
    <row r="201" spans="1:39" s="66" customFormat="1" ht="90" x14ac:dyDescent="0.25">
      <c r="A201" s="14">
        <v>46059</v>
      </c>
      <c r="B201" s="41" t="s">
        <v>1714</v>
      </c>
      <c r="C201" s="41" t="s">
        <v>1715</v>
      </c>
      <c r="D201" s="41"/>
      <c r="E201" s="42" t="s">
        <v>39</v>
      </c>
      <c r="F201" s="19">
        <v>3</v>
      </c>
      <c r="G201" s="43"/>
      <c r="H201" s="43"/>
      <c r="I201" s="72" t="s">
        <v>1716</v>
      </c>
      <c r="J201" s="45">
        <v>60</v>
      </c>
      <c r="K201" s="46" t="s">
        <v>1708</v>
      </c>
      <c r="L201" s="47" t="s">
        <v>63</v>
      </c>
      <c r="M201" s="73" t="s">
        <v>42</v>
      </c>
      <c r="N201" s="77" t="s">
        <v>851</v>
      </c>
      <c r="O201" s="49"/>
      <c r="P201" s="49"/>
      <c r="Q201" s="49" t="s">
        <v>1686</v>
      </c>
      <c r="R201" s="50">
        <v>15</v>
      </c>
      <c r="S201" s="50">
        <v>27</v>
      </c>
      <c r="T201" s="51" t="s">
        <v>47</v>
      </c>
      <c r="U201" s="51">
        <v>3</v>
      </c>
      <c r="V201" s="52">
        <f t="shared" ref="V201:V231" si="8">U201*J201</f>
        <v>180</v>
      </c>
      <c r="W201" s="51" t="s">
        <v>48</v>
      </c>
      <c r="X201" s="94" t="s">
        <v>232</v>
      </c>
      <c r="Y201" s="64" t="s">
        <v>50</v>
      </c>
      <c r="Z201" s="32" t="s">
        <v>51</v>
      </c>
      <c r="AA201" s="33" t="s">
        <v>1717</v>
      </c>
      <c r="AB201" s="65" t="s">
        <v>1718</v>
      </c>
      <c r="AC201" s="35">
        <v>1792.8</v>
      </c>
      <c r="AE201" s="67" t="s">
        <v>85</v>
      </c>
      <c r="AF201" s="38"/>
      <c r="AG201" s="38" t="s">
        <v>56</v>
      </c>
      <c r="AH201" s="38" t="s">
        <v>56</v>
      </c>
      <c r="AI201" s="38"/>
      <c r="AJ201" s="38" t="s">
        <v>56</v>
      </c>
      <c r="AK201" s="38" t="s">
        <v>74</v>
      </c>
      <c r="AL201" s="68"/>
      <c r="AM201" s="66">
        <v>6</v>
      </c>
    </row>
    <row r="202" spans="1:39" s="66" customFormat="1" ht="120" x14ac:dyDescent="0.25">
      <c r="A202" s="14">
        <v>46058</v>
      </c>
      <c r="B202" s="41" t="s">
        <v>1719</v>
      </c>
      <c r="C202" s="82" t="s">
        <v>1720</v>
      </c>
      <c r="D202" s="41" t="s">
        <v>1721</v>
      </c>
      <c r="E202" s="42" t="s">
        <v>39</v>
      </c>
      <c r="F202" s="19">
        <v>2</v>
      </c>
      <c r="G202" s="43"/>
      <c r="H202" s="43"/>
      <c r="I202" s="72" t="s">
        <v>1722</v>
      </c>
      <c r="J202" s="45">
        <v>5</v>
      </c>
      <c r="K202" s="46" t="s">
        <v>1723</v>
      </c>
      <c r="L202" s="47" t="s">
        <v>63</v>
      </c>
      <c r="M202" s="73" t="s">
        <v>42</v>
      </c>
      <c r="N202" s="77" t="s">
        <v>1724</v>
      </c>
      <c r="O202" s="49" t="s">
        <v>1725</v>
      </c>
      <c r="P202" s="49" t="s">
        <v>1726</v>
      </c>
      <c r="Q202" s="49" t="s">
        <v>1727</v>
      </c>
      <c r="R202" s="50">
        <v>88</v>
      </c>
      <c r="S202" s="50">
        <v>317</v>
      </c>
      <c r="T202" s="51" t="s">
        <v>180</v>
      </c>
      <c r="U202" s="51">
        <v>17</v>
      </c>
      <c r="V202" s="52">
        <f t="shared" si="8"/>
        <v>85</v>
      </c>
      <c r="W202" s="51" t="s">
        <v>48</v>
      </c>
      <c r="X202" s="94" t="s">
        <v>232</v>
      </c>
      <c r="Y202" s="64" t="s">
        <v>50</v>
      </c>
      <c r="Z202" s="32" t="s">
        <v>51</v>
      </c>
      <c r="AA202" s="33" t="s">
        <v>1717</v>
      </c>
      <c r="AB202" s="65" t="s">
        <v>1728</v>
      </c>
      <c r="AC202" s="35">
        <v>6836</v>
      </c>
      <c r="AE202" s="67" t="s">
        <v>1729</v>
      </c>
      <c r="AF202" s="38"/>
      <c r="AG202" s="38" t="s">
        <v>56</v>
      </c>
      <c r="AH202" s="38" t="s">
        <v>56</v>
      </c>
      <c r="AI202" s="38"/>
      <c r="AJ202" s="38"/>
      <c r="AK202" s="38"/>
      <c r="AL202" s="68"/>
      <c r="AM202" s="66">
        <v>1</v>
      </c>
    </row>
    <row r="203" spans="1:39" s="66" customFormat="1" ht="76.5" customHeight="1" x14ac:dyDescent="0.25">
      <c r="A203" s="14">
        <v>46058</v>
      </c>
      <c r="B203" s="95" t="s">
        <v>1730</v>
      </c>
      <c r="C203" s="95" t="s">
        <v>1731</v>
      </c>
      <c r="D203" s="95" t="s">
        <v>1732</v>
      </c>
      <c r="E203" s="96" t="s">
        <v>39</v>
      </c>
      <c r="F203" s="19">
        <v>1</v>
      </c>
      <c r="G203" s="97"/>
      <c r="H203" s="97"/>
      <c r="I203" s="72" t="s">
        <v>1733</v>
      </c>
      <c r="J203" s="98">
        <v>15</v>
      </c>
      <c r="K203" s="99" t="s">
        <v>1734</v>
      </c>
      <c r="L203" s="100" t="s">
        <v>63</v>
      </c>
      <c r="M203" s="100" t="s">
        <v>42</v>
      </c>
      <c r="N203" s="101" t="s">
        <v>1735</v>
      </c>
      <c r="O203" s="102" t="s">
        <v>1547</v>
      </c>
      <c r="P203" s="102" t="s">
        <v>1736</v>
      </c>
      <c r="Q203" s="102" t="s">
        <v>1737</v>
      </c>
      <c r="R203" s="103">
        <v>95</v>
      </c>
      <c r="S203" s="103">
        <v>476</v>
      </c>
      <c r="T203" s="96" t="s">
        <v>47</v>
      </c>
      <c r="U203" s="96">
        <v>20</v>
      </c>
      <c r="V203" s="104">
        <f t="shared" si="8"/>
        <v>300</v>
      </c>
      <c r="W203" s="96" t="s">
        <v>48</v>
      </c>
      <c r="X203" s="30" t="s">
        <v>210</v>
      </c>
      <c r="Y203" s="64" t="s">
        <v>50</v>
      </c>
      <c r="Z203" s="32" t="s">
        <v>1738</v>
      </c>
      <c r="AA203" s="33" t="s">
        <v>1739</v>
      </c>
      <c r="AB203" s="65" t="s">
        <v>1678</v>
      </c>
      <c r="AC203" s="35">
        <v>9388.5</v>
      </c>
      <c r="AE203" s="67" t="s">
        <v>1729</v>
      </c>
      <c r="AF203" s="38"/>
      <c r="AG203" s="38" t="s">
        <v>56</v>
      </c>
      <c r="AH203" s="38" t="s">
        <v>56</v>
      </c>
      <c r="AI203" s="38"/>
      <c r="AJ203" s="38"/>
      <c r="AK203" s="38"/>
      <c r="AL203" s="78" t="s">
        <v>1740</v>
      </c>
      <c r="AM203" s="66">
        <v>1</v>
      </c>
    </row>
    <row r="204" spans="1:39" s="66" customFormat="1" ht="75" x14ac:dyDescent="0.25">
      <c r="A204" s="14">
        <v>46058</v>
      </c>
      <c r="B204" s="95" t="s">
        <v>1432</v>
      </c>
      <c r="C204" s="95" t="s">
        <v>1517</v>
      </c>
      <c r="D204" s="95"/>
      <c r="E204" s="96" t="s">
        <v>39</v>
      </c>
      <c r="F204" s="19">
        <v>1</v>
      </c>
      <c r="G204" s="97"/>
      <c r="H204" s="97"/>
      <c r="I204" s="58" t="s">
        <v>1741</v>
      </c>
      <c r="J204" s="98">
        <v>8</v>
      </c>
      <c r="K204" s="99" t="s">
        <v>1734</v>
      </c>
      <c r="L204" s="100" t="s">
        <v>63</v>
      </c>
      <c r="M204" s="100" t="s">
        <v>42</v>
      </c>
      <c r="N204" s="101" t="s">
        <v>1742</v>
      </c>
      <c r="O204" s="102" t="s">
        <v>1737</v>
      </c>
      <c r="P204" s="102" t="s">
        <v>1743</v>
      </c>
      <c r="Q204" s="102" t="s">
        <v>1698</v>
      </c>
      <c r="R204" s="103">
        <v>144</v>
      </c>
      <c r="S204" s="103">
        <v>426</v>
      </c>
      <c r="T204" s="96" t="s">
        <v>180</v>
      </c>
      <c r="U204" s="96">
        <v>7</v>
      </c>
      <c r="V204" s="104">
        <f t="shared" si="8"/>
        <v>56</v>
      </c>
      <c r="W204" s="96" t="s">
        <v>48</v>
      </c>
      <c r="X204" s="30" t="s">
        <v>1744</v>
      </c>
      <c r="Y204" s="64" t="s">
        <v>324</v>
      </c>
      <c r="Z204" s="32" t="s">
        <v>51</v>
      </c>
      <c r="AA204" s="33" t="s">
        <v>1439</v>
      </c>
      <c r="AB204" s="65" t="s">
        <v>1461</v>
      </c>
      <c r="AC204" s="35">
        <v>11755.6</v>
      </c>
      <c r="AE204" s="67" t="s">
        <v>1358</v>
      </c>
      <c r="AF204" s="38"/>
      <c r="AG204" s="38" t="s">
        <v>56</v>
      </c>
      <c r="AH204" s="38" t="s">
        <v>86</v>
      </c>
      <c r="AI204" s="38"/>
      <c r="AJ204" s="38"/>
      <c r="AK204" s="38"/>
      <c r="AL204" s="68"/>
      <c r="AM204" s="66">
        <v>1</v>
      </c>
    </row>
    <row r="205" spans="1:39" s="66" customFormat="1" ht="150" x14ac:dyDescent="0.25">
      <c r="A205" s="14">
        <v>46057</v>
      </c>
      <c r="B205" s="82" t="s">
        <v>1745</v>
      </c>
      <c r="C205" s="82" t="s">
        <v>1746</v>
      </c>
      <c r="D205" s="41"/>
      <c r="E205" s="42" t="s">
        <v>39</v>
      </c>
      <c r="F205" s="19">
        <v>1</v>
      </c>
      <c r="G205" s="43"/>
      <c r="H205" s="43"/>
      <c r="I205" s="72" t="s">
        <v>1747</v>
      </c>
      <c r="J205" s="45">
        <v>15</v>
      </c>
      <c r="K205" s="46" t="s">
        <v>1748</v>
      </c>
      <c r="L205" s="50" t="s">
        <v>63</v>
      </c>
      <c r="M205" s="73" t="s">
        <v>42</v>
      </c>
      <c r="N205" s="77" t="s">
        <v>1749</v>
      </c>
      <c r="O205" s="49" t="s">
        <v>1750</v>
      </c>
      <c r="P205" s="49" t="s">
        <v>1751</v>
      </c>
      <c r="Q205" s="49" t="s">
        <v>1752</v>
      </c>
      <c r="R205" s="50">
        <v>51</v>
      </c>
      <c r="S205" s="50">
        <v>181</v>
      </c>
      <c r="T205" s="51" t="s">
        <v>47</v>
      </c>
      <c r="U205" s="51">
        <v>81</v>
      </c>
      <c r="V205" s="75">
        <f t="shared" si="8"/>
        <v>1215</v>
      </c>
      <c r="W205" s="51" t="s">
        <v>142</v>
      </c>
      <c r="X205" s="30" t="s">
        <v>265</v>
      </c>
      <c r="Y205" s="64" t="s">
        <v>82</v>
      </c>
      <c r="Z205" s="32" t="s">
        <v>51</v>
      </c>
      <c r="AA205" s="33" t="s">
        <v>1068</v>
      </c>
      <c r="AB205" s="65" t="s">
        <v>1069</v>
      </c>
      <c r="AC205" s="35">
        <v>4188</v>
      </c>
      <c r="AE205" s="67" t="s">
        <v>1729</v>
      </c>
      <c r="AF205" s="38"/>
      <c r="AG205" s="38" t="s">
        <v>56</v>
      </c>
      <c r="AH205" s="38" t="s">
        <v>56</v>
      </c>
      <c r="AI205" s="38"/>
      <c r="AJ205" s="38"/>
      <c r="AK205" s="38"/>
      <c r="AL205" s="39" t="s">
        <v>1753</v>
      </c>
      <c r="AM205" s="66">
        <v>1</v>
      </c>
    </row>
    <row r="206" spans="1:39" s="66" customFormat="1" ht="105" x14ac:dyDescent="0.25">
      <c r="A206" s="14">
        <v>46056</v>
      </c>
      <c r="B206" s="95" t="s">
        <v>1754</v>
      </c>
      <c r="C206" s="95" t="s">
        <v>1755</v>
      </c>
      <c r="D206" s="95" t="s">
        <v>1756</v>
      </c>
      <c r="E206" s="96" t="s">
        <v>39</v>
      </c>
      <c r="F206" s="97"/>
      <c r="G206" s="97"/>
      <c r="H206" s="19">
        <v>2</v>
      </c>
      <c r="I206" s="72" t="s">
        <v>1757</v>
      </c>
      <c r="J206" s="98">
        <v>4</v>
      </c>
      <c r="K206" s="99" t="s">
        <v>1758</v>
      </c>
      <c r="L206" s="100" t="s">
        <v>63</v>
      </c>
      <c r="M206" s="100" t="s">
        <v>55</v>
      </c>
      <c r="N206" s="101" t="s">
        <v>1759</v>
      </c>
      <c r="O206" s="102" t="s">
        <v>1760</v>
      </c>
      <c r="P206" s="102" t="s">
        <v>1761</v>
      </c>
      <c r="Q206" s="102" t="s">
        <v>1762</v>
      </c>
      <c r="R206" s="103">
        <v>80</v>
      </c>
      <c r="S206" s="103">
        <v>310</v>
      </c>
      <c r="T206" s="96" t="s">
        <v>47</v>
      </c>
      <c r="U206" s="96">
        <v>11</v>
      </c>
      <c r="V206" s="75">
        <f t="shared" si="8"/>
        <v>44</v>
      </c>
      <c r="W206" s="96" t="s">
        <v>48</v>
      </c>
      <c r="X206" s="30" t="s">
        <v>773</v>
      </c>
      <c r="Y206" s="64" t="s">
        <v>70</v>
      </c>
      <c r="Z206" s="32" t="s">
        <v>51</v>
      </c>
      <c r="AA206" s="33" t="s">
        <v>1763</v>
      </c>
      <c r="AB206" s="65" t="s">
        <v>1764</v>
      </c>
      <c r="AC206" s="35">
        <f>41028*J206/150</f>
        <v>1094.08</v>
      </c>
      <c r="AE206" s="67" t="s">
        <v>1358</v>
      </c>
      <c r="AF206" s="38"/>
      <c r="AG206" s="38" t="s">
        <v>56</v>
      </c>
      <c r="AH206" s="38" t="s">
        <v>86</v>
      </c>
      <c r="AI206" s="38"/>
      <c r="AJ206" s="38" t="s">
        <v>56</v>
      </c>
      <c r="AK206" s="38" t="s">
        <v>74</v>
      </c>
      <c r="AL206" s="68"/>
      <c r="AM206" s="66">
        <v>1</v>
      </c>
    </row>
    <row r="207" spans="1:39" s="66" customFormat="1" ht="104.25" customHeight="1" x14ac:dyDescent="0.25">
      <c r="A207" s="14">
        <v>46056</v>
      </c>
      <c r="B207" s="54" t="s">
        <v>1765</v>
      </c>
      <c r="C207" s="54" t="s">
        <v>1766</v>
      </c>
      <c r="D207" s="54"/>
      <c r="E207" s="56" t="s">
        <v>39</v>
      </c>
      <c r="F207" s="57"/>
      <c r="G207" s="57"/>
      <c r="H207" s="19">
        <v>1</v>
      </c>
      <c r="I207" s="58" t="s">
        <v>1767</v>
      </c>
      <c r="J207" s="59">
        <v>1</v>
      </c>
      <c r="K207" s="60" t="s">
        <v>1768</v>
      </c>
      <c r="L207" s="79" t="s">
        <v>63</v>
      </c>
      <c r="M207" s="61" t="s">
        <v>55</v>
      </c>
      <c r="N207" s="80" t="s">
        <v>1769</v>
      </c>
      <c r="O207" s="62"/>
      <c r="P207" s="62" t="s">
        <v>1750</v>
      </c>
      <c r="Q207" s="62"/>
      <c r="R207" s="61">
        <v>1</v>
      </c>
      <c r="S207" s="61">
        <v>1</v>
      </c>
      <c r="T207" s="56" t="s">
        <v>96</v>
      </c>
      <c r="U207" s="56">
        <v>18</v>
      </c>
      <c r="V207" s="75">
        <f t="shared" si="8"/>
        <v>18</v>
      </c>
      <c r="W207" s="56" t="s">
        <v>48</v>
      </c>
      <c r="X207" s="30" t="s">
        <v>482</v>
      </c>
      <c r="Y207" s="64" t="s">
        <v>50</v>
      </c>
      <c r="Z207" s="32" t="s">
        <v>1634</v>
      </c>
      <c r="AA207" s="33" t="s">
        <v>1068</v>
      </c>
      <c r="AB207" s="65" t="s">
        <v>1069</v>
      </c>
      <c r="AC207" s="35">
        <f>J207/38 * 7212.4</f>
        <v>189.79999999999998</v>
      </c>
      <c r="AE207" s="67" t="s">
        <v>1729</v>
      </c>
      <c r="AF207" s="38"/>
      <c r="AG207" s="38" t="s">
        <v>56</v>
      </c>
      <c r="AH207" s="38" t="s">
        <v>56</v>
      </c>
      <c r="AI207" s="38"/>
      <c r="AJ207" s="38"/>
      <c r="AK207" s="38"/>
      <c r="AL207" s="39" t="s">
        <v>1770</v>
      </c>
      <c r="AM207" s="66">
        <v>4</v>
      </c>
    </row>
    <row r="208" spans="1:39" s="66" customFormat="1" ht="105" x14ac:dyDescent="0.25">
      <c r="A208" s="14">
        <v>46055</v>
      </c>
      <c r="B208" s="95" t="s">
        <v>1754</v>
      </c>
      <c r="C208" s="95" t="s">
        <v>1755</v>
      </c>
      <c r="D208" s="95" t="s">
        <v>1756</v>
      </c>
      <c r="E208" s="96" t="s">
        <v>39</v>
      </c>
      <c r="F208" s="97"/>
      <c r="G208" s="97"/>
      <c r="H208" s="19">
        <v>2</v>
      </c>
      <c r="I208" s="72" t="s">
        <v>1771</v>
      </c>
      <c r="J208" s="98">
        <v>146</v>
      </c>
      <c r="K208" s="99" t="s">
        <v>1772</v>
      </c>
      <c r="L208" s="100" t="s">
        <v>63</v>
      </c>
      <c r="M208" s="100" t="s">
        <v>55</v>
      </c>
      <c r="N208" s="101" t="s">
        <v>1773</v>
      </c>
      <c r="O208" s="102" t="s">
        <v>1760</v>
      </c>
      <c r="P208" s="102" t="s">
        <v>1761</v>
      </c>
      <c r="Q208" s="102" t="s">
        <v>1762</v>
      </c>
      <c r="R208" s="103">
        <v>80</v>
      </c>
      <c r="S208" s="103">
        <v>310</v>
      </c>
      <c r="T208" s="96" t="s">
        <v>47</v>
      </c>
      <c r="U208" s="96">
        <v>11</v>
      </c>
      <c r="V208" s="75">
        <f t="shared" si="8"/>
        <v>1606</v>
      </c>
      <c r="W208" s="96" t="s">
        <v>48</v>
      </c>
      <c r="X208" s="30" t="s">
        <v>773</v>
      </c>
      <c r="Y208" s="64" t="s">
        <v>70</v>
      </c>
      <c r="Z208" s="32" t="s">
        <v>51</v>
      </c>
      <c r="AA208" s="33" t="s">
        <v>1763</v>
      </c>
      <c r="AB208" s="65" t="s">
        <v>1764</v>
      </c>
      <c r="AC208" s="35">
        <f>41028*J208/150</f>
        <v>39933.919999999998</v>
      </c>
      <c r="AE208" s="67" t="s">
        <v>1358</v>
      </c>
      <c r="AF208" s="38"/>
      <c r="AG208" s="38" t="s">
        <v>56</v>
      </c>
      <c r="AH208" s="38" t="s">
        <v>86</v>
      </c>
      <c r="AI208" s="38"/>
      <c r="AJ208" s="38" t="s">
        <v>56</v>
      </c>
      <c r="AK208" s="38" t="s">
        <v>74</v>
      </c>
      <c r="AL208" s="68"/>
      <c r="AM208" s="66">
        <v>1</v>
      </c>
    </row>
    <row r="209" spans="1:39" s="66" customFormat="1" ht="90" x14ac:dyDescent="0.25">
      <c r="A209" s="14">
        <v>46055</v>
      </c>
      <c r="B209" s="95" t="s">
        <v>1774</v>
      </c>
      <c r="C209" s="95" t="s">
        <v>1775</v>
      </c>
      <c r="D209" s="95"/>
      <c r="E209" s="96" t="s">
        <v>39</v>
      </c>
      <c r="F209" s="19">
        <v>1</v>
      </c>
      <c r="G209" s="97"/>
      <c r="H209" s="97"/>
      <c r="I209" s="72" t="s">
        <v>1776</v>
      </c>
      <c r="J209" s="98">
        <v>5</v>
      </c>
      <c r="K209" s="99" t="s">
        <v>1777</v>
      </c>
      <c r="L209" s="103" t="s">
        <v>63</v>
      </c>
      <c r="M209" s="100" t="s">
        <v>55</v>
      </c>
      <c r="N209" s="101" t="s">
        <v>1778</v>
      </c>
      <c r="O209" s="102" t="s">
        <v>1779</v>
      </c>
      <c r="P209" s="105" t="s">
        <v>1669</v>
      </c>
      <c r="Q209" s="102" t="s">
        <v>1780</v>
      </c>
      <c r="R209" s="103">
        <v>31</v>
      </c>
      <c r="S209" s="103">
        <v>130</v>
      </c>
      <c r="T209" s="96" t="s">
        <v>47</v>
      </c>
      <c r="U209" s="96">
        <v>7</v>
      </c>
      <c r="V209" s="104">
        <f t="shared" si="8"/>
        <v>35</v>
      </c>
      <c r="W209" s="96" t="s">
        <v>48</v>
      </c>
      <c r="X209" s="94" t="s">
        <v>232</v>
      </c>
      <c r="Y209" s="64" t="s">
        <v>50</v>
      </c>
      <c r="Z209" s="32"/>
      <c r="AA209" s="33" t="s">
        <v>1717</v>
      </c>
      <c r="AB209" s="65" t="s">
        <v>1781</v>
      </c>
      <c r="AC209" s="35">
        <v>6475</v>
      </c>
      <c r="AE209" s="67" t="s">
        <v>1729</v>
      </c>
      <c r="AF209" s="38"/>
      <c r="AG209" s="38" t="s">
        <v>56</v>
      </c>
      <c r="AH209" s="38" t="s">
        <v>56</v>
      </c>
      <c r="AI209" s="38"/>
      <c r="AJ209" s="38"/>
      <c r="AK209" s="38"/>
      <c r="AL209" s="68"/>
      <c r="AM209" s="66">
        <v>1</v>
      </c>
    </row>
    <row r="210" spans="1:39" s="36" customFormat="1" ht="348.75" x14ac:dyDescent="0.25">
      <c r="A210" s="14">
        <v>46055</v>
      </c>
      <c r="B210" s="41" t="s">
        <v>1782</v>
      </c>
      <c r="C210" s="41" t="s">
        <v>1783</v>
      </c>
      <c r="D210" s="41" t="s">
        <v>1784</v>
      </c>
      <c r="E210" s="42" t="s">
        <v>39</v>
      </c>
      <c r="F210" s="43"/>
      <c r="G210" s="43"/>
      <c r="H210" s="19">
        <v>1</v>
      </c>
      <c r="I210" s="72" t="s">
        <v>1785</v>
      </c>
      <c r="J210" s="45">
        <f>132-66</f>
        <v>66</v>
      </c>
      <c r="K210" s="46" t="s">
        <v>1786</v>
      </c>
      <c r="L210" s="47" t="s">
        <v>63</v>
      </c>
      <c r="M210" s="73" t="s">
        <v>42</v>
      </c>
      <c r="N210" s="77" t="s">
        <v>1787</v>
      </c>
      <c r="O210" s="49" t="s">
        <v>1788</v>
      </c>
      <c r="P210" s="49" t="s">
        <v>1725</v>
      </c>
      <c r="Q210" s="49" t="s">
        <v>95</v>
      </c>
      <c r="R210" s="92">
        <v>156</v>
      </c>
      <c r="S210" s="50">
        <v>856</v>
      </c>
      <c r="T210" s="51" t="s">
        <v>141</v>
      </c>
      <c r="U210" s="51">
        <v>1</v>
      </c>
      <c r="V210" s="52">
        <f t="shared" si="8"/>
        <v>66</v>
      </c>
      <c r="W210" s="51" t="s">
        <v>48</v>
      </c>
      <c r="X210" s="30" t="s">
        <v>482</v>
      </c>
      <c r="Y210" s="31" t="s">
        <v>50</v>
      </c>
      <c r="Z210" s="32" t="s">
        <v>645</v>
      </c>
      <c r="AA210" s="106"/>
      <c r="AB210" s="65" t="s">
        <v>1537</v>
      </c>
      <c r="AC210" s="35">
        <v>18587.580000000002</v>
      </c>
      <c r="AE210" s="67" t="s">
        <v>1729</v>
      </c>
      <c r="AF210" s="38"/>
      <c r="AG210" s="38" t="s">
        <v>56</v>
      </c>
      <c r="AH210" s="38" t="s">
        <v>56</v>
      </c>
      <c r="AI210" s="38"/>
      <c r="AJ210" s="107" t="s">
        <v>1538</v>
      </c>
      <c r="AK210" s="38" t="s">
        <v>1539</v>
      </c>
      <c r="AL210" s="39" t="s">
        <v>1540</v>
      </c>
      <c r="AM210" s="36">
        <v>1</v>
      </c>
    </row>
    <row r="211" spans="1:39" s="36" customFormat="1" ht="172.5" customHeight="1" x14ac:dyDescent="0.25">
      <c r="A211" s="14">
        <v>46052</v>
      </c>
      <c r="B211" s="82" t="s">
        <v>635</v>
      </c>
      <c r="C211" s="82" t="s">
        <v>636</v>
      </c>
      <c r="D211" s="82" t="s">
        <v>637</v>
      </c>
      <c r="E211" s="51" t="s">
        <v>39</v>
      </c>
      <c r="F211" s="19">
        <v>1</v>
      </c>
      <c r="G211" s="108"/>
      <c r="H211" s="108"/>
      <c r="I211" s="109" t="s">
        <v>1789</v>
      </c>
      <c r="J211" s="110">
        <v>200</v>
      </c>
      <c r="K211" s="111" t="s">
        <v>10011</v>
      </c>
      <c r="L211" s="47" t="s">
        <v>63</v>
      </c>
      <c r="M211" s="47" t="s">
        <v>42</v>
      </c>
      <c r="N211" s="77" t="s">
        <v>1790</v>
      </c>
      <c r="O211" s="49" t="s">
        <v>641</v>
      </c>
      <c r="P211" s="49" t="s">
        <v>642</v>
      </c>
      <c r="Q211" s="49" t="s">
        <v>1668</v>
      </c>
      <c r="R211" s="50">
        <v>28</v>
      </c>
      <c r="S211" s="50">
        <v>111</v>
      </c>
      <c r="T211" s="51" t="s">
        <v>549</v>
      </c>
      <c r="U211" s="51">
        <v>1</v>
      </c>
      <c r="V211" s="75">
        <f t="shared" si="8"/>
        <v>200</v>
      </c>
      <c r="W211" s="51" t="s">
        <v>510</v>
      </c>
      <c r="X211" s="93" t="s">
        <v>644</v>
      </c>
      <c r="Y211" s="75" t="s">
        <v>324</v>
      </c>
      <c r="Z211" s="32" t="s">
        <v>645</v>
      </c>
      <c r="AA211" s="33" t="s">
        <v>646</v>
      </c>
      <c r="AB211" s="34" t="s">
        <v>647</v>
      </c>
      <c r="AC211" s="35">
        <f>26973*J211/675</f>
        <v>7992</v>
      </c>
      <c r="AE211" s="67" t="s">
        <v>1791</v>
      </c>
      <c r="AF211" s="38"/>
      <c r="AG211" s="38" t="s">
        <v>56</v>
      </c>
      <c r="AH211" s="38" t="s">
        <v>86</v>
      </c>
      <c r="AI211" s="38"/>
      <c r="AJ211" s="38" t="s">
        <v>56</v>
      </c>
      <c r="AK211" s="68" t="s">
        <v>74</v>
      </c>
      <c r="AL211" s="78" t="s">
        <v>648</v>
      </c>
      <c r="AM211" s="40">
        <v>1</v>
      </c>
    </row>
    <row r="212" spans="1:39" s="66" customFormat="1" ht="120" x14ac:dyDescent="0.25">
      <c r="A212" s="14">
        <v>46052</v>
      </c>
      <c r="B212" s="54" t="s">
        <v>1765</v>
      </c>
      <c r="C212" s="54" t="s">
        <v>1766</v>
      </c>
      <c r="D212" s="54"/>
      <c r="E212" s="56" t="s">
        <v>39</v>
      </c>
      <c r="F212" s="57"/>
      <c r="G212" s="57"/>
      <c r="H212" s="19">
        <v>1</v>
      </c>
      <c r="I212" s="58" t="s">
        <v>1792</v>
      </c>
      <c r="J212" s="59">
        <v>37</v>
      </c>
      <c r="K212" s="60" t="s">
        <v>1793</v>
      </c>
      <c r="L212" s="79" t="s">
        <v>63</v>
      </c>
      <c r="M212" s="61" t="s">
        <v>55</v>
      </c>
      <c r="N212" s="80" t="s">
        <v>1794</v>
      </c>
      <c r="O212" s="62"/>
      <c r="P212" s="62" t="s">
        <v>1750</v>
      </c>
      <c r="Q212" s="62"/>
      <c r="R212" s="61">
        <v>1</v>
      </c>
      <c r="S212" s="61">
        <v>1</v>
      </c>
      <c r="T212" s="56" t="s">
        <v>96</v>
      </c>
      <c r="U212" s="56">
        <v>18</v>
      </c>
      <c r="V212" s="75">
        <f t="shared" si="8"/>
        <v>666</v>
      </c>
      <c r="W212" s="56" t="s">
        <v>48</v>
      </c>
      <c r="X212" s="30" t="s">
        <v>482</v>
      </c>
      <c r="Y212" s="64" t="s">
        <v>50</v>
      </c>
      <c r="Z212" s="32" t="s">
        <v>1634</v>
      </c>
      <c r="AA212" s="33" t="s">
        <v>1068</v>
      </c>
      <c r="AB212" s="65" t="s">
        <v>1069</v>
      </c>
      <c r="AC212" s="35">
        <f>J212/38 * 7212.4 + 150 + 1500 +750</f>
        <v>9422.5999999999985</v>
      </c>
      <c r="AE212" s="67" t="s">
        <v>1729</v>
      </c>
      <c r="AF212" s="38"/>
      <c r="AG212" s="38" t="s">
        <v>56</v>
      </c>
      <c r="AH212" s="38" t="s">
        <v>56</v>
      </c>
      <c r="AI212" s="38"/>
      <c r="AJ212" s="38"/>
      <c r="AK212" s="38"/>
      <c r="AL212" s="39" t="s">
        <v>1770</v>
      </c>
      <c r="AM212" s="66">
        <v>4</v>
      </c>
    </row>
    <row r="213" spans="1:39" s="66" customFormat="1" ht="90" x14ac:dyDescent="0.25">
      <c r="A213" s="14">
        <v>46052</v>
      </c>
      <c r="B213" s="15" t="s">
        <v>1795</v>
      </c>
      <c r="C213" s="15" t="s">
        <v>1796</v>
      </c>
      <c r="D213" s="15"/>
      <c r="E213" s="17" t="s">
        <v>195</v>
      </c>
      <c r="F213" s="18"/>
      <c r="G213" s="18"/>
      <c r="H213" s="18"/>
      <c r="I213" s="58" t="s">
        <v>1797</v>
      </c>
      <c r="J213" s="21">
        <v>38</v>
      </c>
      <c r="K213" s="112" t="s">
        <v>1798</v>
      </c>
      <c r="L213" s="23" t="s">
        <v>42</v>
      </c>
      <c r="M213" s="17" t="s">
        <v>55</v>
      </c>
      <c r="N213" s="80" t="s">
        <v>1799</v>
      </c>
      <c r="O213" s="26"/>
      <c r="P213" s="26"/>
      <c r="Q213" s="26"/>
      <c r="R213" s="28">
        <v>0</v>
      </c>
      <c r="S213" s="28">
        <v>0</v>
      </c>
      <c r="T213" s="17">
        <v>0</v>
      </c>
      <c r="U213" s="17">
        <v>18</v>
      </c>
      <c r="V213" s="29">
        <f t="shared" si="8"/>
        <v>684</v>
      </c>
      <c r="W213" s="17" t="s">
        <v>48</v>
      </c>
      <c r="X213" s="30" t="s">
        <v>482</v>
      </c>
      <c r="Y213" s="64" t="s">
        <v>50</v>
      </c>
      <c r="Z213" s="32" t="s">
        <v>51</v>
      </c>
      <c r="AA213" s="33" t="s">
        <v>1068</v>
      </c>
      <c r="AB213" s="65"/>
      <c r="AC213" s="35">
        <v>6232.8</v>
      </c>
      <c r="AE213" s="67" t="s">
        <v>1729</v>
      </c>
      <c r="AF213" s="38"/>
      <c r="AG213" s="38"/>
      <c r="AH213" s="38"/>
      <c r="AI213" s="38"/>
      <c r="AJ213" s="38"/>
      <c r="AK213" s="38"/>
      <c r="AL213" s="68"/>
    </row>
    <row r="214" spans="1:39" s="66" customFormat="1" ht="135" x14ac:dyDescent="0.25">
      <c r="A214" s="14">
        <v>46052</v>
      </c>
      <c r="B214" s="15" t="s">
        <v>1795</v>
      </c>
      <c r="C214" s="15" t="s">
        <v>1800</v>
      </c>
      <c r="D214" s="15"/>
      <c r="E214" s="17" t="s">
        <v>55</v>
      </c>
      <c r="F214" s="18"/>
      <c r="G214" s="18"/>
      <c r="H214" s="18"/>
      <c r="I214" s="58" t="s">
        <v>1801</v>
      </c>
      <c r="J214" s="21">
        <v>38</v>
      </c>
      <c r="K214" s="112" t="s">
        <v>1802</v>
      </c>
      <c r="L214" s="23" t="s">
        <v>42</v>
      </c>
      <c r="M214" s="17" t="s">
        <v>55</v>
      </c>
      <c r="N214" s="80" t="s">
        <v>1803</v>
      </c>
      <c r="O214" s="26"/>
      <c r="P214" s="26"/>
      <c r="Q214" s="26"/>
      <c r="R214" s="28">
        <v>0</v>
      </c>
      <c r="S214" s="28">
        <v>0</v>
      </c>
      <c r="T214" s="17">
        <v>0</v>
      </c>
      <c r="U214" s="17">
        <v>18</v>
      </c>
      <c r="V214" s="29">
        <f t="shared" si="8"/>
        <v>684</v>
      </c>
      <c r="W214" s="17" t="s">
        <v>48</v>
      </c>
      <c r="X214" s="30" t="s">
        <v>482</v>
      </c>
      <c r="Y214" s="64" t="s">
        <v>50</v>
      </c>
      <c r="Z214" s="113"/>
      <c r="AA214" s="33" t="s">
        <v>1068</v>
      </c>
      <c r="AB214" s="65" t="s">
        <v>1069</v>
      </c>
      <c r="AC214" s="35">
        <v>6232.8</v>
      </c>
      <c r="AE214" s="67" t="s">
        <v>1729</v>
      </c>
      <c r="AF214" s="38"/>
      <c r="AG214" s="38" t="s">
        <v>56</v>
      </c>
      <c r="AH214" s="38" t="s">
        <v>56</v>
      </c>
      <c r="AI214" s="38"/>
      <c r="AJ214" s="38"/>
      <c r="AK214" s="38"/>
      <c r="AL214" s="78" t="s">
        <v>1071</v>
      </c>
    </row>
    <row r="215" spans="1:39" s="36" customFormat="1" ht="75.75" customHeight="1" x14ac:dyDescent="0.25">
      <c r="A215" s="14">
        <v>46052</v>
      </c>
      <c r="B215" s="41" t="s">
        <v>1804</v>
      </c>
      <c r="C215" s="82" t="s">
        <v>1805</v>
      </c>
      <c r="D215" s="41" t="s">
        <v>1806</v>
      </c>
      <c r="E215" s="42" t="s">
        <v>39</v>
      </c>
      <c r="F215" s="19">
        <v>1</v>
      </c>
      <c r="G215" s="43"/>
      <c r="H215" s="43"/>
      <c r="I215" s="72" t="s">
        <v>1807</v>
      </c>
      <c r="J215" s="45">
        <v>55</v>
      </c>
      <c r="K215" s="46" t="s">
        <v>1808</v>
      </c>
      <c r="L215" s="47" t="s">
        <v>41</v>
      </c>
      <c r="M215" s="73" t="s">
        <v>42</v>
      </c>
      <c r="N215" s="77" t="s">
        <v>1809</v>
      </c>
      <c r="O215" s="49" t="s">
        <v>1810</v>
      </c>
      <c r="P215" s="49" t="s">
        <v>1811</v>
      </c>
      <c r="Q215" s="49" t="s">
        <v>1278</v>
      </c>
      <c r="R215" s="50">
        <v>64</v>
      </c>
      <c r="S215" s="50">
        <v>163</v>
      </c>
      <c r="T215" s="51"/>
      <c r="U215" s="51">
        <v>19</v>
      </c>
      <c r="V215" s="75">
        <f t="shared" si="8"/>
        <v>1045</v>
      </c>
      <c r="W215" s="51" t="s">
        <v>97</v>
      </c>
      <c r="X215" s="30" t="s">
        <v>98</v>
      </c>
      <c r="Y215" s="31" t="s">
        <v>99</v>
      </c>
      <c r="Z215" s="32" t="s">
        <v>51</v>
      </c>
      <c r="AA215" s="33" t="s">
        <v>1717</v>
      </c>
      <c r="AB215" s="65" t="s">
        <v>1812</v>
      </c>
      <c r="AC215" s="35">
        <v>7474.5</v>
      </c>
      <c r="AE215" s="67" t="s">
        <v>1729</v>
      </c>
      <c r="AF215" s="38"/>
      <c r="AG215" s="38" t="s">
        <v>56</v>
      </c>
      <c r="AH215" s="38" t="s">
        <v>56</v>
      </c>
      <c r="AI215" s="38"/>
      <c r="AJ215" s="38" t="s">
        <v>56</v>
      </c>
      <c r="AK215" s="38" t="s">
        <v>74</v>
      </c>
      <c r="AL215" s="38"/>
      <c r="AM215" s="36">
        <v>1</v>
      </c>
    </row>
    <row r="216" spans="1:39" s="66" customFormat="1" ht="202.5" customHeight="1" x14ac:dyDescent="0.25">
      <c r="A216" s="14">
        <v>46052</v>
      </c>
      <c r="B216" s="41" t="s">
        <v>1813</v>
      </c>
      <c r="C216" s="41" t="s">
        <v>1814</v>
      </c>
      <c r="D216" s="41" t="s">
        <v>1815</v>
      </c>
      <c r="E216" s="42" t="s">
        <v>39</v>
      </c>
      <c r="F216" s="43"/>
      <c r="G216" s="43"/>
      <c r="H216" s="19">
        <v>1</v>
      </c>
      <c r="I216" s="58" t="s">
        <v>1816</v>
      </c>
      <c r="J216" s="45">
        <v>3</v>
      </c>
      <c r="K216" s="46" t="s">
        <v>1817</v>
      </c>
      <c r="L216" s="47" t="s">
        <v>63</v>
      </c>
      <c r="M216" s="73" t="s">
        <v>42</v>
      </c>
      <c r="N216" s="77" t="s">
        <v>1818</v>
      </c>
      <c r="O216" s="49" t="s">
        <v>1819</v>
      </c>
      <c r="P216" s="49" t="s">
        <v>1820</v>
      </c>
      <c r="Q216" s="49" t="s">
        <v>1821</v>
      </c>
      <c r="R216" s="50">
        <v>135</v>
      </c>
      <c r="S216" s="92">
        <v>1375</v>
      </c>
      <c r="T216" s="51" t="s">
        <v>141</v>
      </c>
      <c r="U216" s="51">
        <v>13</v>
      </c>
      <c r="V216" s="52">
        <f t="shared" si="8"/>
        <v>39</v>
      </c>
      <c r="W216" s="51" t="s">
        <v>510</v>
      </c>
      <c r="X216" s="30" t="s">
        <v>1337</v>
      </c>
      <c r="Y216" s="64" t="s">
        <v>324</v>
      </c>
      <c r="Z216" s="32" t="s">
        <v>51</v>
      </c>
      <c r="AA216" s="33" t="s">
        <v>484</v>
      </c>
      <c r="AB216" s="65" t="s">
        <v>1822</v>
      </c>
      <c r="AC216" s="35">
        <f>7305.75+1080</f>
        <v>8385.75</v>
      </c>
      <c r="AE216" s="67" t="s">
        <v>1729</v>
      </c>
      <c r="AF216" s="38"/>
      <c r="AG216" s="38" t="s">
        <v>56</v>
      </c>
      <c r="AH216" s="38" t="s">
        <v>56</v>
      </c>
      <c r="AI216" s="38"/>
      <c r="AJ216" s="38"/>
      <c r="AK216" s="38"/>
      <c r="AL216" s="68"/>
      <c r="AM216" s="66">
        <v>1</v>
      </c>
    </row>
    <row r="217" spans="1:39" s="66" customFormat="1" ht="375" x14ac:dyDescent="0.25">
      <c r="A217" s="14">
        <v>46052</v>
      </c>
      <c r="B217" s="82" t="s">
        <v>1823</v>
      </c>
      <c r="C217" s="82" t="s">
        <v>1824</v>
      </c>
      <c r="D217" s="41" t="s">
        <v>1825</v>
      </c>
      <c r="E217" s="42" t="s">
        <v>39</v>
      </c>
      <c r="F217" s="43"/>
      <c r="G217" s="43"/>
      <c r="H217" s="19">
        <v>1</v>
      </c>
      <c r="I217" s="72" t="s">
        <v>1826</v>
      </c>
      <c r="J217" s="45">
        <v>5</v>
      </c>
      <c r="K217" s="46" t="s">
        <v>1827</v>
      </c>
      <c r="L217" s="50" t="s">
        <v>63</v>
      </c>
      <c r="M217" s="73" t="s">
        <v>42</v>
      </c>
      <c r="N217" s="77" t="s">
        <v>1828</v>
      </c>
      <c r="O217" s="49" t="s">
        <v>1829</v>
      </c>
      <c r="P217" s="49" t="s">
        <v>1821</v>
      </c>
      <c r="Q217" s="49" t="s">
        <v>1760</v>
      </c>
      <c r="R217" s="50">
        <v>35</v>
      </c>
      <c r="S217" s="50">
        <v>528</v>
      </c>
      <c r="T217" s="51" t="s">
        <v>47</v>
      </c>
      <c r="U217" s="51">
        <v>3</v>
      </c>
      <c r="V217" s="52">
        <f t="shared" si="8"/>
        <v>15</v>
      </c>
      <c r="W217" s="51" t="s">
        <v>221</v>
      </c>
      <c r="X217" s="93" t="s">
        <v>1524</v>
      </c>
      <c r="Y217" s="64" t="s">
        <v>144</v>
      </c>
      <c r="Z217" s="32" t="s">
        <v>645</v>
      </c>
      <c r="AA217" s="33" t="s">
        <v>83</v>
      </c>
      <c r="AB217" s="65" t="s">
        <v>1830</v>
      </c>
      <c r="AC217" s="35">
        <v>741.5</v>
      </c>
      <c r="AE217" s="67" t="s">
        <v>1729</v>
      </c>
      <c r="AF217" s="38"/>
      <c r="AG217" s="38" t="s">
        <v>56</v>
      </c>
      <c r="AH217" s="38" t="s">
        <v>86</v>
      </c>
      <c r="AI217" s="38"/>
      <c r="AJ217" s="107" t="s">
        <v>1538</v>
      </c>
      <c r="AK217" s="38" t="s">
        <v>1539</v>
      </c>
      <c r="AL217" s="78" t="s">
        <v>1831</v>
      </c>
      <c r="AM217" s="66">
        <v>1</v>
      </c>
    </row>
    <row r="218" spans="1:39" s="66" customFormat="1" ht="120" x14ac:dyDescent="0.25">
      <c r="A218" s="14">
        <v>46052</v>
      </c>
      <c r="B218" s="41" t="s">
        <v>1832</v>
      </c>
      <c r="C218" s="82" t="s">
        <v>1833</v>
      </c>
      <c r="D218" s="41"/>
      <c r="E218" s="42" t="s">
        <v>39</v>
      </c>
      <c r="F218" s="19">
        <v>1</v>
      </c>
      <c r="G218" s="43"/>
      <c r="H218" s="43"/>
      <c r="I218" s="72" t="s">
        <v>1834</v>
      </c>
      <c r="J218" s="45">
        <v>11</v>
      </c>
      <c r="K218" s="46" t="s">
        <v>1835</v>
      </c>
      <c r="L218" s="47" t="s">
        <v>63</v>
      </c>
      <c r="M218" s="73" t="s">
        <v>42</v>
      </c>
      <c r="N218" s="77" t="s">
        <v>1836</v>
      </c>
      <c r="O218" s="49" t="s">
        <v>1837</v>
      </c>
      <c r="P218" s="49" t="s">
        <v>1838</v>
      </c>
      <c r="Q218" s="49" t="s">
        <v>1839</v>
      </c>
      <c r="R218" s="50">
        <v>40</v>
      </c>
      <c r="S218" s="50">
        <v>308</v>
      </c>
      <c r="T218" s="51" t="s">
        <v>47</v>
      </c>
      <c r="U218" s="51">
        <v>16</v>
      </c>
      <c r="V218" s="52">
        <f t="shared" si="8"/>
        <v>176</v>
      </c>
      <c r="W218" s="51" t="s">
        <v>48</v>
      </c>
      <c r="X218" s="30" t="s">
        <v>1840</v>
      </c>
      <c r="Y218" s="64" t="s">
        <v>82</v>
      </c>
      <c r="Z218" s="32" t="s">
        <v>645</v>
      </c>
      <c r="AA218" s="33" t="s">
        <v>100</v>
      </c>
      <c r="AB218" s="65" t="s">
        <v>1841</v>
      </c>
      <c r="AC218" s="35">
        <v>2853.51</v>
      </c>
      <c r="AE218" s="67" t="s">
        <v>1729</v>
      </c>
      <c r="AF218" s="38"/>
      <c r="AG218" s="38" t="s">
        <v>56</v>
      </c>
      <c r="AH218" s="38" t="s">
        <v>56</v>
      </c>
      <c r="AI218" s="38"/>
      <c r="AJ218" s="38" t="s">
        <v>56</v>
      </c>
      <c r="AK218" s="38" t="s">
        <v>1539</v>
      </c>
      <c r="AL218" s="68"/>
      <c r="AM218" s="66">
        <v>4</v>
      </c>
    </row>
    <row r="219" spans="1:39" s="66" customFormat="1" ht="69.75" customHeight="1" x14ac:dyDescent="0.25">
      <c r="A219" s="14">
        <v>46051</v>
      </c>
      <c r="B219" s="54" t="s">
        <v>1842</v>
      </c>
      <c r="C219" s="54" t="s">
        <v>1843</v>
      </c>
      <c r="D219" s="54"/>
      <c r="E219" s="56" t="s">
        <v>39</v>
      </c>
      <c r="F219" s="57"/>
      <c r="G219" s="57"/>
      <c r="H219" s="19">
        <v>1</v>
      </c>
      <c r="I219" s="58" t="s">
        <v>1844</v>
      </c>
      <c r="J219" s="59">
        <v>38</v>
      </c>
      <c r="K219" s="60" t="s">
        <v>1845</v>
      </c>
      <c r="L219" s="79" t="s">
        <v>63</v>
      </c>
      <c r="M219" s="61" t="s">
        <v>55</v>
      </c>
      <c r="N219" s="80" t="s">
        <v>1846</v>
      </c>
      <c r="O219" s="62" t="s">
        <v>1847</v>
      </c>
      <c r="P219" s="62" t="s">
        <v>1848</v>
      </c>
      <c r="Q219" s="62" t="s">
        <v>1849</v>
      </c>
      <c r="R219" s="61">
        <v>2</v>
      </c>
      <c r="S219" s="61">
        <v>2</v>
      </c>
      <c r="T219" s="56" t="s">
        <v>47</v>
      </c>
      <c r="U219" s="56">
        <v>0</v>
      </c>
      <c r="V219" s="63">
        <f t="shared" si="8"/>
        <v>0</v>
      </c>
      <c r="W219" s="56" t="s">
        <v>48</v>
      </c>
      <c r="X219" s="30" t="s">
        <v>482</v>
      </c>
      <c r="Y219" s="64" t="s">
        <v>50</v>
      </c>
      <c r="Z219" s="32" t="s">
        <v>1634</v>
      </c>
      <c r="AA219" s="33" t="s">
        <v>1850</v>
      </c>
      <c r="AB219" s="65" t="s">
        <v>1851</v>
      </c>
      <c r="AC219" s="35">
        <v>8290</v>
      </c>
      <c r="AE219" s="67" t="s">
        <v>1729</v>
      </c>
      <c r="AF219" s="38"/>
      <c r="AG219" s="38" t="s">
        <v>56</v>
      </c>
      <c r="AH219" s="38" t="s">
        <v>56</v>
      </c>
      <c r="AI219" s="38"/>
      <c r="AJ219" s="38"/>
      <c r="AK219" s="38"/>
      <c r="AL219" s="39" t="s">
        <v>1852</v>
      </c>
      <c r="AM219" s="66">
        <v>10</v>
      </c>
    </row>
    <row r="220" spans="1:39" s="36" customFormat="1" ht="70.5" customHeight="1" x14ac:dyDescent="0.25">
      <c r="A220" s="14">
        <v>46050</v>
      </c>
      <c r="B220" s="41" t="s">
        <v>1853</v>
      </c>
      <c r="C220" s="41" t="s">
        <v>1854</v>
      </c>
      <c r="D220" s="41" t="s">
        <v>1855</v>
      </c>
      <c r="E220" s="42" t="s">
        <v>39</v>
      </c>
      <c r="F220" s="19">
        <v>1</v>
      </c>
      <c r="G220" s="43"/>
      <c r="H220" s="43"/>
      <c r="I220" s="114" t="s">
        <v>1856</v>
      </c>
      <c r="J220" s="45">
        <f>254-87-103</f>
        <v>64</v>
      </c>
      <c r="K220" s="46" t="s">
        <v>1857</v>
      </c>
      <c r="L220" s="47" t="s">
        <v>63</v>
      </c>
      <c r="M220" s="73" t="s">
        <v>42</v>
      </c>
      <c r="N220" s="77" t="s">
        <v>1858</v>
      </c>
      <c r="O220" s="49" t="s">
        <v>1859</v>
      </c>
      <c r="P220" s="49" t="s">
        <v>1860</v>
      </c>
      <c r="Q220" s="49" t="s">
        <v>1861</v>
      </c>
      <c r="R220" s="50">
        <v>53</v>
      </c>
      <c r="S220" s="50">
        <v>189</v>
      </c>
      <c r="T220" s="51" t="s">
        <v>47</v>
      </c>
      <c r="U220" s="51">
        <v>61</v>
      </c>
      <c r="V220" s="75">
        <f t="shared" si="8"/>
        <v>3904</v>
      </c>
      <c r="W220" s="51" t="s">
        <v>221</v>
      </c>
      <c r="X220" s="30" t="s">
        <v>1234</v>
      </c>
      <c r="Y220" s="31" t="s">
        <v>1862</v>
      </c>
      <c r="Z220" s="32"/>
      <c r="AA220" s="33" t="s">
        <v>1863</v>
      </c>
      <c r="AB220" s="34" t="s">
        <v>1864</v>
      </c>
      <c r="AC220" s="35">
        <f>(25021.54 * J220/254) + 350</f>
        <v>6654.64</v>
      </c>
      <c r="AE220" s="67" t="s">
        <v>1358</v>
      </c>
      <c r="AF220" s="38" t="s">
        <v>354</v>
      </c>
      <c r="AG220" s="38" t="s">
        <v>56</v>
      </c>
      <c r="AH220" s="38" t="s">
        <v>56</v>
      </c>
      <c r="AI220" s="38"/>
      <c r="AJ220" s="38"/>
      <c r="AK220" s="38"/>
      <c r="AL220" s="78" t="s">
        <v>1865</v>
      </c>
      <c r="AM220" s="36">
        <v>1</v>
      </c>
    </row>
    <row r="221" spans="1:39" s="36" customFormat="1" ht="49.5" customHeight="1" x14ac:dyDescent="0.25">
      <c r="A221" s="14">
        <v>46050</v>
      </c>
      <c r="B221" s="82" t="s">
        <v>1866</v>
      </c>
      <c r="C221" s="82" t="s">
        <v>1867</v>
      </c>
      <c r="D221" s="41" t="s">
        <v>1868</v>
      </c>
      <c r="E221" s="42" t="s">
        <v>39</v>
      </c>
      <c r="F221" s="19">
        <v>1</v>
      </c>
      <c r="G221" s="43"/>
      <c r="H221" s="19">
        <v>1</v>
      </c>
      <c r="I221" s="115" t="s">
        <v>1869</v>
      </c>
      <c r="J221" s="45">
        <v>12</v>
      </c>
      <c r="K221" s="46" t="s">
        <v>1870</v>
      </c>
      <c r="L221" s="47" t="s">
        <v>63</v>
      </c>
      <c r="M221" s="47" t="s">
        <v>42</v>
      </c>
      <c r="N221" s="77" t="s">
        <v>240</v>
      </c>
      <c r="O221" s="49" t="s">
        <v>1871</v>
      </c>
      <c r="P221" s="49" t="s">
        <v>1872</v>
      </c>
      <c r="Q221" s="49" t="s">
        <v>1811</v>
      </c>
      <c r="R221" s="50">
        <v>76</v>
      </c>
      <c r="S221" s="50">
        <v>262</v>
      </c>
      <c r="T221" s="51" t="s">
        <v>47</v>
      </c>
      <c r="U221" s="51">
        <v>3</v>
      </c>
      <c r="V221" s="52">
        <f t="shared" si="8"/>
        <v>36</v>
      </c>
      <c r="W221" s="51" t="s">
        <v>350</v>
      </c>
      <c r="X221" s="30" t="s">
        <v>1873</v>
      </c>
      <c r="Y221" s="31" t="s">
        <v>99</v>
      </c>
      <c r="Z221" s="32" t="s">
        <v>483</v>
      </c>
      <c r="AA221" s="33" t="s">
        <v>1701</v>
      </c>
      <c r="AB221" s="116" t="s">
        <v>1702</v>
      </c>
      <c r="AC221" s="35">
        <f>4885.8*J221/12</f>
        <v>4885.8</v>
      </c>
      <c r="AE221" s="67" t="s">
        <v>1358</v>
      </c>
      <c r="AF221" s="38" t="s">
        <v>1874</v>
      </c>
      <c r="AG221" s="38" t="s">
        <v>56</v>
      </c>
      <c r="AH221" s="38" t="s">
        <v>56</v>
      </c>
      <c r="AI221" s="38"/>
      <c r="AJ221" s="38" t="s">
        <v>56</v>
      </c>
      <c r="AK221" s="38" t="s">
        <v>74</v>
      </c>
      <c r="AL221" s="38"/>
      <c r="AM221" s="36">
        <v>2</v>
      </c>
    </row>
    <row r="222" spans="1:39" s="36" customFormat="1" ht="150" x14ac:dyDescent="0.25">
      <c r="A222" s="14">
        <v>46049</v>
      </c>
      <c r="B222" s="54" t="s">
        <v>1875</v>
      </c>
      <c r="C222" s="54" t="s">
        <v>1843</v>
      </c>
      <c r="D222" s="54" t="s">
        <v>1876</v>
      </c>
      <c r="E222" s="56" t="s">
        <v>195</v>
      </c>
      <c r="F222" s="57"/>
      <c r="G222" s="57"/>
      <c r="H222" s="19" t="s">
        <v>1877</v>
      </c>
      <c r="I222" s="72" t="s">
        <v>1878</v>
      </c>
      <c r="J222" s="59">
        <v>38</v>
      </c>
      <c r="K222" s="117" t="s">
        <v>1879</v>
      </c>
      <c r="L222" s="79" t="s">
        <v>63</v>
      </c>
      <c r="M222" s="61" t="s">
        <v>55</v>
      </c>
      <c r="N222" s="80" t="s">
        <v>1880</v>
      </c>
      <c r="O222" s="62"/>
      <c r="P222" s="62"/>
      <c r="Q222" s="62" t="s">
        <v>1608</v>
      </c>
      <c r="R222" s="61">
        <v>2</v>
      </c>
      <c r="S222" s="61">
        <v>2</v>
      </c>
      <c r="T222" s="56" t="s">
        <v>47</v>
      </c>
      <c r="U222" s="56">
        <v>0</v>
      </c>
      <c r="V222" s="63">
        <f t="shared" si="8"/>
        <v>0</v>
      </c>
      <c r="W222" s="56" t="s">
        <v>48</v>
      </c>
      <c r="X222" s="30" t="s">
        <v>482</v>
      </c>
      <c r="Y222" s="31" t="s">
        <v>50</v>
      </c>
      <c r="Z222" s="53" t="s">
        <v>1634</v>
      </c>
      <c r="AA222" s="33" t="s">
        <v>1850</v>
      </c>
      <c r="AB222" s="65" t="s">
        <v>1851</v>
      </c>
      <c r="AC222" s="35">
        <v>9506</v>
      </c>
      <c r="AE222" s="67" t="s">
        <v>148</v>
      </c>
      <c r="AF222" s="38"/>
      <c r="AG222" s="38" t="s">
        <v>56</v>
      </c>
      <c r="AH222" s="38" t="s">
        <v>56</v>
      </c>
      <c r="AI222" s="38"/>
      <c r="AJ222" s="38"/>
      <c r="AK222" s="38"/>
      <c r="AL222" s="78" t="s">
        <v>1852</v>
      </c>
    </row>
    <row r="223" spans="1:39" s="36" customFormat="1" ht="150" x14ac:dyDescent="0.25">
      <c r="A223" s="14">
        <v>46049</v>
      </c>
      <c r="B223" s="54" t="s">
        <v>1881</v>
      </c>
      <c r="C223" s="54" t="s">
        <v>1882</v>
      </c>
      <c r="D223" s="54" t="s">
        <v>1876</v>
      </c>
      <c r="E223" s="56" t="s">
        <v>195</v>
      </c>
      <c r="F223" s="57"/>
      <c r="G223" s="57"/>
      <c r="H223" s="19" t="s">
        <v>1877</v>
      </c>
      <c r="I223" s="72" t="s">
        <v>1883</v>
      </c>
      <c r="J223" s="59">
        <v>75</v>
      </c>
      <c r="K223" s="117" t="s">
        <v>1879</v>
      </c>
      <c r="L223" s="79" t="s">
        <v>63</v>
      </c>
      <c r="M223" s="61" t="s">
        <v>55</v>
      </c>
      <c r="N223" s="80" t="s">
        <v>1884</v>
      </c>
      <c r="O223" s="62"/>
      <c r="P223" s="62"/>
      <c r="Q223" s="62" t="s">
        <v>1608</v>
      </c>
      <c r="R223" s="61">
        <v>2</v>
      </c>
      <c r="S223" s="61">
        <v>4</v>
      </c>
      <c r="T223" s="56" t="s">
        <v>96</v>
      </c>
      <c r="U223" s="56">
        <v>0</v>
      </c>
      <c r="V223" s="63">
        <f t="shared" si="8"/>
        <v>0</v>
      </c>
      <c r="W223" s="56" t="s">
        <v>48</v>
      </c>
      <c r="X223" s="30" t="s">
        <v>482</v>
      </c>
      <c r="Y223" s="31" t="s">
        <v>50</v>
      </c>
      <c r="Z223" s="53" t="s">
        <v>1634</v>
      </c>
      <c r="AA223" s="33" t="s">
        <v>1850</v>
      </c>
      <c r="AB223" s="65" t="s">
        <v>1069</v>
      </c>
      <c r="AC223" s="35">
        <v>9075</v>
      </c>
      <c r="AE223" s="67" t="s">
        <v>148</v>
      </c>
      <c r="AF223" s="38"/>
      <c r="AG223" s="38" t="s">
        <v>56</v>
      </c>
      <c r="AH223" s="38" t="s">
        <v>56</v>
      </c>
      <c r="AI223" s="38"/>
      <c r="AJ223" s="38"/>
      <c r="AK223" s="38"/>
      <c r="AL223" s="39" t="s">
        <v>1852</v>
      </c>
    </row>
    <row r="224" spans="1:39" s="36" customFormat="1" ht="150" x14ac:dyDescent="0.25">
      <c r="A224" s="14">
        <v>46049</v>
      </c>
      <c r="B224" s="54" t="s">
        <v>1881</v>
      </c>
      <c r="C224" s="54" t="s">
        <v>1882</v>
      </c>
      <c r="D224" s="54" t="s">
        <v>1876</v>
      </c>
      <c r="E224" s="56" t="s">
        <v>195</v>
      </c>
      <c r="F224" s="57"/>
      <c r="G224" s="57"/>
      <c r="H224" s="19" t="s">
        <v>1877</v>
      </c>
      <c r="I224" s="72" t="s">
        <v>1885</v>
      </c>
      <c r="J224" s="59">
        <v>38</v>
      </c>
      <c r="K224" s="117" t="s">
        <v>1879</v>
      </c>
      <c r="L224" s="79" t="s">
        <v>63</v>
      </c>
      <c r="M224" s="61" t="s">
        <v>55</v>
      </c>
      <c r="N224" s="80" t="s">
        <v>1886</v>
      </c>
      <c r="O224" s="62"/>
      <c r="P224" s="62"/>
      <c r="Q224" s="62" t="s">
        <v>1608</v>
      </c>
      <c r="R224" s="61">
        <v>2</v>
      </c>
      <c r="S224" s="61">
        <v>5</v>
      </c>
      <c r="T224" s="56" t="s">
        <v>47</v>
      </c>
      <c r="U224" s="56">
        <v>0</v>
      </c>
      <c r="V224" s="63">
        <f t="shared" si="8"/>
        <v>0</v>
      </c>
      <c r="W224" s="56" t="s">
        <v>48</v>
      </c>
      <c r="X224" s="30" t="s">
        <v>482</v>
      </c>
      <c r="Y224" s="31" t="s">
        <v>50</v>
      </c>
      <c r="Z224" s="53" t="s">
        <v>1634</v>
      </c>
      <c r="AA224" s="33" t="s">
        <v>1850</v>
      </c>
      <c r="AB224" s="65" t="s">
        <v>1069</v>
      </c>
      <c r="AC224" s="35">
        <v>8670</v>
      </c>
      <c r="AE224" s="67" t="s">
        <v>148</v>
      </c>
      <c r="AF224" s="38"/>
      <c r="AG224" s="38" t="s">
        <v>56</v>
      </c>
      <c r="AH224" s="38" t="s">
        <v>56</v>
      </c>
      <c r="AI224" s="38"/>
      <c r="AJ224" s="38"/>
      <c r="AK224" s="38"/>
      <c r="AL224" s="39" t="s">
        <v>1852</v>
      </c>
    </row>
    <row r="225" spans="1:39" s="36" customFormat="1" ht="150" x14ac:dyDescent="0.25">
      <c r="A225" s="14">
        <v>46049</v>
      </c>
      <c r="B225" s="54" t="s">
        <v>1881</v>
      </c>
      <c r="C225" s="54" t="s">
        <v>1887</v>
      </c>
      <c r="D225" s="54" t="s">
        <v>1876</v>
      </c>
      <c r="E225" s="56" t="s">
        <v>195</v>
      </c>
      <c r="F225" s="57"/>
      <c r="G225" s="57"/>
      <c r="H225" s="19" t="s">
        <v>1877</v>
      </c>
      <c r="I225" s="72" t="s">
        <v>1888</v>
      </c>
      <c r="J225" s="59">
        <v>38</v>
      </c>
      <c r="K225" s="117" t="s">
        <v>1879</v>
      </c>
      <c r="L225" s="79" t="s">
        <v>63</v>
      </c>
      <c r="M225" s="61" t="s">
        <v>55</v>
      </c>
      <c r="N225" s="80" t="s">
        <v>1889</v>
      </c>
      <c r="O225" s="62"/>
      <c r="P225" s="62"/>
      <c r="Q225" s="62" t="s">
        <v>1608</v>
      </c>
      <c r="R225" s="61">
        <v>2</v>
      </c>
      <c r="S225" s="61">
        <v>5</v>
      </c>
      <c r="T225" s="56" t="s">
        <v>47</v>
      </c>
      <c r="U225" s="56">
        <v>0</v>
      </c>
      <c r="V225" s="63">
        <f t="shared" si="8"/>
        <v>0</v>
      </c>
      <c r="W225" s="56" t="s">
        <v>48</v>
      </c>
      <c r="X225" s="30" t="s">
        <v>482</v>
      </c>
      <c r="Y225" s="31" t="s">
        <v>50</v>
      </c>
      <c r="Z225" s="53" t="s">
        <v>1634</v>
      </c>
      <c r="AA225" s="33" t="s">
        <v>1068</v>
      </c>
      <c r="AB225" s="65" t="s">
        <v>1271</v>
      </c>
      <c r="AC225" s="35">
        <v>8670</v>
      </c>
      <c r="AE225" s="67" t="s">
        <v>148</v>
      </c>
      <c r="AF225" s="38"/>
      <c r="AG225" s="38" t="s">
        <v>56</v>
      </c>
      <c r="AH225" s="38" t="s">
        <v>56</v>
      </c>
      <c r="AI225" s="38"/>
      <c r="AJ225" s="38"/>
      <c r="AK225" s="38"/>
      <c r="AL225" s="39" t="s">
        <v>1852</v>
      </c>
    </row>
    <row r="226" spans="1:39" s="119" customFormat="1" ht="102.75" customHeight="1" x14ac:dyDescent="0.25">
      <c r="A226" s="14">
        <v>46049</v>
      </c>
      <c r="B226" s="82" t="s">
        <v>1890</v>
      </c>
      <c r="C226" s="82" t="s">
        <v>1891</v>
      </c>
      <c r="D226" s="41" t="s">
        <v>1892</v>
      </c>
      <c r="E226" s="42" t="s">
        <v>39</v>
      </c>
      <c r="F226" s="19">
        <v>1</v>
      </c>
      <c r="G226" s="43"/>
      <c r="H226" s="43"/>
      <c r="I226" s="118" t="s">
        <v>1893</v>
      </c>
      <c r="J226" s="45">
        <v>50</v>
      </c>
      <c r="K226" s="46" t="s">
        <v>1894</v>
      </c>
      <c r="L226" s="50" t="s">
        <v>63</v>
      </c>
      <c r="M226" s="73" t="s">
        <v>42</v>
      </c>
      <c r="N226" s="77" t="s">
        <v>1895</v>
      </c>
      <c r="O226" s="49" t="s">
        <v>1896</v>
      </c>
      <c r="P226" s="49" t="s">
        <v>1897</v>
      </c>
      <c r="Q226" s="49" t="s">
        <v>1898</v>
      </c>
      <c r="R226" s="50">
        <v>11</v>
      </c>
      <c r="S226" s="50">
        <v>27</v>
      </c>
      <c r="T226" s="51" t="s">
        <v>47</v>
      </c>
      <c r="U226" s="51">
        <v>44</v>
      </c>
      <c r="V226" s="75">
        <f t="shared" si="8"/>
        <v>2200</v>
      </c>
      <c r="W226" s="51" t="s">
        <v>68</v>
      </c>
      <c r="X226" s="30" t="s">
        <v>1899</v>
      </c>
      <c r="Y226" s="31" t="s">
        <v>324</v>
      </c>
      <c r="Z226" s="32" t="s">
        <v>1900</v>
      </c>
      <c r="AA226" s="33" t="s">
        <v>1901</v>
      </c>
      <c r="AB226" s="65" t="s">
        <v>1902</v>
      </c>
      <c r="AC226" s="35">
        <v>9009.5</v>
      </c>
      <c r="AE226" s="67" t="s">
        <v>148</v>
      </c>
      <c r="AF226" s="38"/>
      <c r="AG226" s="38" t="s">
        <v>56</v>
      </c>
      <c r="AH226" s="38" t="s">
        <v>56</v>
      </c>
      <c r="AI226" s="38"/>
      <c r="AJ226" s="38"/>
      <c r="AK226" s="38"/>
      <c r="AL226" s="78" t="s">
        <v>1903</v>
      </c>
      <c r="AM226" s="119">
        <v>3</v>
      </c>
    </row>
    <row r="227" spans="1:39" s="66" customFormat="1" ht="47.25" customHeight="1" x14ac:dyDescent="0.25">
      <c r="A227" s="14">
        <v>46048</v>
      </c>
      <c r="B227" s="41" t="s">
        <v>1904</v>
      </c>
      <c r="C227" s="41" t="s">
        <v>1905</v>
      </c>
      <c r="D227" s="41"/>
      <c r="E227" s="42" t="s">
        <v>39</v>
      </c>
      <c r="F227" s="19">
        <v>1</v>
      </c>
      <c r="G227" s="43"/>
      <c r="H227" s="43"/>
      <c r="I227" s="72" t="s">
        <v>1906</v>
      </c>
      <c r="J227" s="45">
        <v>10</v>
      </c>
      <c r="K227" s="46" t="s">
        <v>1894</v>
      </c>
      <c r="L227" s="47" t="s">
        <v>63</v>
      </c>
      <c r="M227" s="73" t="s">
        <v>42</v>
      </c>
      <c r="N227" s="77" t="s">
        <v>1907</v>
      </c>
      <c r="O227" s="49" t="s">
        <v>1898</v>
      </c>
      <c r="P227" s="49" t="s">
        <v>1908</v>
      </c>
      <c r="Q227" s="49" t="s">
        <v>1909</v>
      </c>
      <c r="R227" s="50">
        <v>15</v>
      </c>
      <c r="S227" s="50">
        <v>27</v>
      </c>
      <c r="T227" s="51" t="s">
        <v>47</v>
      </c>
      <c r="U227" s="51">
        <v>3</v>
      </c>
      <c r="V227" s="52">
        <f t="shared" si="8"/>
        <v>30</v>
      </c>
      <c r="W227" s="51" t="s">
        <v>48</v>
      </c>
      <c r="X227" s="94" t="s">
        <v>232</v>
      </c>
      <c r="Y227" s="64" t="s">
        <v>50</v>
      </c>
      <c r="Z227" s="32" t="s">
        <v>51</v>
      </c>
      <c r="AA227" s="33" t="s">
        <v>1717</v>
      </c>
      <c r="AB227" s="65" t="s">
        <v>1910</v>
      </c>
      <c r="AC227" s="35">
        <v>1530</v>
      </c>
      <c r="AE227" s="67" t="s">
        <v>148</v>
      </c>
      <c r="AF227" s="38"/>
      <c r="AG227" s="38" t="s">
        <v>56</v>
      </c>
      <c r="AH227" s="38" t="s">
        <v>56</v>
      </c>
      <c r="AI227" s="38"/>
      <c r="AJ227" s="38" t="s">
        <v>56</v>
      </c>
      <c r="AK227" s="38" t="s">
        <v>1539</v>
      </c>
      <c r="AL227" s="68"/>
      <c r="AM227" s="66">
        <v>6</v>
      </c>
    </row>
    <row r="228" spans="1:39" s="66" customFormat="1" ht="113.25" customHeight="1" x14ac:dyDescent="0.25">
      <c r="A228" s="14">
        <v>46045</v>
      </c>
      <c r="B228" s="95" t="s">
        <v>1911</v>
      </c>
      <c r="C228" s="95" t="s">
        <v>1715</v>
      </c>
      <c r="D228" s="95"/>
      <c r="E228" s="96" t="s">
        <v>39</v>
      </c>
      <c r="F228" s="97"/>
      <c r="G228" s="97"/>
      <c r="H228" s="19">
        <v>1</v>
      </c>
      <c r="I228" s="72" t="s">
        <v>1912</v>
      </c>
      <c r="J228" s="98">
        <v>30</v>
      </c>
      <c r="K228" s="99" t="s">
        <v>1913</v>
      </c>
      <c r="L228" s="103" t="s">
        <v>63</v>
      </c>
      <c r="M228" s="100" t="s">
        <v>55</v>
      </c>
      <c r="N228" s="101" t="s">
        <v>518</v>
      </c>
      <c r="O228" s="102" t="s">
        <v>481</v>
      </c>
      <c r="P228" s="102" t="s">
        <v>1914</v>
      </c>
      <c r="Q228" s="102" t="s">
        <v>1788</v>
      </c>
      <c r="R228" s="103">
        <v>69</v>
      </c>
      <c r="S228" s="103">
        <v>375</v>
      </c>
      <c r="T228" s="96" t="s">
        <v>47</v>
      </c>
      <c r="U228" s="96">
        <v>2</v>
      </c>
      <c r="V228" s="104">
        <f t="shared" si="8"/>
        <v>60</v>
      </c>
      <c r="W228" s="96" t="s">
        <v>48</v>
      </c>
      <c r="X228" s="30" t="s">
        <v>1915</v>
      </c>
      <c r="Y228" s="64" t="s">
        <v>50</v>
      </c>
      <c r="Z228" s="32" t="s">
        <v>51</v>
      </c>
      <c r="AA228" s="33" t="s">
        <v>1717</v>
      </c>
      <c r="AB228" s="65" t="s">
        <v>1781</v>
      </c>
      <c r="AC228" s="35">
        <f>915+8685*J228/30</f>
        <v>9600</v>
      </c>
      <c r="AE228" s="67" t="s">
        <v>148</v>
      </c>
      <c r="AF228" s="38"/>
      <c r="AG228" s="38" t="s">
        <v>56</v>
      </c>
      <c r="AH228" s="38" t="s">
        <v>86</v>
      </c>
      <c r="AI228" s="38"/>
      <c r="AJ228" s="38"/>
      <c r="AK228" s="38"/>
      <c r="AL228" s="39" t="s">
        <v>1916</v>
      </c>
      <c r="AM228" s="66">
        <v>2</v>
      </c>
    </row>
    <row r="229" spans="1:39" s="66" customFormat="1" ht="113.25" customHeight="1" x14ac:dyDescent="0.25">
      <c r="A229" s="14">
        <v>46045</v>
      </c>
      <c r="B229" s="41" t="s">
        <v>1917</v>
      </c>
      <c r="C229" s="41" t="s">
        <v>1918</v>
      </c>
      <c r="D229" s="41" t="s">
        <v>1919</v>
      </c>
      <c r="E229" s="42" t="s">
        <v>39</v>
      </c>
      <c r="F229" s="43"/>
      <c r="G229" s="43"/>
      <c r="H229" s="19">
        <v>1</v>
      </c>
      <c r="I229" s="86" t="s">
        <v>1920</v>
      </c>
      <c r="J229" s="45">
        <v>15</v>
      </c>
      <c r="K229" s="46" t="s">
        <v>1921</v>
      </c>
      <c r="L229" s="50" t="s">
        <v>63</v>
      </c>
      <c r="M229" s="73" t="s">
        <v>42</v>
      </c>
      <c r="N229" s="77" t="s">
        <v>1922</v>
      </c>
      <c r="O229" s="49" t="s">
        <v>1923</v>
      </c>
      <c r="P229" s="49" t="s">
        <v>1924</v>
      </c>
      <c r="Q229" s="49" t="s">
        <v>1925</v>
      </c>
      <c r="R229" s="50">
        <v>47</v>
      </c>
      <c r="S229" s="50">
        <v>139</v>
      </c>
      <c r="T229" s="51" t="s">
        <v>47</v>
      </c>
      <c r="U229" s="51">
        <v>6</v>
      </c>
      <c r="V229" s="52">
        <f t="shared" si="8"/>
        <v>90</v>
      </c>
      <c r="W229" s="51" t="s">
        <v>48</v>
      </c>
      <c r="X229" s="30" t="s">
        <v>1420</v>
      </c>
      <c r="Y229" s="64" t="s">
        <v>82</v>
      </c>
      <c r="Z229" s="32" t="s">
        <v>51</v>
      </c>
      <c r="AA229" s="33" t="s">
        <v>1926</v>
      </c>
      <c r="AB229" s="65" t="s">
        <v>1822</v>
      </c>
      <c r="AC229" s="35">
        <v>2887.5</v>
      </c>
      <c r="AE229" s="67" t="s">
        <v>1927</v>
      </c>
      <c r="AF229" s="38"/>
      <c r="AG229" s="38" t="s">
        <v>56</v>
      </c>
      <c r="AH229" s="38" t="s">
        <v>86</v>
      </c>
      <c r="AI229" s="38"/>
      <c r="AJ229" s="38" t="s">
        <v>56</v>
      </c>
      <c r="AK229" s="38" t="s">
        <v>1539</v>
      </c>
      <c r="AL229" s="68"/>
      <c r="AM229" s="66">
        <v>1</v>
      </c>
    </row>
    <row r="230" spans="1:39" s="36" customFormat="1" ht="94.5" customHeight="1" x14ac:dyDescent="0.25">
      <c r="A230" s="14">
        <v>46044</v>
      </c>
      <c r="B230" s="82" t="s">
        <v>1928</v>
      </c>
      <c r="C230" s="82" t="s">
        <v>1929</v>
      </c>
      <c r="D230" s="41"/>
      <c r="E230" s="42" t="s">
        <v>39</v>
      </c>
      <c r="F230" s="19">
        <v>1</v>
      </c>
      <c r="G230" s="43"/>
      <c r="H230" s="43"/>
      <c r="I230" s="72" t="s">
        <v>1930</v>
      </c>
      <c r="J230" s="45">
        <v>150</v>
      </c>
      <c r="K230" s="46" t="s">
        <v>1931</v>
      </c>
      <c r="L230" s="47" t="s">
        <v>41</v>
      </c>
      <c r="M230" s="73" t="s">
        <v>42</v>
      </c>
      <c r="N230" s="77" t="s">
        <v>1932</v>
      </c>
      <c r="O230" s="49" t="s">
        <v>1933</v>
      </c>
      <c r="P230" s="49" t="s">
        <v>1934</v>
      </c>
      <c r="Q230" s="49"/>
      <c r="R230" s="50">
        <v>9</v>
      </c>
      <c r="S230" s="50">
        <v>14</v>
      </c>
      <c r="T230" s="51" t="s">
        <v>47</v>
      </c>
      <c r="U230" s="51">
        <v>0</v>
      </c>
      <c r="V230" s="52">
        <f t="shared" si="8"/>
        <v>0</v>
      </c>
      <c r="W230" s="51" t="s">
        <v>68</v>
      </c>
      <c r="X230" s="30" t="s">
        <v>1935</v>
      </c>
      <c r="Y230" s="31" t="s">
        <v>70</v>
      </c>
      <c r="Z230" s="32"/>
      <c r="AA230" s="33" t="s">
        <v>83</v>
      </c>
      <c r="AB230" s="65" t="s">
        <v>1936</v>
      </c>
      <c r="AC230" s="35">
        <v>2077.5</v>
      </c>
      <c r="AE230" s="67" t="s">
        <v>1927</v>
      </c>
      <c r="AF230" s="38"/>
      <c r="AG230" s="38" t="s">
        <v>56</v>
      </c>
      <c r="AH230" s="38" t="s">
        <v>86</v>
      </c>
      <c r="AI230" s="38"/>
      <c r="AJ230" s="38" t="s">
        <v>56</v>
      </c>
      <c r="AK230" s="38" t="s">
        <v>74</v>
      </c>
      <c r="AL230" s="38"/>
      <c r="AM230" s="36">
        <v>4</v>
      </c>
    </row>
    <row r="231" spans="1:39" s="36" customFormat="1" ht="254.25" customHeight="1" x14ac:dyDescent="0.25">
      <c r="A231" s="14">
        <v>46044</v>
      </c>
      <c r="B231" s="82" t="s">
        <v>1937</v>
      </c>
      <c r="C231" s="82" t="s">
        <v>1938</v>
      </c>
      <c r="D231" s="41" t="s">
        <v>1939</v>
      </c>
      <c r="E231" s="42" t="s">
        <v>39</v>
      </c>
      <c r="F231" s="43"/>
      <c r="G231" s="43"/>
      <c r="H231" s="19">
        <v>1</v>
      </c>
      <c r="I231" s="72" t="s">
        <v>1940</v>
      </c>
      <c r="J231" s="45">
        <v>100</v>
      </c>
      <c r="K231" s="46" t="s">
        <v>1941</v>
      </c>
      <c r="L231" s="50" t="s">
        <v>63</v>
      </c>
      <c r="M231" s="73" t="s">
        <v>42</v>
      </c>
      <c r="N231" s="1431" t="s">
        <v>1942</v>
      </c>
      <c r="O231" s="49" t="s">
        <v>1943</v>
      </c>
      <c r="P231" s="49" t="s">
        <v>1944</v>
      </c>
      <c r="Q231" s="49" t="s">
        <v>1945</v>
      </c>
      <c r="R231" s="50">
        <v>39</v>
      </c>
      <c r="S231" s="50">
        <v>71</v>
      </c>
      <c r="T231" s="51" t="s">
        <v>47</v>
      </c>
      <c r="U231" s="51">
        <v>32</v>
      </c>
      <c r="V231" s="75">
        <f t="shared" si="8"/>
        <v>3200</v>
      </c>
      <c r="W231" s="51" t="s">
        <v>510</v>
      </c>
      <c r="X231" s="93" t="s">
        <v>538</v>
      </c>
      <c r="Y231" s="31" t="s">
        <v>324</v>
      </c>
      <c r="Z231" s="32"/>
      <c r="AA231" s="33" t="s">
        <v>83</v>
      </c>
      <c r="AB231" s="65" t="s">
        <v>1946</v>
      </c>
      <c r="AC231" s="35">
        <f>830+5786*J231/100</f>
        <v>6616</v>
      </c>
      <c r="AE231" s="67" t="s">
        <v>148</v>
      </c>
      <c r="AF231" s="38"/>
      <c r="AG231" s="38" t="s">
        <v>56</v>
      </c>
      <c r="AH231" s="38" t="s">
        <v>56</v>
      </c>
      <c r="AI231" s="38"/>
      <c r="AJ231" s="38"/>
      <c r="AK231" s="38"/>
      <c r="AL231" s="38"/>
      <c r="AM231" s="36">
        <v>1</v>
      </c>
    </row>
    <row r="232" spans="1:39" ht="70.5" customHeight="1" x14ac:dyDescent="0.25">
      <c r="A232" s="14">
        <v>46044</v>
      </c>
      <c r="B232" s="121" t="s">
        <v>1947</v>
      </c>
      <c r="C232" s="121" t="s">
        <v>1948</v>
      </c>
      <c r="D232" s="121"/>
      <c r="E232" s="122" t="s">
        <v>39</v>
      </c>
      <c r="F232" s="123"/>
      <c r="G232" s="123"/>
      <c r="H232" s="123"/>
      <c r="I232" s="115" t="s">
        <v>9908</v>
      </c>
      <c r="J232" s="124">
        <v>100</v>
      </c>
      <c r="K232" s="125" t="s">
        <v>1949</v>
      </c>
      <c r="L232" s="126" t="s">
        <v>55</v>
      </c>
      <c r="M232" s="127" t="s">
        <v>42</v>
      </c>
      <c r="N232" s="128" t="s">
        <v>1950</v>
      </c>
      <c r="O232" s="129"/>
      <c r="P232" s="129"/>
      <c r="Q232" s="129"/>
      <c r="R232" s="129"/>
      <c r="S232" s="129"/>
      <c r="T232" s="129"/>
      <c r="U232" s="129"/>
      <c r="V232" s="129"/>
      <c r="W232" s="130" t="s">
        <v>350</v>
      </c>
      <c r="X232" s="131" t="s">
        <v>1951</v>
      </c>
      <c r="Y232" s="132" t="s">
        <v>82</v>
      </c>
      <c r="Z232" s="133"/>
      <c r="AA232" s="134"/>
      <c r="AB232" s="135" t="s">
        <v>1069</v>
      </c>
      <c r="AC232" s="136"/>
      <c r="AE232" s="137"/>
      <c r="AF232" s="138"/>
      <c r="AG232" s="138"/>
      <c r="AH232" s="138"/>
      <c r="AI232" s="138"/>
      <c r="AJ232" s="138"/>
      <c r="AK232" s="138"/>
      <c r="AL232" s="138"/>
      <c r="AM232" s="139"/>
    </row>
    <row r="233" spans="1:39" s="66" customFormat="1" ht="48.75" customHeight="1" x14ac:dyDescent="0.25">
      <c r="A233" s="14">
        <v>46044</v>
      </c>
      <c r="B233" s="95" t="s">
        <v>1952</v>
      </c>
      <c r="C233" s="95" t="s">
        <v>1715</v>
      </c>
      <c r="D233" s="95" t="s">
        <v>1953</v>
      </c>
      <c r="E233" s="96" t="s">
        <v>39</v>
      </c>
      <c r="F233" s="19">
        <v>1</v>
      </c>
      <c r="G233" s="97"/>
      <c r="H233" s="97"/>
      <c r="I233" s="72" t="s">
        <v>1954</v>
      </c>
      <c r="J233" s="98">
        <v>50</v>
      </c>
      <c r="K233" s="99" t="s">
        <v>1955</v>
      </c>
      <c r="L233" s="103" t="s">
        <v>63</v>
      </c>
      <c r="M233" s="100" t="s">
        <v>55</v>
      </c>
      <c r="N233" s="101" t="s">
        <v>1956</v>
      </c>
      <c r="O233" s="102" t="s">
        <v>1957</v>
      </c>
      <c r="P233" s="102" t="s">
        <v>1958</v>
      </c>
      <c r="Q233" s="102" t="s">
        <v>1810</v>
      </c>
      <c r="R233" s="103">
        <v>45</v>
      </c>
      <c r="S233" s="103">
        <v>127</v>
      </c>
      <c r="T233" s="96" t="s">
        <v>47</v>
      </c>
      <c r="U233" s="96">
        <v>3</v>
      </c>
      <c r="V233" s="104">
        <f t="shared" ref="V233:V246" si="9">U233*J233</f>
        <v>150</v>
      </c>
      <c r="W233" s="96" t="s">
        <v>48</v>
      </c>
      <c r="X233" s="30" t="s">
        <v>1915</v>
      </c>
      <c r="Y233" s="64" t="s">
        <v>50</v>
      </c>
      <c r="Z233" s="32"/>
      <c r="AA233" s="33" t="s">
        <v>1717</v>
      </c>
      <c r="AB233" s="116" t="s">
        <v>1781</v>
      </c>
      <c r="AC233" s="35">
        <v>6681</v>
      </c>
      <c r="AE233" s="67" t="s">
        <v>1927</v>
      </c>
      <c r="AF233" s="38"/>
      <c r="AG233" s="38" t="s">
        <v>56</v>
      </c>
      <c r="AH233" s="38" t="s">
        <v>86</v>
      </c>
      <c r="AI233" s="38"/>
      <c r="AJ233" s="38"/>
      <c r="AK233" s="38"/>
      <c r="AL233" s="78" t="s">
        <v>1959</v>
      </c>
      <c r="AM233" s="66">
        <v>4</v>
      </c>
    </row>
    <row r="234" spans="1:39" s="36" customFormat="1" ht="225" customHeight="1" x14ac:dyDescent="0.25">
      <c r="A234" s="14">
        <v>46044</v>
      </c>
      <c r="B234" s="140" t="s">
        <v>1960</v>
      </c>
      <c r="C234" s="82" t="s">
        <v>1961</v>
      </c>
      <c r="D234" s="41" t="s">
        <v>1962</v>
      </c>
      <c r="E234" s="42" t="s">
        <v>39</v>
      </c>
      <c r="F234" s="19">
        <v>1</v>
      </c>
      <c r="G234" s="43"/>
      <c r="H234" s="141"/>
      <c r="I234" s="72" t="s">
        <v>1963</v>
      </c>
      <c r="J234" s="142">
        <v>10</v>
      </c>
      <c r="K234" s="46" t="s">
        <v>1964</v>
      </c>
      <c r="L234" s="47" t="s">
        <v>63</v>
      </c>
      <c r="M234" s="73" t="s">
        <v>42</v>
      </c>
      <c r="N234" s="77" t="s">
        <v>1965</v>
      </c>
      <c r="O234" s="49" t="s">
        <v>1933</v>
      </c>
      <c r="P234" s="49" t="s">
        <v>1966</v>
      </c>
      <c r="Q234" s="49" t="s">
        <v>1967</v>
      </c>
      <c r="R234" s="92">
        <v>149</v>
      </c>
      <c r="S234" s="92">
        <v>1027</v>
      </c>
      <c r="T234" s="51" t="s">
        <v>141</v>
      </c>
      <c r="U234" s="51">
        <v>2</v>
      </c>
      <c r="V234" s="52">
        <f t="shared" si="9"/>
        <v>20</v>
      </c>
      <c r="W234" s="51" t="s">
        <v>142</v>
      </c>
      <c r="X234" s="30" t="s">
        <v>1968</v>
      </c>
      <c r="Y234" s="31" t="s">
        <v>144</v>
      </c>
      <c r="Z234" s="32" t="s">
        <v>51</v>
      </c>
      <c r="AA234" s="33" t="s">
        <v>83</v>
      </c>
      <c r="AB234" s="65" t="s">
        <v>1830</v>
      </c>
      <c r="AC234" s="35">
        <v>11328.4</v>
      </c>
      <c r="AE234" s="67" t="s">
        <v>148</v>
      </c>
      <c r="AF234" s="38"/>
      <c r="AG234" s="38" t="s">
        <v>56</v>
      </c>
      <c r="AH234" s="38" t="s">
        <v>56</v>
      </c>
      <c r="AI234" s="38"/>
      <c r="AJ234" s="38"/>
      <c r="AK234" s="38"/>
      <c r="AL234" s="39" t="s">
        <v>1969</v>
      </c>
      <c r="AM234" s="36">
        <v>1</v>
      </c>
    </row>
    <row r="235" spans="1:39" s="36" customFormat="1" ht="195" x14ac:dyDescent="0.25">
      <c r="A235" s="14">
        <v>46044</v>
      </c>
      <c r="B235" s="95" t="s">
        <v>1970</v>
      </c>
      <c r="C235" s="95" t="s">
        <v>1971</v>
      </c>
      <c r="D235" s="95"/>
      <c r="E235" s="96" t="s">
        <v>39</v>
      </c>
      <c r="F235" s="97"/>
      <c r="G235" s="97"/>
      <c r="H235" s="19">
        <v>1</v>
      </c>
      <c r="I235" s="72" t="s">
        <v>1972</v>
      </c>
      <c r="J235" s="98">
        <v>10</v>
      </c>
      <c r="K235" s="99" t="s">
        <v>1955</v>
      </c>
      <c r="L235" s="103" t="s">
        <v>63</v>
      </c>
      <c r="M235" s="100" t="s">
        <v>55</v>
      </c>
      <c r="N235" s="101" t="s">
        <v>1973</v>
      </c>
      <c r="O235" s="102" t="s">
        <v>1957</v>
      </c>
      <c r="P235" s="102" t="s">
        <v>1974</v>
      </c>
      <c r="Q235" s="102" t="s">
        <v>1975</v>
      </c>
      <c r="R235" s="103">
        <v>99</v>
      </c>
      <c r="S235" s="103">
        <v>582</v>
      </c>
      <c r="T235" s="96" t="s">
        <v>180</v>
      </c>
      <c r="U235" s="96">
        <v>11</v>
      </c>
      <c r="V235" s="104">
        <f t="shared" si="9"/>
        <v>110</v>
      </c>
      <c r="W235" s="96" t="s">
        <v>48</v>
      </c>
      <c r="X235" s="30" t="s">
        <v>960</v>
      </c>
      <c r="Y235" s="31" t="s">
        <v>50</v>
      </c>
      <c r="Z235" s="32"/>
      <c r="AA235" s="33" t="s">
        <v>484</v>
      </c>
      <c r="AB235" s="116" t="s">
        <v>485</v>
      </c>
      <c r="AC235" s="35">
        <f>985+10024.4</f>
        <v>11009.4</v>
      </c>
      <c r="AE235" s="67" t="s">
        <v>1927</v>
      </c>
      <c r="AF235" s="38"/>
      <c r="AG235" s="38" t="s">
        <v>56</v>
      </c>
      <c r="AH235" s="38" t="s">
        <v>56</v>
      </c>
      <c r="AI235" s="38"/>
      <c r="AJ235" s="38"/>
      <c r="AK235" s="38"/>
      <c r="AL235" s="38"/>
      <c r="AM235" s="36">
        <v>1</v>
      </c>
    </row>
    <row r="236" spans="1:39" s="66" customFormat="1" ht="151.5" customHeight="1" x14ac:dyDescent="0.25">
      <c r="A236" s="14">
        <v>46044</v>
      </c>
      <c r="B236" s="41" t="s">
        <v>1976</v>
      </c>
      <c r="C236" s="41" t="s">
        <v>1977</v>
      </c>
      <c r="D236" s="41" t="s">
        <v>1978</v>
      </c>
      <c r="E236" s="42" t="s">
        <v>1379</v>
      </c>
      <c r="F236" s="143"/>
      <c r="G236" s="143"/>
      <c r="H236" s="19">
        <v>4</v>
      </c>
      <c r="I236" s="72" t="s">
        <v>1979</v>
      </c>
      <c r="J236" s="45">
        <v>50</v>
      </c>
      <c r="K236" s="46" t="s">
        <v>1964</v>
      </c>
      <c r="L236" s="47" t="s">
        <v>63</v>
      </c>
      <c r="M236" s="73" t="s">
        <v>42</v>
      </c>
      <c r="N236" s="77" t="s">
        <v>1980</v>
      </c>
      <c r="O236" s="49"/>
      <c r="P236" s="49" t="s">
        <v>1981</v>
      </c>
      <c r="Q236" s="49" t="s">
        <v>1967</v>
      </c>
      <c r="R236" s="50">
        <v>33</v>
      </c>
      <c r="S236" s="50">
        <v>167</v>
      </c>
      <c r="T236" s="51" t="s">
        <v>96</v>
      </c>
      <c r="U236" s="51">
        <v>5</v>
      </c>
      <c r="V236" s="52">
        <f t="shared" si="9"/>
        <v>250</v>
      </c>
      <c r="W236" s="51" t="s">
        <v>48</v>
      </c>
      <c r="X236" s="30" t="s">
        <v>1982</v>
      </c>
      <c r="Y236" s="64" t="s">
        <v>82</v>
      </c>
      <c r="Z236" s="32" t="s">
        <v>51</v>
      </c>
      <c r="AA236" s="33" t="s">
        <v>1763</v>
      </c>
      <c r="AB236" s="116" t="s">
        <v>1537</v>
      </c>
      <c r="AC236" s="35">
        <v>6435</v>
      </c>
      <c r="AE236" s="67" t="s">
        <v>1927</v>
      </c>
      <c r="AF236" s="38"/>
      <c r="AG236" s="38" t="s">
        <v>56</v>
      </c>
      <c r="AH236" s="38" t="s">
        <v>56</v>
      </c>
      <c r="AI236" s="38"/>
      <c r="AJ236" s="38" t="s">
        <v>56</v>
      </c>
      <c r="AK236" s="38" t="s">
        <v>74</v>
      </c>
      <c r="AL236" s="78" t="s">
        <v>1983</v>
      </c>
      <c r="AM236" s="66">
        <v>2</v>
      </c>
    </row>
    <row r="237" spans="1:39" s="66" customFormat="1" ht="92.25" customHeight="1" x14ac:dyDescent="0.25">
      <c r="A237" s="14">
        <v>46044</v>
      </c>
      <c r="B237" s="144" t="s">
        <v>1984</v>
      </c>
      <c r="C237" s="144" t="s">
        <v>1985</v>
      </c>
      <c r="D237" s="144" t="s">
        <v>1986</v>
      </c>
      <c r="E237" s="145" t="s">
        <v>39</v>
      </c>
      <c r="F237" s="146"/>
      <c r="G237" s="146"/>
      <c r="H237" s="147">
        <v>1</v>
      </c>
      <c r="I237" s="148" t="s">
        <v>1987</v>
      </c>
      <c r="J237" s="149">
        <v>22</v>
      </c>
      <c r="K237" s="150" t="s">
        <v>1988</v>
      </c>
      <c r="L237" s="151" t="s">
        <v>63</v>
      </c>
      <c r="M237" s="145" t="s">
        <v>55</v>
      </c>
      <c r="N237" s="152" t="s">
        <v>1989</v>
      </c>
      <c r="O237" s="153" t="s">
        <v>1990</v>
      </c>
      <c r="P237" s="153" t="s">
        <v>1991</v>
      </c>
      <c r="Q237" s="153" t="s">
        <v>1992</v>
      </c>
      <c r="R237" s="154">
        <v>26</v>
      </c>
      <c r="S237" s="154">
        <v>85</v>
      </c>
      <c r="T237" s="155" t="s">
        <v>47</v>
      </c>
      <c r="U237" s="155">
        <v>11</v>
      </c>
      <c r="V237" s="156">
        <f t="shared" si="9"/>
        <v>242</v>
      </c>
      <c r="W237" s="155" t="s">
        <v>48</v>
      </c>
      <c r="X237" s="157" t="s">
        <v>1993</v>
      </c>
      <c r="Y237" s="158" t="s">
        <v>144</v>
      </c>
      <c r="Z237" s="159"/>
      <c r="AA237" s="160" t="s">
        <v>1994</v>
      </c>
      <c r="AB237" s="161" t="s">
        <v>1995</v>
      </c>
      <c r="AC237" s="162">
        <v>1274.9000000000001</v>
      </c>
      <c r="AE237" s="67" t="s">
        <v>148</v>
      </c>
      <c r="AF237" s="38"/>
      <c r="AG237" s="38" t="s">
        <v>56</v>
      </c>
      <c r="AH237" s="38" t="s">
        <v>86</v>
      </c>
      <c r="AI237" s="38"/>
      <c r="AJ237" s="38" t="s">
        <v>56</v>
      </c>
      <c r="AK237" s="38" t="s">
        <v>74</v>
      </c>
      <c r="AL237" s="68"/>
      <c r="AM237" s="66">
        <v>1</v>
      </c>
    </row>
    <row r="238" spans="1:39" s="36" customFormat="1" ht="90.75" customHeight="1" x14ac:dyDescent="0.25">
      <c r="A238" s="14">
        <v>46043</v>
      </c>
      <c r="B238" s="82" t="s">
        <v>1996</v>
      </c>
      <c r="C238" s="82" t="s">
        <v>1997</v>
      </c>
      <c r="D238" s="41"/>
      <c r="E238" s="42" t="s">
        <v>39</v>
      </c>
      <c r="F238" s="19">
        <v>1</v>
      </c>
      <c r="G238" s="43"/>
      <c r="H238" s="141"/>
      <c r="I238" s="163" t="s">
        <v>1998</v>
      </c>
      <c r="J238" s="142">
        <v>50</v>
      </c>
      <c r="K238" s="46" t="s">
        <v>1999</v>
      </c>
      <c r="L238" s="47" t="s">
        <v>63</v>
      </c>
      <c r="M238" s="73" t="s">
        <v>42</v>
      </c>
      <c r="N238" s="48" t="s">
        <v>2000</v>
      </c>
      <c r="O238" s="49" t="s">
        <v>2001</v>
      </c>
      <c r="P238" s="49" t="s">
        <v>2002</v>
      </c>
      <c r="Q238" s="49" t="s">
        <v>2003</v>
      </c>
      <c r="R238" s="92">
        <v>166</v>
      </c>
      <c r="S238" s="50">
        <v>380</v>
      </c>
      <c r="T238" s="51" t="s">
        <v>180</v>
      </c>
      <c r="U238" s="51">
        <v>12</v>
      </c>
      <c r="V238" s="75">
        <f t="shared" si="9"/>
        <v>600</v>
      </c>
      <c r="W238" s="51" t="s">
        <v>142</v>
      </c>
      <c r="X238" s="30" t="s">
        <v>1031</v>
      </c>
      <c r="Y238" s="31" t="s">
        <v>82</v>
      </c>
      <c r="Z238" s="32" t="s">
        <v>51</v>
      </c>
      <c r="AA238" s="33" t="s">
        <v>2004</v>
      </c>
      <c r="AB238" s="65" t="s">
        <v>2005</v>
      </c>
      <c r="AC238" s="35">
        <v>10310</v>
      </c>
      <c r="AE238" s="67" t="s">
        <v>148</v>
      </c>
      <c r="AF238" s="38"/>
      <c r="AG238" s="38" t="s">
        <v>56</v>
      </c>
      <c r="AH238" s="38" t="s">
        <v>56</v>
      </c>
      <c r="AI238" s="38"/>
      <c r="AJ238" s="38" t="s">
        <v>56</v>
      </c>
      <c r="AK238" s="38" t="s">
        <v>74</v>
      </c>
      <c r="AL238" s="38"/>
      <c r="AM238" s="36">
        <v>2</v>
      </c>
    </row>
    <row r="239" spans="1:39" s="36" customFormat="1" ht="91.5" customHeight="1" x14ac:dyDescent="0.25">
      <c r="A239" s="14">
        <v>46042</v>
      </c>
      <c r="B239" s="41" t="s">
        <v>2006</v>
      </c>
      <c r="C239" s="41" t="s">
        <v>2007</v>
      </c>
      <c r="D239" s="41"/>
      <c r="E239" s="42" t="s">
        <v>39</v>
      </c>
      <c r="F239" s="43"/>
      <c r="G239" s="43"/>
      <c r="H239" s="19">
        <v>1</v>
      </c>
      <c r="I239" s="72" t="s">
        <v>2008</v>
      </c>
      <c r="J239" s="45">
        <v>50</v>
      </c>
      <c r="K239" s="46" t="s">
        <v>2009</v>
      </c>
      <c r="L239" s="50" t="s">
        <v>63</v>
      </c>
      <c r="M239" s="73" t="s">
        <v>42</v>
      </c>
      <c r="N239" s="77" t="s">
        <v>2010</v>
      </c>
      <c r="O239" s="49"/>
      <c r="P239" s="49" t="s">
        <v>2011</v>
      </c>
      <c r="Q239" s="49" t="s">
        <v>2012</v>
      </c>
      <c r="R239" s="50">
        <v>51</v>
      </c>
      <c r="S239" s="50">
        <v>314</v>
      </c>
      <c r="T239" s="51" t="s">
        <v>96</v>
      </c>
      <c r="U239" s="51">
        <v>27</v>
      </c>
      <c r="V239" s="75">
        <f t="shared" si="9"/>
        <v>1350</v>
      </c>
      <c r="W239" s="51" t="s">
        <v>221</v>
      </c>
      <c r="X239" s="30" t="s">
        <v>2013</v>
      </c>
      <c r="Y239" s="31" t="s">
        <v>324</v>
      </c>
      <c r="Z239" s="32" t="s">
        <v>645</v>
      </c>
      <c r="AA239" s="33" t="s">
        <v>83</v>
      </c>
      <c r="AB239" s="65" t="s">
        <v>2014</v>
      </c>
      <c r="AC239" s="35">
        <v>6840</v>
      </c>
      <c r="AE239" s="67" t="s">
        <v>73</v>
      </c>
      <c r="AF239" s="38"/>
      <c r="AG239" s="38" t="s">
        <v>56</v>
      </c>
      <c r="AH239" s="38" t="s">
        <v>86</v>
      </c>
      <c r="AI239" s="38"/>
      <c r="AJ239" s="38"/>
      <c r="AK239" s="38"/>
      <c r="AL239" s="78" t="s">
        <v>2015</v>
      </c>
      <c r="AM239" s="36">
        <v>1</v>
      </c>
    </row>
    <row r="240" spans="1:39" s="66" customFormat="1" ht="40.5" customHeight="1" x14ac:dyDescent="0.25">
      <c r="A240" s="14">
        <v>46042</v>
      </c>
      <c r="B240" s="54" t="s">
        <v>1952</v>
      </c>
      <c r="C240" s="54" t="s">
        <v>2016</v>
      </c>
      <c r="D240" s="54"/>
      <c r="E240" s="56" t="s">
        <v>39</v>
      </c>
      <c r="F240" s="19">
        <v>2</v>
      </c>
      <c r="G240" s="57"/>
      <c r="H240" s="57"/>
      <c r="I240" s="72" t="s">
        <v>2017</v>
      </c>
      <c r="J240" s="59">
        <v>25</v>
      </c>
      <c r="K240" s="60" t="s">
        <v>2018</v>
      </c>
      <c r="L240" s="61" t="s">
        <v>63</v>
      </c>
      <c r="M240" s="61" t="s">
        <v>55</v>
      </c>
      <c r="N240" s="80" t="s">
        <v>240</v>
      </c>
      <c r="O240" s="62" t="s">
        <v>1909</v>
      </c>
      <c r="P240" s="62"/>
      <c r="Q240" s="62" t="s">
        <v>1925</v>
      </c>
      <c r="R240" s="61">
        <v>1</v>
      </c>
      <c r="S240" s="61">
        <v>2</v>
      </c>
      <c r="T240" s="56" t="s">
        <v>393</v>
      </c>
      <c r="U240" s="56">
        <v>56</v>
      </c>
      <c r="V240" s="75">
        <f t="shared" si="9"/>
        <v>1400</v>
      </c>
      <c r="W240" s="56" t="s">
        <v>48</v>
      </c>
      <c r="X240" s="30" t="s">
        <v>960</v>
      </c>
      <c r="Y240" s="64" t="s">
        <v>50</v>
      </c>
      <c r="Z240" s="32"/>
      <c r="AA240" s="33" t="s">
        <v>1717</v>
      </c>
      <c r="AB240" s="65" t="s">
        <v>1781</v>
      </c>
      <c r="AC240" s="35">
        <v>8705</v>
      </c>
      <c r="AE240" s="67" t="s">
        <v>73</v>
      </c>
      <c r="AF240" s="38"/>
      <c r="AG240" s="38" t="s">
        <v>56</v>
      </c>
      <c r="AH240" s="38" t="s">
        <v>86</v>
      </c>
      <c r="AI240" s="38"/>
      <c r="AJ240" s="38"/>
      <c r="AK240" s="38"/>
      <c r="AL240" s="68"/>
      <c r="AM240" s="66">
        <v>1</v>
      </c>
    </row>
    <row r="241" spans="1:39" s="36" customFormat="1" ht="75" x14ac:dyDescent="0.25">
      <c r="A241" s="14">
        <v>46041</v>
      </c>
      <c r="B241" s="164" t="s">
        <v>2019</v>
      </c>
      <c r="C241" s="41" t="s">
        <v>2020</v>
      </c>
      <c r="D241" s="41" t="s">
        <v>2021</v>
      </c>
      <c r="E241" s="42" t="s">
        <v>39</v>
      </c>
      <c r="F241" s="43"/>
      <c r="G241" s="43"/>
      <c r="H241" s="19">
        <v>1</v>
      </c>
      <c r="I241" s="72" t="s">
        <v>2022</v>
      </c>
      <c r="J241" s="45">
        <v>150</v>
      </c>
      <c r="K241" s="46" t="s">
        <v>2023</v>
      </c>
      <c r="L241" s="50" t="s">
        <v>63</v>
      </c>
      <c r="M241" s="73" t="s">
        <v>42</v>
      </c>
      <c r="N241" s="77" t="s">
        <v>2024</v>
      </c>
      <c r="O241" s="49" t="s">
        <v>1945</v>
      </c>
      <c r="P241" s="49" t="s">
        <v>1860</v>
      </c>
      <c r="Q241" s="49" t="s">
        <v>2025</v>
      </c>
      <c r="R241" s="50">
        <v>3</v>
      </c>
      <c r="S241" s="50">
        <v>4</v>
      </c>
      <c r="T241" s="51" t="s">
        <v>47</v>
      </c>
      <c r="U241" s="51">
        <v>1</v>
      </c>
      <c r="V241" s="52">
        <f t="shared" si="9"/>
        <v>150</v>
      </c>
      <c r="W241" s="51" t="s">
        <v>68</v>
      </c>
      <c r="X241" s="30" t="s">
        <v>1935</v>
      </c>
      <c r="Y241" s="31" t="s">
        <v>70</v>
      </c>
      <c r="Z241" s="32"/>
      <c r="AA241" s="33" t="s">
        <v>2026</v>
      </c>
      <c r="AB241" s="65" t="s">
        <v>2027</v>
      </c>
      <c r="AC241" s="35">
        <v>1807.5</v>
      </c>
      <c r="AE241" s="67" t="s">
        <v>2028</v>
      </c>
      <c r="AF241" s="38"/>
      <c r="AG241" s="38" t="s">
        <v>56</v>
      </c>
      <c r="AH241" s="38" t="s">
        <v>86</v>
      </c>
      <c r="AI241" s="38"/>
      <c r="AJ241" s="38" t="s">
        <v>2029</v>
      </c>
      <c r="AK241" s="38" t="s">
        <v>74</v>
      </c>
      <c r="AL241" s="38"/>
      <c r="AM241" s="36">
        <v>4</v>
      </c>
    </row>
    <row r="242" spans="1:39" s="66" customFormat="1" ht="49.5" customHeight="1" x14ac:dyDescent="0.25">
      <c r="A242" s="14">
        <v>46041</v>
      </c>
      <c r="B242" s="95" t="s">
        <v>2030</v>
      </c>
      <c r="C242" s="95" t="s">
        <v>2031</v>
      </c>
      <c r="D242" s="95" t="s">
        <v>2032</v>
      </c>
      <c r="E242" s="96" t="s">
        <v>39</v>
      </c>
      <c r="F242" s="19">
        <v>2</v>
      </c>
      <c r="G242" s="97"/>
      <c r="H242" s="97"/>
      <c r="I242" s="115" t="s">
        <v>2033</v>
      </c>
      <c r="J242" s="98">
        <v>45</v>
      </c>
      <c r="K242" s="165" t="s">
        <v>2034</v>
      </c>
      <c r="L242" s="100" t="s">
        <v>63</v>
      </c>
      <c r="M242" s="100" t="s">
        <v>55</v>
      </c>
      <c r="N242" s="101" t="s">
        <v>2035</v>
      </c>
      <c r="O242" s="102"/>
      <c r="P242" s="102" t="s">
        <v>2036</v>
      </c>
      <c r="Q242" s="102" t="s">
        <v>1933</v>
      </c>
      <c r="R242" s="103">
        <v>71</v>
      </c>
      <c r="S242" s="103">
        <v>213</v>
      </c>
      <c r="T242" s="96" t="s">
        <v>96</v>
      </c>
      <c r="U242" s="96">
        <v>6</v>
      </c>
      <c r="V242" s="104">
        <f t="shared" si="9"/>
        <v>270</v>
      </c>
      <c r="W242" s="96" t="s">
        <v>48</v>
      </c>
      <c r="X242" s="30" t="s">
        <v>2037</v>
      </c>
      <c r="Y242" s="64" t="s">
        <v>82</v>
      </c>
      <c r="Z242" s="32" t="s">
        <v>51</v>
      </c>
      <c r="AA242" s="33" t="s">
        <v>2038</v>
      </c>
      <c r="AB242" s="65" t="s">
        <v>2039</v>
      </c>
      <c r="AC242" s="166">
        <f>9898.2*J242/60</f>
        <v>7423.6500000000005</v>
      </c>
      <c r="AE242" s="67" t="s">
        <v>148</v>
      </c>
      <c r="AF242" s="38"/>
      <c r="AG242" s="38" t="s">
        <v>56</v>
      </c>
      <c r="AH242" s="38" t="s">
        <v>56</v>
      </c>
      <c r="AI242" s="38"/>
      <c r="AJ242" s="38"/>
      <c r="AK242" s="38"/>
      <c r="AL242" s="68"/>
      <c r="AM242" s="66">
        <v>1</v>
      </c>
    </row>
    <row r="243" spans="1:39" s="36" customFormat="1" ht="120" x14ac:dyDescent="0.25">
      <c r="A243" s="14">
        <v>46041</v>
      </c>
      <c r="B243" s="95" t="s">
        <v>2040</v>
      </c>
      <c r="C243" s="95" t="s">
        <v>2041</v>
      </c>
      <c r="D243" s="95"/>
      <c r="E243" s="96" t="s">
        <v>39</v>
      </c>
      <c r="F243" s="97"/>
      <c r="G243" s="97"/>
      <c r="H243" s="19">
        <v>1</v>
      </c>
      <c r="I243" s="72" t="s">
        <v>2042</v>
      </c>
      <c r="J243" s="98">
        <v>5</v>
      </c>
      <c r="K243" s="99" t="s">
        <v>2034</v>
      </c>
      <c r="L243" s="103" t="s">
        <v>63</v>
      </c>
      <c r="M243" s="96" t="s">
        <v>55</v>
      </c>
      <c r="N243" s="101" t="s">
        <v>2043</v>
      </c>
      <c r="O243" s="102"/>
      <c r="P243" s="102" t="s">
        <v>2044</v>
      </c>
      <c r="Q243" s="102" t="s">
        <v>2045</v>
      </c>
      <c r="R243" s="103">
        <v>83</v>
      </c>
      <c r="S243" s="103">
        <v>700</v>
      </c>
      <c r="T243" s="96" t="s">
        <v>67</v>
      </c>
      <c r="U243" s="96">
        <v>50</v>
      </c>
      <c r="V243" s="104">
        <f t="shared" si="9"/>
        <v>250</v>
      </c>
      <c r="W243" s="96" t="s">
        <v>48</v>
      </c>
      <c r="X243" s="30" t="s">
        <v>2046</v>
      </c>
      <c r="Y243" s="31" t="s">
        <v>144</v>
      </c>
      <c r="Z243" s="32" t="s">
        <v>645</v>
      </c>
      <c r="AA243" s="33" t="s">
        <v>83</v>
      </c>
      <c r="AB243" s="65" t="s">
        <v>2047</v>
      </c>
      <c r="AC243" s="35">
        <v>9403</v>
      </c>
      <c r="AE243" s="67" t="s">
        <v>148</v>
      </c>
      <c r="AF243" s="38"/>
      <c r="AG243" s="38" t="s">
        <v>56</v>
      </c>
      <c r="AH243" s="38" t="s">
        <v>56</v>
      </c>
      <c r="AI243" s="38"/>
      <c r="AJ243" s="38"/>
      <c r="AK243" s="38"/>
      <c r="AL243" s="39" t="s">
        <v>2048</v>
      </c>
      <c r="AM243" s="36">
        <v>1</v>
      </c>
    </row>
    <row r="244" spans="1:39" s="66" customFormat="1" ht="135" x14ac:dyDescent="0.25">
      <c r="A244" s="14">
        <v>46041</v>
      </c>
      <c r="B244" s="54" t="s">
        <v>2049</v>
      </c>
      <c r="C244" s="54" t="s">
        <v>2050</v>
      </c>
      <c r="D244" s="54"/>
      <c r="E244" s="56" t="s">
        <v>39</v>
      </c>
      <c r="F244" s="57"/>
      <c r="G244" s="57"/>
      <c r="H244" s="19">
        <v>2</v>
      </c>
      <c r="I244" s="72" t="s">
        <v>2051</v>
      </c>
      <c r="J244" s="59">
        <v>25</v>
      </c>
      <c r="K244" s="60" t="s">
        <v>2052</v>
      </c>
      <c r="L244" s="61" t="s">
        <v>63</v>
      </c>
      <c r="M244" s="61" t="s">
        <v>55</v>
      </c>
      <c r="N244" s="80" t="s">
        <v>2053</v>
      </c>
      <c r="O244" s="62" t="s">
        <v>2054</v>
      </c>
      <c r="P244" s="62" t="s">
        <v>1933</v>
      </c>
      <c r="Q244" s="62" t="s">
        <v>1933</v>
      </c>
      <c r="R244" s="61">
        <v>6</v>
      </c>
      <c r="S244" s="61">
        <v>13</v>
      </c>
      <c r="T244" s="56" t="s">
        <v>393</v>
      </c>
      <c r="U244" s="56">
        <v>24</v>
      </c>
      <c r="V244" s="75">
        <f t="shared" si="9"/>
        <v>600</v>
      </c>
      <c r="W244" s="56" t="s">
        <v>48</v>
      </c>
      <c r="X244" s="30" t="s">
        <v>960</v>
      </c>
      <c r="Y244" s="64" t="s">
        <v>50</v>
      </c>
      <c r="Z244" s="32"/>
      <c r="AA244" s="33" t="s">
        <v>1717</v>
      </c>
      <c r="AB244" s="65" t="s">
        <v>1537</v>
      </c>
      <c r="AC244" s="35">
        <v>8875</v>
      </c>
      <c r="AE244" s="67" t="s">
        <v>148</v>
      </c>
      <c r="AF244" s="38"/>
      <c r="AG244" s="38" t="s">
        <v>56</v>
      </c>
      <c r="AH244" s="38" t="s">
        <v>56</v>
      </c>
      <c r="AI244" s="38"/>
      <c r="AJ244" s="38"/>
      <c r="AK244" s="38"/>
      <c r="AL244" s="68"/>
      <c r="AM244" s="66">
        <v>1</v>
      </c>
    </row>
    <row r="245" spans="1:39" s="36" customFormat="1" ht="195" x14ac:dyDescent="0.25">
      <c r="A245" s="14">
        <v>46041</v>
      </c>
      <c r="B245" s="41" t="s">
        <v>2055</v>
      </c>
      <c r="C245" s="41" t="s">
        <v>2056</v>
      </c>
      <c r="D245" s="41" t="s">
        <v>2057</v>
      </c>
      <c r="E245" s="42" t="s">
        <v>39</v>
      </c>
      <c r="F245" s="19">
        <v>1</v>
      </c>
      <c r="G245" s="43"/>
      <c r="H245" s="43"/>
      <c r="I245" s="72" t="s">
        <v>2058</v>
      </c>
      <c r="J245" s="45">
        <v>40</v>
      </c>
      <c r="K245" s="46" t="s">
        <v>2023</v>
      </c>
      <c r="L245" s="50" t="s">
        <v>63</v>
      </c>
      <c r="M245" s="47" t="s">
        <v>42</v>
      </c>
      <c r="N245" s="77" t="s">
        <v>2059</v>
      </c>
      <c r="O245" s="49" t="s">
        <v>2060</v>
      </c>
      <c r="P245" s="49" t="s">
        <v>2061</v>
      </c>
      <c r="Q245" s="49" t="s">
        <v>2062</v>
      </c>
      <c r="R245" s="50">
        <v>9</v>
      </c>
      <c r="S245" s="50">
        <v>43</v>
      </c>
      <c r="T245" s="51" t="s">
        <v>47</v>
      </c>
      <c r="U245" s="51">
        <v>34</v>
      </c>
      <c r="V245" s="75">
        <f t="shared" si="9"/>
        <v>1360</v>
      </c>
      <c r="W245" s="51" t="s">
        <v>48</v>
      </c>
      <c r="X245" s="30" t="s">
        <v>2063</v>
      </c>
      <c r="Y245" s="31" t="s">
        <v>82</v>
      </c>
      <c r="Z245" s="32"/>
      <c r="AA245" s="33" t="s">
        <v>2064</v>
      </c>
      <c r="AB245" s="65" t="s">
        <v>2065</v>
      </c>
      <c r="AC245" s="35">
        <v>3714</v>
      </c>
      <c r="AE245" s="67" t="s">
        <v>148</v>
      </c>
      <c r="AF245" s="38"/>
      <c r="AG245" s="38" t="s">
        <v>56</v>
      </c>
      <c r="AH245" s="38" t="s">
        <v>56</v>
      </c>
      <c r="AI245" s="38"/>
      <c r="AJ245" s="38"/>
      <c r="AK245" s="38"/>
      <c r="AL245" s="38"/>
      <c r="AM245" s="36">
        <v>1</v>
      </c>
    </row>
    <row r="246" spans="1:39" s="36" customFormat="1" ht="46.5" customHeight="1" x14ac:dyDescent="0.25">
      <c r="A246" s="14">
        <v>46041</v>
      </c>
      <c r="B246" s="41" t="s">
        <v>2066</v>
      </c>
      <c r="C246" s="41" t="s">
        <v>2067</v>
      </c>
      <c r="D246" s="41"/>
      <c r="E246" s="42" t="s">
        <v>39</v>
      </c>
      <c r="F246" s="19">
        <v>1</v>
      </c>
      <c r="G246" s="43"/>
      <c r="H246" s="43"/>
      <c r="I246" s="72" t="s">
        <v>2068</v>
      </c>
      <c r="J246" s="45">
        <v>20</v>
      </c>
      <c r="K246" s="46" t="s">
        <v>2069</v>
      </c>
      <c r="L246" s="50" t="s">
        <v>63</v>
      </c>
      <c r="M246" s="73" t="s">
        <v>42</v>
      </c>
      <c r="N246" s="77" t="s">
        <v>2070</v>
      </c>
      <c r="O246" s="49" t="s">
        <v>2071</v>
      </c>
      <c r="P246" s="49" t="s">
        <v>2072</v>
      </c>
      <c r="Q246" s="49" t="s">
        <v>2036</v>
      </c>
      <c r="R246" s="50">
        <v>61</v>
      </c>
      <c r="S246" s="50">
        <v>303</v>
      </c>
      <c r="T246" s="51" t="s">
        <v>47</v>
      </c>
      <c r="U246" s="51">
        <v>7</v>
      </c>
      <c r="V246" s="52">
        <f t="shared" si="9"/>
        <v>140</v>
      </c>
      <c r="W246" s="51" t="s">
        <v>48</v>
      </c>
      <c r="X246" s="30" t="s">
        <v>2073</v>
      </c>
      <c r="Y246" s="31" t="s">
        <v>82</v>
      </c>
      <c r="Z246" s="32" t="s">
        <v>51</v>
      </c>
      <c r="AA246" s="33" t="s">
        <v>83</v>
      </c>
      <c r="AB246" s="65" t="s">
        <v>2074</v>
      </c>
      <c r="AC246" s="35">
        <v>6852.8</v>
      </c>
      <c r="AE246" s="67" t="s">
        <v>73</v>
      </c>
      <c r="AF246" s="38"/>
      <c r="AG246" s="38" t="s">
        <v>56</v>
      </c>
      <c r="AH246" s="38" t="s">
        <v>56</v>
      </c>
      <c r="AI246" s="38"/>
      <c r="AJ246" s="38"/>
      <c r="AK246" s="38"/>
      <c r="AL246" s="38"/>
      <c r="AM246" s="36">
        <v>2</v>
      </c>
    </row>
    <row r="247" spans="1:39" ht="45.75" customHeight="1" x14ac:dyDescent="0.25">
      <c r="A247" s="14">
        <v>46038</v>
      </c>
      <c r="B247" s="41" t="s">
        <v>2075</v>
      </c>
      <c r="C247" s="41" t="s">
        <v>2076</v>
      </c>
      <c r="D247" s="41"/>
      <c r="E247" s="42" t="s">
        <v>39</v>
      </c>
      <c r="F247" s="19">
        <v>1</v>
      </c>
      <c r="G247" s="43"/>
      <c r="H247" s="43"/>
      <c r="I247" s="72" t="s">
        <v>9909</v>
      </c>
      <c r="J247" s="45">
        <v>99</v>
      </c>
      <c r="K247" s="46" t="s">
        <v>10010</v>
      </c>
      <c r="L247" s="47" t="s">
        <v>42</v>
      </c>
      <c r="M247" s="73" t="s">
        <v>42</v>
      </c>
      <c r="N247" s="167" t="s">
        <v>2077</v>
      </c>
      <c r="O247" s="49"/>
      <c r="P247" s="49"/>
      <c r="Q247" s="49"/>
      <c r="R247" s="50"/>
      <c r="S247" s="92"/>
      <c r="T247" s="51"/>
      <c r="U247" s="51"/>
      <c r="V247" s="52"/>
      <c r="W247" s="51" t="s">
        <v>350</v>
      </c>
      <c r="X247" s="30" t="s">
        <v>1951</v>
      </c>
      <c r="Y247" s="168" t="s">
        <v>82</v>
      </c>
      <c r="Z247" s="169"/>
      <c r="AA247" s="170"/>
      <c r="AB247" s="171" t="s">
        <v>1537</v>
      </c>
      <c r="AC247" s="172"/>
      <c r="AE247" s="138"/>
      <c r="AF247" s="138"/>
      <c r="AG247" s="138"/>
      <c r="AH247" s="138"/>
      <c r="AI247" s="138"/>
      <c r="AJ247" s="138"/>
      <c r="AK247" s="138"/>
      <c r="AL247" s="138"/>
      <c r="AM247" s="139"/>
    </row>
    <row r="248" spans="1:39" s="36" customFormat="1" ht="45" customHeight="1" x14ac:dyDescent="0.25">
      <c r="A248" s="14">
        <v>46038</v>
      </c>
      <c r="B248" s="41" t="s">
        <v>2078</v>
      </c>
      <c r="C248" s="41" t="s">
        <v>2079</v>
      </c>
      <c r="D248" s="41"/>
      <c r="E248" s="42" t="s">
        <v>195</v>
      </c>
      <c r="F248" s="43"/>
      <c r="G248" s="43"/>
      <c r="H248" s="43"/>
      <c r="I248" s="72" t="s">
        <v>2080</v>
      </c>
      <c r="J248" s="45">
        <v>200</v>
      </c>
      <c r="K248" s="46" t="s">
        <v>2081</v>
      </c>
      <c r="L248" s="47" t="s">
        <v>42</v>
      </c>
      <c r="M248" s="42" t="s">
        <v>55</v>
      </c>
      <c r="N248" s="77" t="s">
        <v>2082</v>
      </c>
      <c r="O248" s="49"/>
      <c r="P248" s="49"/>
      <c r="Q248" s="49"/>
      <c r="R248" s="50">
        <v>0</v>
      </c>
      <c r="S248" s="50">
        <v>0</v>
      </c>
      <c r="T248" s="51">
        <v>0</v>
      </c>
      <c r="U248" s="51">
        <v>2</v>
      </c>
      <c r="V248" s="52">
        <f t="shared" ref="V248:V295" si="10">U248*J248</f>
        <v>400</v>
      </c>
      <c r="W248" s="51" t="s">
        <v>48</v>
      </c>
      <c r="X248" s="30" t="s">
        <v>922</v>
      </c>
      <c r="Y248" s="31" t="s">
        <v>82</v>
      </c>
      <c r="Z248" s="32"/>
      <c r="AA248" s="33" t="s">
        <v>1901</v>
      </c>
      <c r="AB248" s="65" t="s">
        <v>2083</v>
      </c>
      <c r="AC248" s="35">
        <v>2380</v>
      </c>
      <c r="AE248" s="67" t="s">
        <v>2084</v>
      </c>
      <c r="AF248" s="38"/>
      <c r="AG248" s="38" t="s">
        <v>56</v>
      </c>
      <c r="AH248" s="38" t="s">
        <v>56</v>
      </c>
      <c r="AI248" s="38"/>
      <c r="AJ248" s="38"/>
      <c r="AK248" s="38"/>
      <c r="AL248" s="38"/>
      <c r="AM248" s="36">
        <v>25</v>
      </c>
    </row>
    <row r="249" spans="1:39" s="36" customFormat="1" ht="91.5" customHeight="1" x14ac:dyDescent="0.25">
      <c r="A249" s="14">
        <v>46038</v>
      </c>
      <c r="B249" s="41" t="s">
        <v>1853</v>
      </c>
      <c r="C249" s="41" t="s">
        <v>2085</v>
      </c>
      <c r="D249" s="41" t="s">
        <v>1855</v>
      </c>
      <c r="E249" s="42" t="s">
        <v>39</v>
      </c>
      <c r="F249" s="19">
        <v>1</v>
      </c>
      <c r="G249" s="43"/>
      <c r="H249" s="43"/>
      <c r="I249" s="173" t="s">
        <v>2086</v>
      </c>
      <c r="J249" s="45">
        <v>103</v>
      </c>
      <c r="K249" s="46" t="s">
        <v>2087</v>
      </c>
      <c r="L249" s="47" t="s">
        <v>63</v>
      </c>
      <c r="M249" s="73" t="s">
        <v>42</v>
      </c>
      <c r="N249" s="77" t="s">
        <v>2088</v>
      </c>
      <c r="O249" s="49" t="s">
        <v>2011</v>
      </c>
      <c r="P249" s="49" t="s">
        <v>2012</v>
      </c>
      <c r="Q249" s="49" t="s">
        <v>2089</v>
      </c>
      <c r="R249" s="50">
        <v>53</v>
      </c>
      <c r="S249" s="50">
        <v>189</v>
      </c>
      <c r="T249" s="51" t="s">
        <v>47</v>
      </c>
      <c r="U249" s="51">
        <v>61</v>
      </c>
      <c r="V249" s="75">
        <f t="shared" si="10"/>
        <v>6283</v>
      </c>
      <c r="W249" s="51" t="s">
        <v>221</v>
      </c>
      <c r="X249" s="30" t="s">
        <v>1234</v>
      </c>
      <c r="Y249" s="31" t="s">
        <v>1862</v>
      </c>
      <c r="Z249" s="32"/>
      <c r="AA249" s="33" t="s">
        <v>1863</v>
      </c>
      <c r="AB249" s="34" t="s">
        <v>2090</v>
      </c>
      <c r="AC249" s="35">
        <f>(25021.54 * J249/254) + 350</f>
        <v>10496.53</v>
      </c>
      <c r="AE249" s="67" t="s">
        <v>73</v>
      </c>
      <c r="AF249" s="38" t="s">
        <v>354</v>
      </c>
      <c r="AG249" s="38" t="s">
        <v>56</v>
      </c>
      <c r="AH249" s="38" t="s">
        <v>56</v>
      </c>
      <c r="AI249" s="38"/>
      <c r="AJ249" s="38"/>
      <c r="AK249" s="38"/>
      <c r="AL249" s="68"/>
      <c r="AM249" s="36">
        <v>1</v>
      </c>
    </row>
    <row r="250" spans="1:39" s="36" customFormat="1" ht="65.25" customHeight="1" x14ac:dyDescent="0.25">
      <c r="A250" s="14">
        <v>46037</v>
      </c>
      <c r="B250" s="41" t="s">
        <v>2091</v>
      </c>
      <c r="C250" s="41" t="s">
        <v>2092</v>
      </c>
      <c r="D250" s="41" t="s">
        <v>2093</v>
      </c>
      <c r="E250" s="42" t="s">
        <v>39</v>
      </c>
      <c r="F250" s="43"/>
      <c r="G250" s="43"/>
      <c r="H250" s="19">
        <v>1</v>
      </c>
      <c r="I250" s="72" t="s">
        <v>2094</v>
      </c>
      <c r="J250" s="45">
        <v>20</v>
      </c>
      <c r="K250" s="46" t="s">
        <v>8690</v>
      </c>
      <c r="L250" s="47" t="s">
        <v>63</v>
      </c>
      <c r="M250" s="73" t="s">
        <v>42</v>
      </c>
      <c r="N250" s="120" t="s">
        <v>2095</v>
      </c>
      <c r="O250" s="49" t="s">
        <v>2096</v>
      </c>
      <c r="P250" s="49" t="s">
        <v>2097</v>
      </c>
      <c r="Q250" s="49" t="s">
        <v>2098</v>
      </c>
      <c r="R250" s="50">
        <v>103</v>
      </c>
      <c r="S250" s="50">
        <v>318</v>
      </c>
      <c r="T250" s="51" t="s">
        <v>549</v>
      </c>
      <c r="U250" s="51">
        <v>10</v>
      </c>
      <c r="V250" s="52">
        <f t="shared" si="10"/>
        <v>200</v>
      </c>
      <c r="W250" s="51" t="s">
        <v>48</v>
      </c>
      <c r="X250" s="30" t="s">
        <v>1951</v>
      </c>
      <c r="Y250" s="31" t="s">
        <v>82</v>
      </c>
      <c r="Z250" s="32"/>
      <c r="AA250" s="33" t="s">
        <v>1346</v>
      </c>
      <c r="AB250" s="34" t="s">
        <v>2099</v>
      </c>
      <c r="AC250" s="35">
        <v>7651.8</v>
      </c>
      <c r="AE250" s="67" t="s">
        <v>148</v>
      </c>
      <c r="AF250" s="38"/>
      <c r="AG250" s="38" t="s">
        <v>56</v>
      </c>
      <c r="AH250" s="38" t="s">
        <v>56</v>
      </c>
      <c r="AI250" s="38"/>
      <c r="AJ250" s="38"/>
      <c r="AK250" s="38"/>
      <c r="AL250" s="38"/>
      <c r="AM250" s="36">
        <v>1</v>
      </c>
    </row>
    <row r="251" spans="1:39" s="66" customFormat="1" ht="49.5" customHeight="1" x14ac:dyDescent="0.25">
      <c r="A251" s="14">
        <v>46037</v>
      </c>
      <c r="B251" s="95" t="s">
        <v>2030</v>
      </c>
      <c r="C251" s="95" t="s">
        <v>2100</v>
      </c>
      <c r="D251" s="174" t="s">
        <v>2101</v>
      </c>
      <c r="E251" s="96" t="s">
        <v>39</v>
      </c>
      <c r="F251" s="19">
        <v>1</v>
      </c>
      <c r="G251" s="97"/>
      <c r="H251" s="97"/>
      <c r="I251" s="72" t="s">
        <v>2102</v>
      </c>
      <c r="J251" s="98">
        <v>15</v>
      </c>
      <c r="K251" s="165" t="s">
        <v>2103</v>
      </c>
      <c r="L251" s="100" t="s">
        <v>63</v>
      </c>
      <c r="M251" s="100" t="s">
        <v>55</v>
      </c>
      <c r="N251" s="101" t="s">
        <v>2104</v>
      </c>
      <c r="O251" s="102"/>
      <c r="P251" s="102" t="s">
        <v>2105</v>
      </c>
      <c r="Q251" s="102" t="s">
        <v>2106</v>
      </c>
      <c r="R251" s="103">
        <v>71</v>
      </c>
      <c r="S251" s="103">
        <v>213</v>
      </c>
      <c r="T251" s="96" t="s">
        <v>96</v>
      </c>
      <c r="U251" s="96">
        <v>6</v>
      </c>
      <c r="V251" s="104">
        <f t="shared" si="10"/>
        <v>90</v>
      </c>
      <c r="W251" s="96" t="s">
        <v>48</v>
      </c>
      <c r="X251" s="30" t="s">
        <v>2037</v>
      </c>
      <c r="Y251" s="64" t="s">
        <v>82</v>
      </c>
      <c r="Z251" s="32" t="s">
        <v>51</v>
      </c>
      <c r="AA251" s="33" t="s">
        <v>2038</v>
      </c>
      <c r="AB251" s="65" t="s">
        <v>2039</v>
      </c>
      <c r="AC251" s="166">
        <f>3825+915+9898.2*J251/60</f>
        <v>7214.55</v>
      </c>
      <c r="AE251" s="67" t="s">
        <v>148</v>
      </c>
      <c r="AF251" s="38"/>
      <c r="AG251" s="38" t="s">
        <v>56</v>
      </c>
      <c r="AH251" s="38" t="s">
        <v>56</v>
      </c>
      <c r="AI251" s="38"/>
      <c r="AJ251" s="38"/>
      <c r="AK251" s="38"/>
      <c r="AL251" s="68"/>
      <c r="AM251" s="66">
        <v>1</v>
      </c>
    </row>
    <row r="252" spans="1:39" s="36" customFormat="1" ht="120" customHeight="1" x14ac:dyDescent="0.25">
      <c r="A252" s="14">
        <v>46037</v>
      </c>
      <c r="B252" s="41" t="s">
        <v>2107</v>
      </c>
      <c r="C252" s="41" t="s">
        <v>2108</v>
      </c>
      <c r="D252" s="41"/>
      <c r="E252" s="42" t="s">
        <v>39</v>
      </c>
      <c r="F252" s="19">
        <v>1</v>
      </c>
      <c r="G252" s="43"/>
      <c r="H252" s="43"/>
      <c r="I252" s="72" t="s">
        <v>2109</v>
      </c>
      <c r="J252" s="45">
        <v>15</v>
      </c>
      <c r="K252" s="46" t="s">
        <v>2110</v>
      </c>
      <c r="L252" s="50" t="s">
        <v>63</v>
      </c>
      <c r="M252" s="73" t="s">
        <v>42</v>
      </c>
      <c r="N252" s="77" t="s">
        <v>2111</v>
      </c>
      <c r="O252" s="49" t="s">
        <v>2112</v>
      </c>
      <c r="P252" s="49" t="s">
        <v>2113</v>
      </c>
      <c r="Q252" s="49" t="s">
        <v>1859</v>
      </c>
      <c r="R252" s="92">
        <v>157</v>
      </c>
      <c r="S252" s="50">
        <v>846</v>
      </c>
      <c r="T252" s="51" t="s">
        <v>141</v>
      </c>
      <c r="U252" s="51">
        <v>61</v>
      </c>
      <c r="V252" s="75">
        <f t="shared" si="10"/>
        <v>915</v>
      </c>
      <c r="W252" s="51" t="s">
        <v>510</v>
      </c>
      <c r="X252" s="30" t="s">
        <v>2114</v>
      </c>
      <c r="Y252" s="31" t="s">
        <v>324</v>
      </c>
      <c r="Z252" s="32" t="s">
        <v>51</v>
      </c>
      <c r="AA252" s="33" t="s">
        <v>2115</v>
      </c>
      <c r="AB252" s="65" t="s">
        <v>2116</v>
      </c>
      <c r="AC252" s="35">
        <v>10826.3</v>
      </c>
      <c r="AE252" s="67" t="s">
        <v>148</v>
      </c>
      <c r="AF252" s="38"/>
      <c r="AG252" s="38" t="s">
        <v>56</v>
      </c>
      <c r="AH252" s="38" t="s">
        <v>56</v>
      </c>
      <c r="AI252" s="38"/>
      <c r="AJ252" s="38"/>
      <c r="AK252" s="38"/>
      <c r="AL252" s="39" t="s">
        <v>2117</v>
      </c>
      <c r="AM252" s="36">
        <v>1</v>
      </c>
    </row>
    <row r="253" spans="1:39" s="36" customFormat="1" ht="107.25" customHeight="1" x14ac:dyDescent="0.25">
      <c r="A253" s="14">
        <v>46036</v>
      </c>
      <c r="B253" s="82" t="s">
        <v>2118</v>
      </c>
      <c r="C253" s="82" t="s">
        <v>2119</v>
      </c>
      <c r="D253" s="41" t="s">
        <v>2120</v>
      </c>
      <c r="E253" s="42" t="s">
        <v>39</v>
      </c>
      <c r="F253" s="19">
        <v>1</v>
      </c>
      <c r="G253" s="43"/>
      <c r="H253" s="43"/>
      <c r="I253" s="72" t="s">
        <v>2121</v>
      </c>
      <c r="J253" s="45">
        <v>10</v>
      </c>
      <c r="K253" s="46" t="s">
        <v>2122</v>
      </c>
      <c r="L253" s="50" t="s">
        <v>63</v>
      </c>
      <c r="M253" s="73" t="s">
        <v>42</v>
      </c>
      <c r="N253" s="77" t="s">
        <v>2123</v>
      </c>
      <c r="O253" s="49" t="s">
        <v>2124</v>
      </c>
      <c r="P253" s="49" t="s">
        <v>2125</v>
      </c>
      <c r="Q253" s="49" t="s">
        <v>2126</v>
      </c>
      <c r="R253" s="92">
        <v>153</v>
      </c>
      <c r="S253" s="50">
        <v>977</v>
      </c>
      <c r="T253" s="51" t="s">
        <v>141</v>
      </c>
      <c r="U253" s="51">
        <v>5</v>
      </c>
      <c r="V253" s="52">
        <f t="shared" si="10"/>
        <v>50</v>
      </c>
      <c r="W253" s="51" t="s">
        <v>68</v>
      </c>
      <c r="X253" s="30" t="s">
        <v>2127</v>
      </c>
      <c r="Y253" s="31" t="s">
        <v>70</v>
      </c>
      <c r="Z253" s="32" t="s">
        <v>51</v>
      </c>
      <c r="AA253" s="33" t="s">
        <v>83</v>
      </c>
      <c r="AB253" s="65" t="s">
        <v>2128</v>
      </c>
      <c r="AC253" s="35">
        <v>9588</v>
      </c>
      <c r="AE253" s="67" t="s">
        <v>148</v>
      </c>
      <c r="AF253" s="38"/>
      <c r="AG253" s="38" t="s">
        <v>56</v>
      </c>
      <c r="AH253" s="38" t="s">
        <v>56</v>
      </c>
      <c r="AI253" s="38"/>
      <c r="AJ253" s="38"/>
      <c r="AK253" s="38"/>
      <c r="AL253" s="78" t="s">
        <v>2129</v>
      </c>
      <c r="AM253" s="36">
        <v>1</v>
      </c>
    </row>
    <row r="254" spans="1:39" s="36" customFormat="1" ht="141" customHeight="1" x14ac:dyDescent="0.25">
      <c r="A254" s="14">
        <v>46034</v>
      </c>
      <c r="B254" s="82" t="s">
        <v>2130</v>
      </c>
      <c r="C254" s="82" t="s">
        <v>2131</v>
      </c>
      <c r="D254" s="41" t="s">
        <v>2132</v>
      </c>
      <c r="E254" s="42" t="s">
        <v>39</v>
      </c>
      <c r="F254" s="43"/>
      <c r="G254" s="43"/>
      <c r="H254" s="19">
        <v>1</v>
      </c>
      <c r="I254" s="72" t="s">
        <v>2133</v>
      </c>
      <c r="J254" s="45">
        <v>100</v>
      </c>
      <c r="K254" s="46" t="s">
        <v>2134</v>
      </c>
      <c r="L254" s="50" t="s">
        <v>63</v>
      </c>
      <c r="M254" s="73" t="s">
        <v>42</v>
      </c>
      <c r="N254" s="77" t="s">
        <v>2135</v>
      </c>
      <c r="O254" s="49" t="s">
        <v>2012</v>
      </c>
      <c r="P254" s="49" t="s">
        <v>2136</v>
      </c>
      <c r="Q254" s="49" t="s">
        <v>2137</v>
      </c>
      <c r="R254" s="92">
        <v>144</v>
      </c>
      <c r="S254" s="50">
        <v>617</v>
      </c>
      <c r="T254" s="51" t="s">
        <v>180</v>
      </c>
      <c r="U254" s="51">
        <v>1</v>
      </c>
      <c r="V254" s="75">
        <f t="shared" si="10"/>
        <v>100</v>
      </c>
      <c r="W254" s="51" t="s">
        <v>510</v>
      </c>
      <c r="X254" s="93" t="s">
        <v>538</v>
      </c>
      <c r="Y254" s="31" t="s">
        <v>324</v>
      </c>
      <c r="Z254" s="32" t="s">
        <v>645</v>
      </c>
      <c r="AA254" s="33" t="s">
        <v>2138</v>
      </c>
      <c r="AB254" s="65" t="s">
        <v>2139</v>
      </c>
      <c r="AC254" s="35">
        <v>16033</v>
      </c>
      <c r="AE254" s="67" t="s">
        <v>148</v>
      </c>
      <c r="AF254" s="38"/>
      <c r="AG254" s="38" t="s">
        <v>56</v>
      </c>
      <c r="AH254" s="38" t="s">
        <v>56</v>
      </c>
      <c r="AI254" s="38"/>
      <c r="AJ254" s="38"/>
      <c r="AK254" s="38"/>
      <c r="AL254" s="78" t="s">
        <v>2140</v>
      </c>
      <c r="AM254" s="36">
        <v>1</v>
      </c>
    </row>
    <row r="255" spans="1:39" s="36" customFormat="1" ht="259.5" customHeight="1" x14ac:dyDescent="0.25">
      <c r="A255" s="14">
        <v>46031</v>
      </c>
      <c r="B255" s="41" t="s">
        <v>2141</v>
      </c>
      <c r="C255" s="41" t="s">
        <v>2142</v>
      </c>
      <c r="D255" s="41" t="s">
        <v>2143</v>
      </c>
      <c r="E255" s="42" t="s">
        <v>39</v>
      </c>
      <c r="F255" s="43"/>
      <c r="G255" s="43"/>
      <c r="H255" s="19">
        <v>1</v>
      </c>
      <c r="I255" s="72" t="s">
        <v>2144</v>
      </c>
      <c r="J255" s="45">
        <v>155</v>
      </c>
      <c r="K255" s="46" t="s">
        <v>2145</v>
      </c>
      <c r="L255" s="50" t="s">
        <v>63</v>
      </c>
      <c r="M255" s="73" t="s">
        <v>42</v>
      </c>
      <c r="N255" s="77" t="s">
        <v>2146</v>
      </c>
      <c r="O255" s="49"/>
      <c r="P255" s="49" t="s">
        <v>1992</v>
      </c>
      <c r="Q255" s="49" t="s">
        <v>2147</v>
      </c>
      <c r="R255" s="50">
        <v>79</v>
      </c>
      <c r="S255" s="50">
        <v>275</v>
      </c>
      <c r="T255" s="51" t="s">
        <v>67</v>
      </c>
      <c r="U255" s="51">
        <v>28</v>
      </c>
      <c r="V255" s="75">
        <f t="shared" si="10"/>
        <v>4340</v>
      </c>
      <c r="W255" s="51" t="s">
        <v>221</v>
      </c>
      <c r="X255" s="30" t="s">
        <v>2148</v>
      </c>
      <c r="Y255" s="31" t="s">
        <v>324</v>
      </c>
      <c r="Z255" s="32" t="s">
        <v>51</v>
      </c>
      <c r="AA255" s="33" t="s">
        <v>83</v>
      </c>
      <c r="AB255" s="65" t="s">
        <v>2149</v>
      </c>
      <c r="AC255" s="35">
        <v>14890.35</v>
      </c>
      <c r="AE255" s="67" t="s">
        <v>148</v>
      </c>
      <c r="AF255" s="38"/>
      <c r="AG255" s="38" t="s">
        <v>56</v>
      </c>
      <c r="AH255" s="38" t="s">
        <v>56</v>
      </c>
      <c r="AI255" s="38"/>
      <c r="AJ255" s="38"/>
      <c r="AK255" s="38"/>
      <c r="AL255" s="78" t="s">
        <v>2150</v>
      </c>
      <c r="AM255" s="36">
        <v>1</v>
      </c>
    </row>
    <row r="256" spans="1:39" s="36" customFormat="1" ht="108" customHeight="1" x14ac:dyDescent="0.25">
      <c r="A256" s="14">
        <v>46031</v>
      </c>
      <c r="B256" s="41" t="s">
        <v>2151</v>
      </c>
      <c r="C256" s="41" t="s">
        <v>2152</v>
      </c>
      <c r="D256" s="41"/>
      <c r="E256" s="42" t="s">
        <v>39</v>
      </c>
      <c r="F256" s="43"/>
      <c r="G256" s="43"/>
      <c r="H256" s="19">
        <v>3</v>
      </c>
      <c r="I256" s="72" t="s">
        <v>2153</v>
      </c>
      <c r="J256" s="45">
        <v>5</v>
      </c>
      <c r="K256" s="46" t="s">
        <v>2154</v>
      </c>
      <c r="L256" s="50" t="s">
        <v>63</v>
      </c>
      <c r="M256" s="42" t="s">
        <v>55</v>
      </c>
      <c r="N256" s="77" t="s">
        <v>2155</v>
      </c>
      <c r="O256" s="49" t="s">
        <v>2156</v>
      </c>
      <c r="P256" s="49" t="s">
        <v>2157</v>
      </c>
      <c r="Q256" s="49" t="s">
        <v>2158</v>
      </c>
      <c r="R256" s="50">
        <v>70</v>
      </c>
      <c r="S256" s="50">
        <v>256</v>
      </c>
      <c r="T256" s="51" t="s">
        <v>47</v>
      </c>
      <c r="U256" s="51">
        <v>8</v>
      </c>
      <c r="V256" s="52">
        <f t="shared" si="10"/>
        <v>40</v>
      </c>
      <c r="W256" s="51" t="s">
        <v>48</v>
      </c>
      <c r="X256" s="94" t="s">
        <v>232</v>
      </c>
      <c r="Y256" s="31" t="s">
        <v>50</v>
      </c>
      <c r="Z256" s="32" t="s">
        <v>51</v>
      </c>
      <c r="AA256" s="33" t="s">
        <v>2159</v>
      </c>
      <c r="AB256" s="65" t="s">
        <v>2160</v>
      </c>
      <c r="AC256" s="35">
        <v>6735.75</v>
      </c>
      <c r="AE256" s="67" t="s">
        <v>148</v>
      </c>
      <c r="AF256" s="38"/>
      <c r="AG256" s="38" t="s">
        <v>56</v>
      </c>
      <c r="AH256" s="38" t="s">
        <v>56</v>
      </c>
      <c r="AI256" s="38"/>
      <c r="AJ256" s="38"/>
      <c r="AK256" s="38"/>
      <c r="AL256" s="38"/>
      <c r="AM256" s="36">
        <v>1</v>
      </c>
    </row>
    <row r="257" spans="1:39" s="36" customFormat="1" ht="167.25" customHeight="1" x14ac:dyDescent="0.25">
      <c r="A257" s="14">
        <v>46031</v>
      </c>
      <c r="B257" s="41" t="s">
        <v>2161</v>
      </c>
      <c r="C257" s="41" t="s">
        <v>2162</v>
      </c>
      <c r="D257" s="41"/>
      <c r="E257" s="42" t="s">
        <v>39</v>
      </c>
      <c r="F257" s="19">
        <v>1</v>
      </c>
      <c r="G257" s="43"/>
      <c r="H257" s="43"/>
      <c r="I257" s="86" t="s">
        <v>2163</v>
      </c>
      <c r="J257" s="45">
        <v>5</v>
      </c>
      <c r="K257" s="46" t="s">
        <v>2164</v>
      </c>
      <c r="L257" s="47" t="s">
        <v>63</v>
      </c>
      <c r="M257" s="73" t="s">
        <v>42</v>
      </c>
      <c r="N257" s="77" t="s">
        <v>2165</v>
      </c>
      <c r="O257" s="49" t="s">
        <v>2166</v>
      </c>
      <c r="P257" s="49" t="s">
        <v>2167</v>
      </c>
      <c r="Q257" s="49" t="s">
        <v>2168</v>
      </c>
      <c r="R257" s="50">
        <v>114</v>
      </c>
      <c r="S257" s="50">
        <v>339</v>
      </c>
      <c r="T257" s="51" t="s">
        <v>180</v>
      </c>
      <c r="U257" s="51">
        <v>14</v>
      </c>
      <c r="V257" s="52">
        <f t="shared" si="10"/>
        <v>70</v>
      </c>
      <c r="W257" s="51" t="s">
        <v>48</v>
      </c>
      <c r="X257" s="94" t="s">
        <v>232</v>
      </c>
      <c r="Y257" s="31" t="s">
        <v>50</v>
      </c>
      <c r="Z257" s="32"/>
      <c r="AA257" s="33" t="s">
        <v>2169</v>
      </c>
      <c r="AB257" s="34" t="s">
        <v>2170</v>
      </c>
      <c r="AC257" s="35">
        <v>8791.25</v>
      </c>
      <c r="AE257" s="67" t="s">
        <v>148</v>
      </c>
      <c r="AF257" s="38"/>
      <c r="AG257" s="38" t="s">
        <v>56</v>
      </c>
      <c r="AH257" s="38" t="s">
        <v>56</v>
      </c>
      <c r="AI257" s="38"/>
      <c r="AJ257" s="38"/>
      <c r="AK257" s="38"/>
      <c r="AL257" s="39" t="s">
        <v>2171</v>
      </c>
      <c r="AM257" s="175">
        <v>1</v>
      </c>
    </row>
    <row r="258" spans="1:39" s="66" customFormat="1" ht="76.5" x14ac:dyDescent="0.25">
      <c r="A258" s="14">
        <v>46031</v>
      </c>
      <c r="B258" s="176" t="s">
        <v>2172</v>
      </c>
      <c r="C258" s="176" t="s">
        <v>2173</v>
      </c>
      <c r="D258" s="177"/>
      <c r="E258" s="178" t="s">
        <v>39</v>
      </c>
      <c r="F258" s="179"/>
      <c r="G258" s="179"/>
      <c r="H258" s="19">
        <v>1</v>
      </c>
      <c r="I258" s="72" t="s">
        <v>2174</v>
      </c>
      <c r="J258" s="180">
        <v>30</v>
      </c>
      <c r="K258" s="181" t="s">
        <v>2175</v>
      </c>
      <c r="L258" s="182" t="s">
        <v>63</v>
      </c>
      <c r="M258" s="180" t="s">
        <v>55</v>
      </c>
      <c r="N258" s="183" t="s">
        <v>2176</v>
      </c>
      <c r="O258" s="184"/>
      <c r="P258" s="184" t="s">
        <v>2177</v>
      </c>
      <c r="Q258" s="184" t="s">
        <v>2178</v>
      </c>
      <c r="R258" s="182">
        <v>6</v>
      </c>
      <c r="S258" s="182">
        <v>41</v>
      </c>
      <c r="T258" s="178" t="s">
        <v>96</v>
      </c>
      <c r="U258" s="178">
        <v>18</v>
      </c>
      <c r="V258" s="185">
        <f t="shared" si="10"/>
        <v>540</v>
      </c>
      <c r="W258" s="178" t="s">
        <v>48</v>
      </c>
      <c r="X258" s="30" t="s">
        <v>2046</v>
      </c>
      <c r="Y258" s="64" t="s">
        <v>324</v>
      </c>
      <c r="Z258" s="32"/>
      <c r="AA258" s="33" t="s">
        <v>2179</v>
      </c>
      <c r="AB258" s="65" t="s">
        <v>2180</v>
      </c>
      <c r="AC258" s="35">
        <v>5739</v>
      </c>
      <c r="AE258" s="67" t="s">
        <v>148</v>
      </c>
      <c r="AF258" s="38"/>
      <c r="AG258" s="38" t="s">
        <v>56</v>
      </c>
      <c r="AH258" s="38" t="s">
        <v>86</v>
      </c>
      <c r="AI258" s="38"/>
      <c r="AJ258" s="38"/>
      <c r="AK258" s="38"/>
      <c r="AL258" s="68"/>
      <c r="AM258" s="66">
        <v>3</v>
      </c>
    </row>
    <row r="259" spans="1:39" s="36" customFormat="1" ht="165" x14ac:dyDescent="0.25">
      <c r="A259" s="14">
        <v>46031</v>
      </c>
      <c r="B259" s="54" t="s">
        <v>1615</v>
      </c>
      <c r="C259" s="54" t="s">
        <v>2181</v>
      </c>
      <c r="D259" s="54" t="s">
        <v>2182</v>
      </c>
      <c r="E259" s="56" t="s">
        <v>39</v>
      </c>
      <c r="F259" s="57"/>
      <c r="G259" s="57"/>
      <c r="H259" s="19">
        <v>1</v>
      </c>
      <c r="I259" s="86" t="s">
        <v>2183</v>
      </c>
      <c r="J259" s="59">
        <v>40</v>
      </c>
      <c r="K259" s="117" t="s">
        <v>2175</v>
      </c>
      <c r="L259" s="79" t="s">
        <v>63</v>
      </c>
      <c r="M259" s="79" t="s">
        <v>42</v>
      </c>
      <c r="N259" s="80" t="s">
        <v>2184</v>
      </c>
      <c r="O259" s="186" t="s">
        <v>1620</v>
      </c>
      <c r="P259" s="62"/>
      <c r="Q259" s="187" t="s">
        <v>1621</v>
      </c>
      <c r="R259" s="61">
        <v>1</v>
      </c>
      <c r="S259" s="61">
        <v>5</v>
      </c>
      <c r="T259" s="56" t="s">
        <v>393</v>
      </c>
      <c r="U259" s="56">
        <v>5</v>
      </c>
      <c r="V259" s="63">
        <f t="shared" si="10"/>
        <v>200</v>
      </c>
      <c r="W259" s="56" t="s">
        <v>350</v>
      </c>
      <c r="X259" s="30" t="s">
        <v>482</v>
      </c>
      <c r="Y259" s="31" t="s">
        <v>50</v>
      </c>
      <c r="Z259" s="32" t="s">
        <v>483</v>
      </c>
      <c r="AA259" s="33" t="s">
        <v>1622</v>
      </c>
      <c r="AB259" s="34" t="s">
        <v>1623</v>
      </c>
      <c r="AC259" s="35">
        <f>495+J259/55*4895</f>
        <v>4055</v>
      </c>
      <c r="AE259" s="67" t="s">
        <v>1927</v>
      </c>
      <c r="AF259" s="38" t="s">
        <v>354</v>
      </c>
      <c r="AG259" s="38" t="s">
        <v>56</v>
      </c>
      <c r="AH259" s="38" t="s">
        <v>56</v>
      </c>
      <c r="AI259" s="38"/>
      <c r="AJ259" s="38" t="s">
        <v>56</v>
      </c>
      <c r="AK259" s="38" t="s">
        <v>74</v>
      </c>
      <c r="AL259" s="39" t="s">
        <v>1624</v>
      </c>
      <c r="AM259" s="40">
        <v>1</v>
      </c>
    </row>
    <row r="260" spans="1:39" s="36" customFormat="1" ht="30" customHeight="1" x14ac:dyDescent="0.25">
      <c r="A260" s="14">
        <v>46031</v>
      </c>
      <c r="B260" s="95" t="s">
        <v>2185</v>
      </c>
      <c r="C260" s="95" t="s">
        <v>2186</v>
      </c>
      <c r="D260" s="95" t="s">
        <v>2187</v>
      </c>
      <c r="E260" s="96" t="s">
        <v>39</v>
      </c>
      <c r="F260" s="97"/>
      <c r="G260" s="97"/>
      <c r="H260" s="19">
        <v>1</v>
      </c>
      <c r="I260" s="72" t="s">
        <v>2188</v>
      </c>
      <c r="J260" s="98">
        <v>120</v>
      </c>
      <c r="K260" s="165" t="s">
        <v>2189</v>
      </c>
      <c r="L260" s="100" t="s">
        <v>63</v>
      </c>
      <c r="M260" s="100" t="s">
        <v>55</v>
      </c>
      <c r="N260" s="101" t="s">
        <v>2190</v>
      </c>
      <c r="O260" s="102"/>
      <c r="P260" s="102" t="s">
        <v>2137</v>
      </c>
      <c r="Q260" s="102" t="s">
        <v>2177</v>
      </c>
      <c r="R260" s="103">
        <v>8</v>
      </c>
      <c r="S260" s="103">
        <v>15</v>
      </c>
      <c r="T260" s="96" t="s">
        <v>96</v>
      </c>
      <c r="U260" s="96">
        <v>5</v>
      </c>
      <c r="V260" s="104">
        <f t="shared" si="10"/>
        <v>600</v>
      </c>
      <c r="W260" s="96" t="s">
        <v>48</v>
      </c>
      <c r="X260" s="30" t="s">
        <v>2191</v>
      </c>
      <c r="Y260" s="31" t="s">
        <v>99</v>
      </c>
      <c r="Z260" s="32" t="s">
        <v>51</v>
      </c>
      <c r="AA260" s="33" t="s">
        <v>1199</v>
      </c>
      <c r="AB260" s="65" t="s">
        <v>2039</v>
      </c>
      <c r="AC260" s="35">
        <v>4403</v>
      </c>
      <c r="AE260" s="67" t="s">
        <v>1927</v>
      </c>
      <c r="AF260" s="38"/>
      <c r="AG260" s="38" t="s">
        <v>56</v>
      </c>
      <c r="AH260" s="38" t="s">
        <v>86</v>
      </c>
      <c r="AI260" s="38"/>
      <c r="AJ260" s="38"/>
      <c r="AK260" s="38"/>
      <c r="AL260" s="38"/>
      <c r="AM260" s="36">
        <v>25</v>
      </c>
    </row>
    <row r="261" spans="1:39" s="66" customFormat="1" ht="63.75" x14ac:dyDescent="0.25">
      <c r="A261" s="14">
        <v>46030</v>
      </c>
      <c r="B261" s="95" t="s">
        <v>2192</v>
      </c>
      <c r="C261" s="95" t="s">
        <v>2186</v>
      </c>
      <c r="D261" s="95"/>
      <c r="E261" s="96" t="s">
        <v>195</v>
      </c>
      <c r="F261" s="97"/>
      <c r="G261" s="97"/>
      <c r="H261" s="97"/>
      <c r="I261" s="72" t="s">
        <v>2193</v>
      </c>
      <c r="J261" s="98">
        <v>40</v>
      </c>
      <c r="K261" s="165" t="s">
        <v>2189</v>
      </c>
      <c r="L261" s="100" t="s">
        <v>42</v>
      </c>
      <c r="M261" s="96" t="s">
        <v>42</v>
      </c>
      <c r="N261" s="101" t="s">
        <v>2194</v>
      </c>
      <c r="O261" s="102"/>
      <c r="P261" s="102"/>
      <c r="Q261" s="102"/>
      <c r="R261" s="103"/>
      <c r="S261" s="103"/>
      <c r="T261" s="96"/>
      <c r="U261" s="96"/>
      <c r="V261" s="104">
        <f t="shared" si="10"/>
        <v>0</v>
      </c>
      <c r="W261" s="96" t="s">
        <v>142</v>
      </c>
      <c r="X261" s="30" t="s">
        <v>1243</v>
      </c>
      <c r="Y261" s="64" t="s">
        <v>82</v>
      </c>
      <c r="Z261" s="32" t="s">
        <v>51</v>
      </c>
      <c r="AA261" s="33" t="s">
        <v>83</v>
      </c>
      <c r="AB261" s="65" t="s">
        <v>2039</v>
      </c>
      <c r="AC261" s="35">
        <v>740</v>
      </c>
      <c r="AE261" s="67"/>
      <c r="AF261" s="38"/>
      <c r="AG261" s="38"/>
      <c r="AH261" s="38"/>
      <c r="AI261" s="38"/>
      <c r="AJ261" s="38"/>
      <c r="AK261" s="38"/>
      <c r="AL261" s="68"/>
    </row>
    <row r="262" spans="1:39" s="66" customFormat="1" ht="85.5" customHeight="1" x14ac:dyDescent="0.25">
      <c r="A262" s="14">
        <v>46030</v>
      </c>
      <c r="B262" s="41" t="s">
        <v>2195</v>
      </c>
      <c r="C262" s="41" t="s">
        <v>2196</v>
      </c>
      <c r="D262" s="41" t="s">
        <v>2197</v>
      </c>
      <c r="E262" s="42" t="s">
        <v>39</v>
      </c>
      <c r="F262" s="19">
        <v>1</v>
      </c>
      <c r="G262" s="43"/>
      <c r="H262" s="43"/>
      <c r="I262" s="72" t="s">
        <v>2198</v>
      </c>
      <c r="J262" s="45">
        <v>200</v>
      </c>
      <c r="K262" s="46" t="s">
        <v>2199</v>
      </c>
      <c r="L262" s="50" t="s">
        <v>2200</v>
      </c>
      <c r="M262" s="73" t="s">
        <v>42</v>
      </c>
      <c r="N262" s="77" t="s">
        <v>2201</v>
      </c>
      <c r="O262" s="49" t="s">
        <v>2202</v>
      </c>
      <c r="P262" s="49" t="s">
        <v>2203</v>
      </c>
      <c r="Q262" s="49" t="s">
        <v>2204</v>
      </c>
      <c r="R262" s="50">
        <v>5</v>
      </c>
      <c r="S262" s="50">
        <v>8</v>
      </c>
      <c r="T262" s="51" t="s">
        <v>47</v>
      </c>
      <c r="U262" s="51">
        <v>1</v>
      </c>
      <c r="V262" s="52">
        <f t="shared" si="10"/>
        <v>200</v>
      </c>
      <c r="W262" s="51" t="s">
        <v>142</v>
      </c>
      <c r="X262" s="30" t="s">
        <v>2205</v>
      </c>
      <c r="Y262" s="64" t="s">
        <v>82</v>
      </c>
      <c r="Z262" s="32"/>
      <c r="AA262" s="33" t="s">
        <v>83</v>
      </c>
      <c r="AB262" s="65" t="s">
        <v>2206</v>
      </c>
      <c r="AC262" s="35">
        <v>1820</v>
      </c>
      <c r="AE262" s="67" t="s">
        <v>148</v>
      </c>
      <c r="AF262" s="38"/>
      <c r="AG262" s="38" t="s">
        <v>56</v>
      </c>
      <c r="AH262" s="38" t="s">
        <v>86</v>
      </c>
      <c r="AI262" s="38"/>
      <c r="AJ262" s="38"/>
      <c r="AK262" s="38"/>
      <c r="AL262" s="68"/>
      <c r="AM262" s="66">
        <v>25</v>
      </c>
    </row>
    <row r="263" spans="1:39" s="36" customFormat="1" ht="102.75" customHeight="1" x14ac:dyDescent="0.25">
      <c r="A263" s="14">
        <v>46030</v>
      </c>
      <c r="B263" s="41" t="s">
        <v>2207</v>
      </c>
      <c r="C263" s="41" t="s">
        <v>2208</v>
      </c>
      <c r="D263" s="41"/>
      <c r="E263" s="42" t="s">
        <v>39</v>
      </c>
      <c r="F263" s="19">
        <v>1</v>
      </c>
      <c r="G263" s="43"/>
      <c r="H263" s="43"/>
      <c r="I263" s="72" t="s">
        <v>2209</v>
      </c>
      <c r="J263" s="45">
        <v>200</v>
      </c>
      <c r="K263" s="46" t="s">
        <v>2210</v>
      </c>
      <c r="L263" s="47" t="s">
        <v>63</v>
      </c>
      <c r="M263" s="73" t="s">
        <v>42</v>
      </c>
      <c r="N263" s="77" t="s">
        <v>2211</v>
      </c>
      <c r="O263" s="49" t="s">
        <v>1992</v>
      </c>
      <c r="P263" s="49" t="s">
        <v>2212</v>
      </c>
      <c r="Q263" s="49" t="s">
        <v>2213</v>
      </c>
      <c r="R263" s="50">
        <v>25</v>
      </c>
      <c r="S263" s="50">
        <v>52</v>
      </c>
      <c r="T263" s="51" t="s">
        <v>47</v>
      </c>
      <c r="U263" s="51">
        <v>4</v>
      </c>
      <c r="V263" s="52">
        <f t="shared" si="10"/>
        <v>800</v>
      </c>
      <c r="W263" s="51" t="s">
        <v>48</v>
      </c>
      <c r="X263" s="30" t="s">
        <v>2214</v>
      </c>
      <c r="Y263" s="31" t="s">
        <v>82</v>
      </c>
      <c r="Z263" s="32"/>
      <c r="AA263" s="33" t="s">
        <v>2215</v>
      </c>
      <c r="AB263" s="65" t="s">
        <v>2216</v>
      </c>
      <c r="AC263" s="35">
        <v>6416</v>
      </c>
      <c r="AE263" s="67" t="s">
        <v>148</v>
      </c>
      <c r="AF263" s="38"/>
      <c r="AG263" s="38" t="s">
        <v>56</v>
      </c>
      <c r="AH263" s="38" t="s">
        <v>56</v>
      </c>
      <c r="AI263" s="38"/>
      <c r="AJ263" s="38" t="s">
        <v>56</v>
      </c>
      <c r="AK263" s="38" t="s">
        <v>1539</v>
      </c>
      <c r="AL263" s="38"/>
      <c r="AM263" s="188">
        <v>10</v>
      </c>
    </row>
    <row r="264" spans="1:39" s="36" customFormat="1" ht="153.75" customHeight="1" x14ac:dyDescent="0.25">
      <c r="A264" s="14">
        <v>46029</v>
      </c>
      <c r="B264" s="41" t="s">
        <v>2217</v>
      </c>
      <c r="C264" s="41" t="s">
        <v>2218</v>
      </c>
      <c r="D264" s="41" t="s">
        <v>2219</v>
      </c>
      <c r="E264" s="42" t="s">
        <v>39</v>
      </c>
      <c r="F264" s="43"/>
      <c r="G264" s="43"/>
      <c r="H264" s="19">
        <v>2</v>
      </c>
      <c r="I264" s="72" t="s">
        <v>2220</v>
      </c>
      <c r="J264" s="45">
        <v>35</v>
      </c>
      <c r="K264" s="46" t="s">
        <v>2221</v>
      </c>
      <c r="L264" s="47" t="s">
        <v>63</v>
      </c>
      <c r="M264" s="73" t="s">
        <v>42</v>
      </c>
      <c r="N264" s="77" t="s">
        <v>2222</v>
      </c>
      <c r="O264" s="49"/>
      <c r="P264" s="49" t="s">
        <v>2223</v>
      </c>
      <c r="Q264" s="49" t="s">
        <v>2224</v>
      </c>
      <c r="R264" s="50">
        <v>37</v>
      </c>
      <c r="S264" s="50">
        <v>78</v>
      </c>
      <c r="T264" s="51" t="s">
        <v>96</v>
      </c>
      <c r="U264" s="51">
        <v>3</v>
      </c>
      <c r="V264" s="52">
        <f t="shared" si="10"/>
        <v>105</v>
      </c>
      <c r="W264" s="51" t="s">
        <v>510</v>
      </c>
      <c r="X264" s="30" t="s">
        <v>583</v>
      </c>
      <c r="Y264" s="31" t="s">
        <v>70</v>
      </c>
      <c r="Z264" s="32"/>
      <c r="AA264" s="33" t="s">
        <v>83</v>
      </c>
      <c r="AB264" s="65" t="s">
        <v>2225</v>
      </c>
      <c r="AC264" s="35">
        <v>2937.5</v>
      </c>
      <c r="AE264" s="67" t="s">
        <v>148</v>
      </c>
      <c r="AF264" s="38"/>
      <c r="AG264" s="38" t="s">
        <v>56</v>
      </c>
      <c r="AH264" s="38" t="s">
        <v>86</v>
      </c>
      <c r="AI264" s="38"/>
      <c r="AJ264" s="38"/>
      <c r="AK264" s="38"/>
      <c r="AL264" s="39" t="s">
        <v>2226</v>
      </c>
      <c r="AM264" s="36">
        <v>1</v>
      </c>
    </row>
    <row r="265" spans="1:39" s="36" customFormat="1" ht="210" x14ac:dyDescent="0.25">
      <c r="A265" s="14">
        <v>46028</v>
      </c>
      <c r="B265" s="41" t="s">
        <v>2227</v>
      </c>
      <c r="C265" s="41" t="s">
        <v>2228</v>
      </c>
      <c r="D265" s="41"/>
      <c r="E265" s="42" t="s">
        <v>39</v>
      </c>
      <c r="F265" s="19">
        <v>1</v>
      </c>
      <c r="G265" s="43"/>
      <c r="H265" s="43"/>
      <c r="I265" s="72" t="s">
        <v>9877</v>
      </c>
      <c r="J265" s="45">
        <v>45</v>
      </c>
      <c r="K265" s="46" t="s">
        <v>2229</v>
      </c>
      <c r="L265" s="47" t="s">
        <v>41</v>
      </c>
      <c r="M265" s="73" t="s">
        <v>42</v>
      </c>
      <c r="N265" s="77" t="s">
        <v>2230</v>
      </c>
      <c r="O265" s="49" t="s">
        <v>2231</v>
      </c>
      <c r="P265" s="49" t="s">
        <v>2232</v>
      </c>
      <c r="Q265" s="49" t="s">
        <v>2233</v>
      </c>
      <c r="R265" s="92">
        <v>142</v>
      </c>
      <c r="S265" s="50">
        <v>657</v>
      </c>
      <c r="T265" s="51" t="s">
        <v>141</v>
      </c>
      <c r="U265" s="51">
        <v>0</v>
      </c>
      <c r="V265" s="52">
        <f t="shared" si="10"/>
        <v>0</v>
      </c>
      <c r="W265" s="51" t="s">
        <v>350</v>
      </c>
      <c r="X265" s="30" t="s">
        <v>2234</v>
      </c>
      <c r="Y265" s="31" t="s">
        <v>144</v>
      </c>
      <c r="Z265" s="32" t="s">
        <v>2235</v>
      </c>
      <c r="AA265" s="33" t="s">
        <v>83</v>
      </c>
      <c r="AB265" s="189" t="s">
        <v>2180</v>
      </c>
      <c r="AC265" s="35">
        <v>8387.1</v>
      </c>
      <c r="AE265" s="67" t="s">
        <v>148</v>
      </c>
      <c r="AF265" s="38"/>
      <c r="AG265" s="38" t="s">
        <v>56</v>
      </c>
      <c r="AH265" s="38" t="s">
        <v>56</v>
      </c>
      <c r="AI265" s="38"/>
      <c r="AJ265" s="38" t="s">
        <v>56</v>
      </c>
      <c r="AK265" s="38" t="s">
        <v>2236</v>
      </c>
      <c r="AL265" s="38"/>
      <c r="AM265" s="36">
        <v>1</v>
      </c>
    </row>
    <row r="266" spans="1:39" s="66" customFormat="1" ht="105" x14ac:dyDescent="0.25">
      <c r="A266" s="14">
        <v>46028</v>
      </c>
      <c r="B266" s="41" t="s">
        <v>2237</v>
      </c>
      <c r="C266" s="41" t="s">
        <v>2238</v>
      </c>
      <c r="D266" s="41"/>
      <c r="E266" s="42" t="s">
        <v>39</v>
      </c>
      <c r="F266" s="19">
        <v>2</v>
      </c>
      <c r="G266" s="43"/>
      <c r="H266" s="43"/>
      <c r="I266" s="72" t="s">
        <v>2239</v>
      </c>
      <c r="J266" s="45">
        <v>3600</v>
      </c>
      <c r="K266" s="46" t="s">
        <v>2240</v>
      </c>
      <c r="L266" s="47" t="s">
        <v>63</v>
      </c>
      <c r="M266" s="73" t="s">
        <v>42</v>
      </c>
      <c r="N266" s="77" t="s">
        <v>2241</v>
      </c>
      <c r="O266" s="49"/>
      <c r="P266" s="49" t="s">
        <v>2242</v>
      </c>
      <c r="Q266" s="49" t="s">
        <v>2243</v>
      </c>
      <c r="R266" s="50">
        <v>1</v>
      </c>
      <c r="S266" s="50">
        <v>2</v>
      </c>
      <c r="T266" s="51" t="s">
        <v>96</v>
      </c>
      <c r="U266" s="51">
        <v>0</v>
      </c>
      <c r="V266" s="52">
        <f t="shared" si="10"/>
        <v>0</v>
      </c>
      <c r="W266" s="51" t="s">
        <v>221</v>
      </c>
      <c r="X266" s="30" t="s">
        <v>2244</v>
      </c>
      <c r="Y266" s="64" t="s">
        <v>324</v>
      </c>
      <c r="Z266" s="32" t="s">
        <v>645</v>
      </c>
      <c r="AA266" s="33" t="s">
        <v>2245</v>
      </c>
      <c r="AB266" s="189" t="s">
        <v>2246</v>
      </c>
      <c r="AC266" s="35">
        <v>23040</v>
      </c>
      <c r="AE266" s="67" t="s">
        <v>148</v>
      </c>
      <c r="AF266" s="38"/>
      <c r="AG266" s="38" t="s">
        <v>56</v>
      </c>
      <c r="AH266" s="38" t="s">
        <v>86</v>
      </c>
      <c r="AI266" s="38"/>
      <c r="AJ266" s="38" t="s">
        <v>56</v>
      </c>
      <c r="AK266" s="38" t="s">
        <v>74</v>
      </c>
      <c r="AL266" s="39" t="s">
        <v>2247</v>
      </c>
      <c r="AM266" s="66">
        <v>30</v>
      </c>
    </row>
    <row r="267" spans="1:39" s="36" customFormat="1" ht="90" x14ac:dyDescent="0.25">
      <c r="A267" s="14">
        <v>46027</v>
      </c>
      <c r="B267" s="41" t="s">
        <v>2248</v>
      </c>
      <c r="C267" s="41" t="s">
        <v>2218</v>
      </c>
      <c r="D267" s="41"/>
      <c r="E267" s="42" t="s">
        <v>39</v>
      </c>
      <c r="F267" s="19">
        <v>1</v>
      </c>
      <c r="G267" s="43"/>
      <c r="H267" s="43"/>
      <c r="I267" s="72" t="s">
        <v>2249</v>
      </c>
      <c r="J267" s="45">
        <v>155</v>
      </c>
      <c r="K267" s="46" t="s">
        <v>2250</v>
      </c>
      <c r="L267" s="50" t="s">
        <v>63</v>
      </c>
      <c r="M267" s="73" t="s">
        <v>42</v>
      </c>
      <c r="N267" s="77" t="s">
        <v>2251</v>
      </c>
      <c r="O267" s="49"/>
      <c r="P267" s="49" t="s">
        <v>2252</v>
      </c>
      <c r="Q267" s="49" t="s">
        <v>2253</v>
      </c>
      <c r="R267" s="50">
        <v>12</v>
      </c>
      <c r="S267" s="50">
        <v>28</v>
      </c>
      <c r="T267" s="51" t="s">
        <v>96</v>
      </c>
      <c r="U267" s="51">
        <v>2</v>
      </c>
      <c r="V267" s="52">
        <f t="shared" si="10"/>
        <v>310</v>
      </c>
      <c r="W267" s="51" t="s">
        <v>221</v>
      </c>
      <c r="X267" s="30" t="s">
        <v>2148</v>
      </c>
      <c r="Y267" s="31" t="s">
        <v>324</v>
      </c>
      <c r="Z267" s="32"/>
      <c r="AA267" s="33" t="s">
        <v>83</v>
      </c>
      <c r="AB267" s="190" t="s">
        <v>2254</v>
      </c>
      <c r="AC267" s="35">
        <v>2649.8</v>
      </c>
      <c r="AE267" s="67" t="s">
        <v>148</v>
      </c>
      <c r="AF267" s="38"/>
      <c r="AG267" s="38" t="s">
        <v>56</v>
      </c>
      <c r="AH267" s="38" t="s">
        <v>56</v>
      </c>
      <c r="AI267" s="38"/>
      <c r="AJ267" s="38"/>
      <c r="AK267" s="38"/>
      <c r="AL267" s="78" t="s">
        <v>2150</v>
      </c>
      <c r="AM267" s="36">
        <v>2</v>
      </c>
    </row>
    <row r="268" spans="1:39" s="36" customFormat="1" ht="105" x14ac:dyDescent="0.25">
      <c r="A268" s="14">
        <v>46022</v>
      </c>
      <c r="B268" s="41" t="s">
        <v>2255</v>
      </c>
      <c r="C268" s="41" t="s">
        <v>2256</v>
      </c>
      <c r="D268" s="41" t="s">
        <v>2257</v>
      </c>
      <c r="E268" s="42" t="s">
        <v>39</v>
      </c>
      <c r="F268" s="19">
        <v>1</v>
      </c>
      <c r="G268" s="43"/>
      <c r="H268" s="43"/>
      <c r="I268" s="72" t="s">
        <v>2258</v>
      </c>
      <c r="J268" s="45">
        <v>450</v>
      </c>
      <c r="K268" s="46" t="s">
        <v>2259</v>
      </c>
      <c r="L268" s="50" t="s">
        <v>63</v>
      </c>
      <c r="M268" s="73" t="s">
        <v>42</v>
      </c>
      <c r="N268" s="77" t="s">
        <v>2201</v>
      </c>
      <c r="O268" s="49" t="s">
        <v>2260</v>
      </c>
      <c r="P268" s="49" t="s">
        <v>2261</v>
      </c>
      <c r="Q268" s="49" t="s">
        <v>2262</v>
      </c>
      <c r="R268" s="50">
        <v>5</v>
      </c>
      <c r="S268" s="50">
        <v>8</v>
      </c>
      <c r="T268" s="51" t="s">
        <v>47</v>
      </c>
      <c r="U268" s="51">
        <v>1</v>
      </c>
      <c r="V268" s="52">
        <f t="shared" si="10"/>
        <v>450</v>
      </c>
      <c r="W268" s="51" t="s">
        <v>142</v>
      </c>
      <c r="X268" s="30" t="s">
        <v>434</v>
      </c>
      <c r="Y268" s="31" t="s">
        <v>82</v>
      </c>
      <c r="Z268" s="32"/>
      <c r="AA268" s="33" t="s">
        <v>83</v>
      </c>
      <c r="AB268" s="191" t="s">
        <v>2263</v>
      </c>
      <c r="AC268" s="35">
        <v>4170</v>
      </c>
      <c r="AE268" s="67" t="s">
        <v>148</v>
      </c>
      <c r="AF268" s="38"/>
      <c r="AG268" s="38" t="s">
        <v>56</v>
      </c>
      <c r="AH268" s="38" t="s">
        <v>56</v>
      </c>
      <c r="AI268" s="38"/>
      <c r="AJ268" s="38"/>
      <c r="AK268" s="38"/>
      <c r="AL268" s="78" t="s">
        <v>2264</v>
      </c>
      <c r="AM268" s="36">
        <v>25</v>
      </c>
    </row>
    <row r="269" spans="1:39" s="36" customFormat="1" ht="364.5" x14ac:dyDescent="0.25">
      <c r="A269" s="14">
        <v>46022</v>
      </c>
      <c r="B269" s="41" t="s">
        <v>2265</v>
      </c>
      <c r="C269" s="41" t="s">
        <v>2266</v>
      </c>
      <c r="D269" s="41"/>
      <c r="E269" s="42" t="s">
        <v>39</v>
      </c>
      <c r="F269" s="19">
        <v>1</v>
      </c>
      <c r="G269" s="43"/>
      <c r="H269" s="43"/>
      <c r="I269" s="72" t="s">
        <v>2267</v>
      </c>
      <c r="J269" s="45">
        <v>20</v>
      </c>
      <c r="K269" s="46" t="s">
        <v>2259</v>
      </c>
      <c r="L269" s="47" t="s">
        <v>63</v>
      </c>
      <c r="M269" s="73" t="s">
        <v>42</v>
      </c>
      <c r="N269" s="120" t="s">
        <v>2268</v>
      </c>
      <c r="O269" s="49" t="s">
        <v>2269</v>
      </c>
      <c r="P269" s="49" t="s">
        <v>2270</v>
      </c>
      <c r="Q269" s="49" t="s">
        <v>1992</v>
      </c>
      <c r="R269" s="92">
        <v>189</v>
      </c>
      <c r="S269" s="92">
        <v>1361</v>
      </c>
      <c r="T269" s="51" t="s">
        <v>141</v>
      </c>
      <c r="U269" s="51">
        <v>46</v>
      </c>
      <c r="V269" s="75">
        <f t="shared" si="10"/>
        <v>920</v>
      </c>
      <c r="W269" s="51" t="s">
        <v>142</v>
      </c>
      <c r="X269" s="30" t="s">
        <v>1431</v>
      </c>
      <c r="Y269" s="31" t="s">
        <v>82</v>
      </c>
      <c r="Z269" s="32" t="s">
        <v>2271</v>
      </c>
      <c r="AA269" s="33" t="s">
        <v>2272</v>
      </c>
      <c r="AB269" s="34" t="s">
        <v>2273</v>
      </c>
      <c r="AC269" s="35">
        <v>17960.599999999999</v>
      </c>
      <c r="AE269" s="67" t="s">
        <v>1927</v>
      </c>
      <c r="AF269" s="38"/>
      <c r="AG269" s="38" t="s">
        <v>56</v>
      </c>
      <c r="AH269" s="38" t="s">
        <v>56</v>
      </c>
      <c r="AI269" s="38"/>
      <c r="AJ269" s="38"/>
      <c r="AK269" s="38"/>
      <c r="AL269" s="78" t="s">
        <v>2274</v>
      </c>
      <c r="AM269" s="175">
        <v>1</v>
      </c>
    </row>
    <row r="270" spans="1:39" s="66" customFormat="1" ht="215.25" x14ac:dyDescent="0.25">
      <c r="A270" s="14">
        <v>46022</v>
      </c>
      <c r="B270" s="41" t="s">
        <v>2275</v>
      </c>
      <c r="C270" s="41" t="s">
        <v>2276</v>
      </c>
      <c r="D270" s="192" t="s">
        <v>1706</v>
      </c>
      <c r="E270" s="42" t="s">
        <v>39</v>
      </c>
      <c r="F270" s="19">
        <v>1</v>
      </c>
      <c r="G270" s="43"/>
      <c r="H270" s="43"/>
      <c r="I270" s="72" t="s">
        <v>2277</v>
      </c>
      <c r="J270" s="45">
        <v>100</v>
      </c>
      <c r="K270" s="46" t="s">
        <v>2278</v>
      </c>
      <c r="L270" s="47" t="s">
        <v>63</v>
      </c>
      <c r="M270" s="73" t="s">
        <v>42</v>
      </c>
      <c r="N270" s="77" t="s">
        <v>2279</v>
      </c>
      <c r="O270" s="49" t="s">
        <v>2280</v>
      </c>
      <c r="P270" s="49" t="s">
        <v>2281</v>
      </c>
      <c r="Q270" s="49" t="s">
        <v>2282</v>
      </c>
      <c r="R270" s="50">
        <v>116</v>
      </c>
      <c r="S270" s="92">
        <v>480</v>
      </c>
      <c r="T270" s="51" t="s">
        <v>141</v>
      </c>
      <c r="U270" s="51">
        <v>18</v>
      </c>
      <c r="V270" s="75">
        <f t="shared" si="10"/>
        <v>1800</v>
      </c>
      <c r="W270" s="51" t="s">
        <v>510</v>
      </c>
      <c r="X270" s="93" t="s">
        <v>538</v>
      </c>
      <c r="Y270" s="64" t="s">
        <v>324</v>
      </c>
      <c r="Z270" s="32"/>
      <c r="AA270" s="33" t="s">
        <v>1712</v>
      </c>
      <c r="AB270" s="65" t="s">
        <v>2283</v>
      </c>
      <c r="AC270" s="35">
        <v>12344</v>
      </c>
      <c r="AE270" s="67" t="s">
        <v>148</v>
      </c>
      <c r="AF270" s="38"/>
      <c r="AG270" s="38" t="s">
        <v>56</v>
      </c>
      <c r="AH270" s="38" t="s">
        <v>56</v>
      </c>
      <c r="AI270" s="38"/>
      <c r="AJ270" s="38" t="s">
        <v>56</v>
      </c>
      <c r="AK270" s="38" t="s">
        <v>2284</v>
      </c>
      <c r="AM270" s="66">
        <v>2</v>
      </c>
    </row>
    <row r="271" spans="1:39" s="66" customFormat="1" ht="41.25" customHeight="1" x14ac:dyDescent="0.25">
      <c r="A271" s="14">
        <v>46021</v>
      </c>
      <c r="B271" s="41" t="s">
        <v>2285</v>
      </c>
      <c r="C271" s="144" t="s">
        <v>2286</v>
      </c>
      <c r="D271" s="144"/>
      <c r="E271" s="145" t="s">
        <v>39</v>
      </c>
      <c r="F271" s="147">
        <v>1</v>
      </c>
      <c r="G271" s="146"/>
      <c r="H271" s="146"/>
      <c r="I271" s="148" t="s">
        <v>2287</v>
      </c>
      <c r="J271" s="149">
        <v>40</v>
      </c>
      <c r="K271" s="150" t="s">
        <v>2288</v>
      </c>
      <c r="L271" s="151" t="s">
        <v>63</v>
      </c>
      <c r="M271" s="193" t="s">
        <v>42</v>
      </c>
      <c r="N271" s="77" t="s">
        <v>2289</v>
      </c>
      <c r="O271" s="194" t="s">
        <v>2290</v>
      </c>
      <c r="P271" s="49" t="s">
        <v>2291</v>
      </c>
      <c r="Q271" s="49" t="s">
        <v>2292</v>
      </c>
      <c r="R271" s="50">
        <v>2</v>
      </c>
      <c r="S271" s="50">
        <v>80</v>
      </c>
      <c r="T271" s="51" t="s">
        <v>47</v>
      </c>
      <c r="U271" s="51">
        <v>0</v>
      </c>
      <c r="V271" s="52">
        <f t="shared" si="10"/>
        <v>0</v>
      </c>
      <c r="W271" s="51" t="s">
        <v>221</v>
      </c>
      <c r="X271" s="93" t="s">
        <v>300</v>
      </c>
      <c r="Y271" s="64" t="s">
        <v>144</v>
      </c>
      <c r="Z271" s="32"/>
      <c r="AA271" s="33" t="s">
        <v>1177</v>
      </c>
      <c r="AB271" s="34" t="s">
        <v>2293</v>
      </c>
      <c r="AC271" s="35">
        <v>3872</v>
      </c>
      <c r="AE271" s="67" t="s">
        <v>148</v>
      </c>
      <c r="AF271" s="38"/>
      <c r="AG271" s="38" t="s">
        <v>56</v>
      </c>
      <c r="AH271" s="38" t="s">
        <v>56</v>
      </c>
      <c r="AI271" s="38"/>
      <c r="AJ271" s="38" t="s">
        <v>56</v>
      </c>
      <c r="AK271" s="38" t="s">
        <v>74</v>
      </c>
      <c r="AL271" s="39" t="s">
        <v>2294</v>
      </c>
      <c r="AM271" s="40">
        <v>1</v>
      </c>
    </row>
    <row r="272" spans="1:39" s="66" customFormat="1" ht="105" x14ac:dyDescent="0.25">
      <c r="A272" s="14">
        <v>46021</v>
      </c>
      <c r="B272" s="41" t="s">
        <v>2295</v>
      </c>
      <c r="C272" s="41" t="s">
        <v>2238</v>
      </c>
      <c r="D272" s="41" t="s">
        <v>2296</v>
      </c>
      <c r="E272" s="42" t="s">
        <v>1379</v>
      </c>
      <c r="F272" s="19">
        <v>1</v>
      </c>
      <c r="G272" s="43"/>
      <c r="H272" s="43"/>
      <c r="I272" s="72" t="s">
        <v>2297</v>
      </c>
      <c r="J272" s="45">
        <v>601</v>
      </c>
      <c r="K272" s="46" t="s">
        <v>2298</v>
      </c>
      <c r="L272" s="47" t="s">
        <v>63</v>
      </c>
      <c r="M272" s="73" t="s">
        <v>42</v>
      </c>
      <c r="N272" s="77" t="s">
        <v>2241</v>
      </c>
      <c r="O272" s="49"/>
      <c r="P272" s="49" t="s">
        <v>2299</v>
      </c>
      <c r="Q272" s="49" t="s">
        <v>2280</v>
      </c>
      <c r="R272" s="50">
        <v>1</v>
      </c>
      <c r="S272" s="50">
        <v>2</v>
      </c>
      <c r="T272" s="51" t="s">
        <v>96</v>
      </c>
      <c r="U272" s="51">
        <v>0</v>
      </c>
      <c r="V272" s="52">
        <f t="shared" si="10"/>
        <v>0</v>
      </c>
      <c r="W272" s="51" t="s">
        <v>221</v>
      </c>
      <c r="X272" s="30" t="s">
        <v>2244</v>
      </c>
      <c r="Y272" s="64" t="s">
        <v>324</v>
      </c>
      <c r="Z272" s="32" t="s">
        <v>645</v>
      </c>
      <c r="AA272" s="33" t="s">
        <v>2245</v>
      </c>
      <c r="AB272" s="190" t="s">
        <v>2300</v>
      </c>
      <c r="AC272" s="35">
        <v>6430.7</v>
      </c>
      <c r="AE272" s="67" t="s">
        <v>148</v>
      </c>
      <c r="AF272" s="38"/>
      <c r="AG272" s="38" t="s">
        <v>56</v>
      </c>
      <c r="AH272" s="38" t="s">
        <v>86</v>
      </c>
      <c r="AI272" s="38"/>
      <c r="AJ272" s="38" t="s">
        <v>56</v>
      </c>
      <c r="AK272" s="38" t="s">
        <v>74</v>
      </c>
      <c r="AL272" s="39" t="s">
        <v>2247</v>
      </c>
      <c r="AM272" s="66">
        <v>30</v>
      </c>
    </row>
    <row r="273" spans="1:39" s="36" customFormat="1" ht="53.25" customHeight="1" x14ac:dyDescent="0.25">
      <c r="A273" s="14">
        <v>46021</v>
      </c>
      <c r="B273" s="41" t="s">
        <v>2301</v>
      </c>
      <c r="C273" s="41" t="s">
        <v>2302</v>
      </c>
      <c r="D273" s="41"/>
      <c r="E273" s="42" t="s">
        <v>39</v>
      </c>
      <c r="F273" s="43"/>
      <c r="G273" s="43"/>
      <c r="H273" s="19">
        <v>1</v>
      </c>
      <c r="I273" s="72" t="s">
        <v>2303</v>
      </c>
      <c r="J273" s="45">
        <v>10</v>
      </c>
      <c r="K273" s="46" t="s">
        <v>2304</v>
      </c>
      <c r="L273" s="50" t="s">
        <v>63</v>
      </c>
      <c r="M273" s="73" t="s">
        <v>42</v>
      </c>
      <c r="N273" s="77" t="s">
        <v>2305</v>
      </c>
      <c r="O273" s="49" t="s">
        <v>2306</v>
      </c>
      <c r="P273" s="49" t="s">
        <v>2307</v>
      </c>
      <c r="Q273" s="49" t="s">
        <v>2308</v>
      </c>
      <c r="R273" s="92">
        <v>192</v>
      </c>
      <c r="S273" s="92">
        <v>997</v>
      </c>
      <c r="T273" s="51" t="s">
        <v>933</v>
      </c>
      <c r="U273" s="51">
        <v>9</v>
      </c>
      <c r="V273" s="52">
        <f t="shared" si="10"/>
        <v>90</v>
      </c>
      <c r="W273" s="51" t="s">
        <v>68</v>
      </c>
      <c r="X273" s="30" t="s">
        <v>2309</v>
      </c>
      <c r="Y273" s="31" t="s">
        <v>324</v>
      </c>
      <c r="Z273" s="32" t="s">
        <v>51</v>
      </c>
      <c r="AA273" s="33" t="s">
        <v>2064</v>
      </c>
      <c r="AB273" s="65" t="s">
        <v>2310</v>
      </c>
      <c r="AC273" s="35">
        <v>17794.599999999999</v>
      </c>
      <c r="AE273" s="67" t="s">
        <v>148</v>
      </c>
      <c r="AF273" s="38"/>
      <c r="AG273" s="38" t="s">
        <v>56</v>
      </c>
      <c r="AH273" s="38" t="s">
        <v>56</v>
      </c>
      <c r="AI273" s="38"/>
      <c r="AJ273" s="38"/>
      <c r="AK273" s="38"/>
      <c r="AL273" s="39" t="s">
        <v>2311</v>
      </c>
      <c r="AM273" s="36">
        <v>1</v>
      </c>
    </row>
    <row r="274" spans="1:39" s="36" customFormat="1" ht="49.5" customHeight="1" x14ac:dyDescent="0.25">
      <c r="A274" s="14">
        <v>46020</v>
      </c>
      <c r="B274" s="41" t="s">
        <v>2312</v>
      </c>
      <c r="C274" s="41" t="s">
        <v>2313</v>
      </c>
      <c r="D274" s="41"/>
      <c r="E274" s="42" t="s">
        <v>39</v>
      </c>
      <c r="F274" s="19">
        <v>1</v>
      </c>
      <c r="G274" s="43"/>
      <c r="H274" s="43"/>
      <c r="I274" s="72" t="s">
        <v>2314</v>
      </c>
      <c r="J274" s="45">
        <v>5</v>
      </c>
      <c r="K274" s="46" t="s">
        <v>2315</v>
      </c>
      <c r="L274" s="50" t="s">
        <v>63</v>
      </c>
      <c r="M274" s="50" t="s">
        <v>55</v>
      </c>
      <c r="N274" s="77" t="s">
        <v>2316</v>
      </c>
      <c r="O274" s="49" t="s">
        <v>2317</v>
      </c>
      <c r="P274" s="49" t="s">
        <v>2318</v>
      </c>
      <c r="Q274" s="49" t="s">
        <v>2096</v>
      </c>
      <c r="R274" s="50">
        <v>17</v>
      </c>
      <c r="S274" s="50">
        <v>26</v>
      </c>
      <c r="T274" s="51" t="s">
        <v>47</v>
      </c>
      <c r="U274" s="51">
        <v>3</v>
      </c>
      <c r="V274" s="52">
        <f t="shared" si="10"/>
        <v>15</v>
      </c>
      <c r="W274" s="51" t="s">
        <v>221</v>
      </c>
      <c r="X274" s="94" t="s">
        <v>232</v>
      </c>
      <c r="Y274" s="31" t="s">
        <v>50</v>
      </c>
      <c r="Z274" s="32" t="s">
        <v>645</v>
      </c>
      <c r="AA274" s="33" t="s">
        <v>83</v>
      </c>
      <c r="AB274" s="65" t="s">
        <v>2319</v>
      </c>
      <c r="AC274" s="35">
        <v>1494</v>
      </c>
      <c r="AE274" s="67" t="s">
        <v>148</v>
      </c>
      <c r="AF274" s="38"/>
      <c r="AG274" s="38" t="s">
        <v>56</v>
      </c>
      <c r="AH274" s="38" t="s">
        <v>86</v>
      </c>
      <c r="AI274" s="38"/>
      <c r="AJ274" s="38"/>
      <c r="AK274" s="38"/>
      <c r="AL274" s="39" t="s">
        <v>2320</v>
      </c>
      <c r="AM274" s="36">
        <v>6</v>
      </c>
    </row>
    <row r="275" spans="1:39" s="36" customFormat="1" ht="75" x14ac:dyDescent="0.25">
      <c r="A275" s="14">
        <v>46020</v>
      </c>
      <c r="B275" s="41" t="s">
        <v>2321</v>
      </c>
      <c r="C275" s="41" t="s">
        <v>2322</v>
      </c>
      <c r="D275" s="41"/>
      <c r="E275" s="42" t="s">
        <v>39</v>
      </c>
      <c r="F275" s="19">
        <v>1</v>
      </c>
      <c r="G275" s="43"/>
      <c r="H275" s="43"/>
      <c r="I275" s="72" t="s">
        <v>2323</v>
      </c>
      <c r="J275" s="45">
        <v>100</v>
      </c>
      <c r="K275" s="46" t="s">
        <v>2324</v>
      </c>
      <c r="L275" s="47" t="s">
        <v>63</v>
      </c>
      <c r="M275" s="73" t="s">
        <v>42</v>
      </c>
      <c r="N275" s="77" t="s">
        <v>2325</v>
      </c>
      <c r="O275" s="49" t="s">
        <v>2326</v>
      </c>
      <c r="P275" s="49" t="s">
        <v>2327</v>
      </c>
      <c r="Q275" s="49" t="s">
        <v>2328</v>
      </c>
      <c r="R275" s="50">
        <v>102</v>
      </c>
      <c r="S275" s="50">
        <v>283</v>
      </c>
      <c r="T275" s="51" t="s">
        <v>180</v>
      </c>
      <c r="U275" s="51">
        <v>8</v>
      </c>
      <c r="V275" s="75">
        <f t="shared" si="10"/>
        <v>800</v>
      </c>
      <c r="W275" s="51" t="s">
        <v>68</v>
      </c>
      <c r="X275" s="30" t="s">
        <v>2329</v>
      </c>
      <c r="Y275" s="31" t="s">
        <v>70</v>
      </c>
      <c r="Z275" s="32"/>
      <c r="AA275" s="33" t="s">
        <v>83</v>
      </c>
      <c r="AB275" s="65" t="s">
        <v>2283</v>
      </c>
      <c r="AC275" s="35">
        <v>8259</v>
      </c>
      <c r="AE275" s="67" t="s">
        <v>148</v>
      </c>
      <c r="AF275" s="38"/>
      <c r="AG275" s="38" t="s">
        <v>56</v>
      </c>
      <c r="AH275" s="38" t="s">
        <v>56</v>
      </c>
      <c r="AI275" s="38"/>
      <c r="AJ275" s="38" t="s">
        <v>56</v>
      </c>
      <c r="AK275" s="38" t="s">
        <v>74</v>
      </c>
      <c r="AL275" s="39" t="s">
        <v>2330</v>
      </c>
      <c r="AM275" s="36">
        <v>4</v>
      </c>
    </row>
    <row r="276" spans="1:39" s="36" customFormat="1" ht="60.75" customHeight="1" x14ac:dyDescent="0.25">
      <c r="A276" s="14">
        <v>46020</v>
      </c>
      <c r="B276" s="54" t="s">
        <v>2331</v>
      </c>
      <c r="C276" s="54" t="s">
        <v>2332</v>
      </c>
      <c r="D276" s="54"/>
      <c r="E276" s="56" t="s">
        <v>39</v>
      </c>
      <c r="F276" s="19">
        <v>1</v>
      </c>
      <c r="G276" s="57"/>
      <c r="H276" s="57"/>
      <c r="I276" s="72" t="s">
        <v>9878</v>
      </c>
      <c r="J276" s="59">
        <v>1</v>
      </c>
      <c r="K276" s="117" t="s">
        <v>2333</v>
      </c>
      <c r="L276" s="61" t="s">
        <v>63</v>
      </c>
      <c r="M276" s="61" t="s">
        <v>55</v>
      </c>
      <c r="N276" s="80" t="s">
        <v>2334</v>
      </c>
      <c r="O276" s="62"/>
      <c r="P276" s="62" t="s">
        <v>2335</v>
      </c>
      <c r="Q276" s="62" t="s">
        <v>2336</v>
      </c>
      <c r="R276" s="61">
        <v>68</v>
      </c>
      <c r="S276" s="61">
        <v>161</v>
      </c>
      <c r="T276" s="56" t="s">
        <v>96</v>
      </c>
      <c r="U276" s="56">
        <v>7</v>
      </c>
      <c r="V276" s="63">
        <f t="shared" si="10"/>
        <v>7</v>
      </c>
      <c r="W276" s="195" t="s">
        <v>2337</v>
      </c>
      <c r="X276" s="30" t="s">
        <v>2338</v>
      </c>
      <c r="Y276" s="31" t="s">
        <v>50</v>
      </c>
      <c r="Z276" s="32" t="s">
        <v>51</v>
      </c>
      <c r="AA276" s="33" t="s">
        <v>83</v>
      </c>
      <c r="AB276" s="191" t="s">
        <v>2263</v>
      </c>
      <c r="AC276" s="35">
        <f>10981.6*J276/10</f>
        <v>1098.1600000000001</v>
      </c>
      <c r="AE276" s="67" t="s">
        <v>148</v>
      </c>
      <c r="AF276" s="38"/>
      <c r="AG276" s="38" t="s">
        <v>56</v>
      </c>
      <c r="AH276" s="38" t="s">
        <v>56</v>
      </c>
      <c r="AI276" s="38"/>
      <c r="AJ276" s="38"/>
      <c r="AK276" s="38"/>
      <c r="AL276" s="38"/>
      <c r="AM276" s="36">
        <v>1</v>
      </c>
    </row>
    <row r="277" spans="1:39" s="36" customFormat="1" ht="63" customHeight="1" x14ac:dyDescent="0.25">
      <c r="A277" s="14">
        <v>46014</v>
      </c>
      <c r="B277" s="41" t="s">
        <v>2339</v>
      </c>
      <c r="C277" s="41" t="s">
        <v>2340</v>
      </c>
      <c r="D277" s="41" t="s">
        <v>2341</v>
      </c>
      <c r="E277" s="42" t="s">
        <v>39</v>
      </c>
      <c r="F277" s="43"/>
      <c r="G277" s="43"/>
      <c r="H277" s="19">
        <v>1</v>
      </c>
      <c r="I277" s="72" t="s">
        <v>2342</v>
      </c>
      <c r="J277" s="45">
        <v>250</v>
      </c>
      <c r="K277" s="46" t="s">
        <v>2343</v>
      </c>
      <c r="L277" s="50" t="s">
        <v>63</v>
      </c>
      <c r="M277" s="73" t="s">
        <v>42</v>
      </c>
      <c r="N277" s="77" t="s">
        <v>2344</v>
      </c>
      <c r="O277" s="49"/>
      <c r="P277" s="49" t="s">
        <v>2224</v>
      </c>
      <c r="Q277" s="49" t="s">
        <v>2282</v>
      </c>
      <c r="R277" s="50">
        <v>3</v>
      </c>
      <c r="S277" s="50">
        <v>3</v>
      </c>
      <c r="T277" s="51" t="s">
        <v>96</v>
      </c>
      <c r="U277" s="51">
        <v>0</v>
      </c>
      <c r="V277" s="52">
        <f t="shared" si="10"/>
        <v>0</v>
      </c>
      <c r="W277" s="51" t="s">
        <v>48</v>
      </c>
      <c r="X277" s="30" t="s">
        <v>2345</v>
      </c>
      <c r="Y277" s="31" t="s">
        <v>324</v>
      </c>
      <c r="Z277" s="32"/>
      <c r="AA277" s="33" t="s">
        <v>1994</v>
      </c>
      <c r="AB277" s="191" t="s">
        <v>2346</v>
      </c>
      <c r="AC277" s="35">
        <v>3562.5</v>
      </c>
      <c r="AE277" s="67" t="s">
        <v>1927</v>
      </c>
      <c r="AF277" s="38"/>
      <c r="AG277" s="38" t="s">
        <v>56</v>
      </c>
      <c r="AH277" s="38" t="s">
        <v>56</v>
      </c>
      <c r="AI277" s="38"/>
      <c r="AJ277" s="38"/>
      <c r="AK277" s="38"/>
      <c r="AL277" s="78" t="s">
        <v>2347</v>
      </c>
      <c r="AM277" s="36">
        <v>1</v>
      </c>
    </row>
    <row r="278" spans="1:39" s="36" customFormat="1" ht="334.5" customHeight="1" x14ac:dyDescent="0.25">
      <c r="A278" s="14">
        <v>46014</v>
      </c>
      <c r="B278" s="41" t="s">
        <v>2348</v>
      </c>
      <c r="C278" s="41" t="s">
        <v>2349</v>
      </c>
      <c r="D278" s="41" t="s">
        <v>2350</v>
      </c>
      <c r="E278" s="42" t="s">
        <v>39</v>
      </c>
      <c r="F278" s="43"/>
      <c r="G278" s="43"/>
      <c r="H278" s="19">
        <v>1</v>
      </c>
      <c r="I278" s="86" t="s">
        <v>2351</v>
      </c>
      <c r="J278" s="45">
        <v>75</v>
      </c>
      <c r="K278" s="46" t="s">
        <v>2352</v>
      </c>
      <c r="L278" s="47" t="s">
        <v>63</v>
      </c>
      <c r="M278" s="42" t="s">
        <v>55</v>
      </c>
      <c r="N278" s="77" t="s">
        <v>2353</v>
      </c>
      <c r="O278" s="49" t="s">
        <v>2098</v>
      </c>
      <c r="P278" s="49" t="s">
        <v>2354</v>
      </c>
      <c r="Q278" s="49" t="s">
        <v>2223</v>
      </c>
      <c r="R278" s="92">
        <v>156</v>
      </c>
      <c r="S278" s="92">
        <v>856</v>
      </c>
      <c r="T278" s="51" t="s">
        <v>141</v>
      </c>
      <c r="U278" s="51">
        <v>1</v>
      </c>
      <c r="V278" s="52">
        <f t="shared" si="10"/>
        <v>75</v>
      </c>
      <c r="W278" s="51" t="s">
        <v>48</v>
      </c>
      <c r="X278" s="30" t="s">
        <v>482</v>
      </c>
      <c r="Y278" s="31" t="s">
        <v>50</v>
      </c>
      <c r="Z278" s="32" t="s">
        <v>645</v>
      </c>
      <c r="AA278" s="33" t="s">
        <v>2355</v>
      </c>
      <c r="AB278" s="34" t="s">
        <v>2356</v>
      </c>
      <c r="AC278" s="35">
        <v>21851</v>
      </c>
      <c r="AE278" s="67" t="s">
        <v>148</v>
      </c>
      <c r="AF278" s="38" t="s">
        <v>354</v>
      </c>
      <c r="AG278" s="38" t="s">
        <v>56</v>
      </c>
      <c r="AH278" s="38" t="s">
        <v>56</v>
      </c>
      <c r="AI278" s="38"/>
      <c r="AJ278" s="38" t="s">
        <v>2357</v>
      </c>
      <c r="AK278" s="38" t="s">
        <v>2284</v>
      </c>
      <c r="AL278" s="78" t="s">
        <v>2358</v>
      </c>
      <c r="AM278" s="36">
        <v>1</v>
      </c>
    </row>
    <row r="279" spans="1:39" s="66" customFormat="1" ht="190.5" customHeight="1" x14ac:dyDescent="0.25">
      <c r="A279" s="14">
        <v>46014</v>
      </c>
      <c r="B279" s="41" t="s">
        <v>2359</v>
      </c>
      <c r="C279" s="41" t="s">
        <v>2360</v>
      </c>
      <c r="D279" s="41"/>
      <c r="E279" s="42" t="s">
        <v>39</v>
      </c>
      <c r="F279" s="19">
        <v>1</v>
      </c>
      <c r="G279" s="43"/>
      <c r="H279" s="43"/>
      <c r="I279" s="72" t="s">
        <v>2361</v>
      </c>
      <c r="J279" s="45">
        <v>10</v>
      </c>
      <c r="K279" s="46" t="s">
        <v>2352</v>
      </c>
      <c r="L279" s="50" t="s">
        <v>63</v>
      </c>
      <c r="M279" s="73" t="s">
        <v>42</v>
      </c>
      <c r="N279" s="77" t="s">
        <v>2362</v>
      </c>
      <c r="O279" s="49"/>
      <c r="P279" s="49" t="s">
        <v>2363</v>
      </c>
      <c r="Q279" s="49" t="s">
        <v>2364</v>
      </c>
      <c r="R279" s="50">
        <v>20</v>
      </c>
      <c r="S279" s="50">
        <v>633</v>
      </c>
      <c r="T279" s="51" t="s">
        <v>96</v>
      </c>
      <c r="U279" s="51">
        <v>256</v>
      </c>
      <c r="V279" s="75">
        <f t="shared" si="10"/>
        <v>2560</v>
      </c>
      <c r="W279" s="51" t="s">
        <v>48</v>
      </c>
      <c r="X279" s="30" t="s">
        <v>2365</v>
      </c>
      <c r="Y279" s="64" t="s">
        <v>144</v>
      </c>
      <c r="Z279" s="32"/>
      <c r="AA279" s="33" t="s">
        <v>83</v>
      </c>
      <c r="AB279" s="65" t="s">
        <v>2366</v>
      </c>
      <c r="AC279" s="35">
        <v>9712.5</v>
      </c>
      <c r="AE279" s="67" t="s">
        <v>1927</v>
      </c>
      <c r="AF279" s="38"/>
      <c r="AG279" s="38" t="s">
        <v>56</v>
      </c>
      <c r="AH279" s="38" t="s">
        <v>56</v>
      </c>
      <c r="AI279" s="38"/>
      <c r="AJ279" s="38"/>
      <c r="AK279" s="38"/>
      <c r="AL279" s="68"/>
      <c r="AM279" s="66">
        <v>1</v>
      </c>
    </row>
    <row r="280" spans="1:39" s="36" customFormat="1" ht="371.25" x14ac:dyDescent="0.25">
      <c r="A280" s="14">
        <v>46014</v>
      </c>
      <c r="B280" s="54" t="s">
        <v>2331</v>
      </c>
      <c r="C280" s="54" t="s">
        <v>2332</v>
      </c>
      <c r="D280" s="54"/>
      <c r="E280" s="56" t="s">
        <v>39</v>
      </c>
      <c r="F280" s="19">
        <v>1</v>
      </c>
      <c r="G280" s="57"/>
      <c r="H280" s="57"/>
      <c r="I280" s="72" t="s">
        <v>2367</v>
      </c>
      <c r="J280" s="59">
        <v>9</v>
      </c>
      <c r="K280" s="117" t="s">
        <v>2368</v>
      </c>
      <c r="L280" s="61" t="s">
        <v>63</v>
      </c>
      <c r="M280" s="61" t="s">
        <v>55</v>
      </c>
      <c r="N280" s="80" t="s">
        <v>2334</v>
      </c>
      <c r="O280" s="62"/>
      <c r="P280" s="62" t="s">
        <v>2335</v>
      </c>
      <c r="Q280" s="62" t="s">
        <v>2336</v>
      </c>
      <c r="R280" s="61">
        <v>68</v>
      </c>
      <c r="S280" s="61">
        <v>161</v>
      </c>
      <c r="T280" s="56" t="s">
        <v>96</v>
      </c>
      <c r="U280" s="56">
        <v>7</v>
      </c>
      <c r="V280" s="63">
        <f t="shared" si="10"/>
        <v>63</v>
      </c>
      <c r="W280" s="195" t="s">
        <v>2337</v>
      </c>
      <c r="X280" s="30" t="s">
        <v>2338</v>
      </c>
      <c r="Y280" s="31" t="s">
        <v>50</v>
      </c>
      <c r="Z280" s="32" t="s">
        <v>51</v>
      </c>
      <c r="AA280" s="33" t="s">
        <v>83</v>
      </c>
      <c r="AB280" s="191" t="s">
        <v>2263</v>
      </c>
      <c r="AC280" s="35">
        <f>10981.6*J280/10 + 160 + 350 + 930</f>
        <v>11323.44</v>
      </c>
      <c r="AE280" s="107" t="s">
        <v>1191</v>
      </c>
      <c r="AF280" s="38"/>
      <c r="AG280" s="38" t="s">
        <v>56</v>
      </c>
      <c r="AH280" s="38" t="s">
        <v>56</v>
      </c>
      <c r="AI280" s="38"/>
      <c r="AJ280" s="38"/>
      <c r="AK280" s="38"/>
      <c r="AL280" s="38"/>
      <c r="AM280" s="36">
        <v>1</v>
      </c>
    </row>
    <row r="281" spans="1:39" s="66" customFormat="1" ht="135" x14ac:dyDescent="0.25">
      <c r="A281" s="14">
        <v>46014</v>
      </c>
      <c r="B281" s="95" t="s">
        <v>2369</v>
      </c>
      <c r="C281" s="95" t="s">
        <v>2370</v>
      </c>
      <c r="D281" s="95"/>
      <c r="E281" s="96" t="s">
        <v>39</v>
      </c>
      <c r="F281" s="19">
        <v>1</v>
      </c>
      <c r="G281" s="97"/>
      <c r="H281" s="97"/>
      <c r="I281" s="72" t="s">
        <v>2371</v>
      </c>
      <c r="J281" s="98">
        <v>16</v>
      </c>
      <c r="K281" s="99" t="s">
        <v>2372</v>
      </c>
      <c r="L281" s="100" t="s">
        <v>63</v>
      </c>
      <c r="M281" s="100" t="s">
        <v>55</v>
      </c>
      <c r="N281" s="101" t="s">
        <v>2373</v>
      </c>
      <c r="O281" s="102" t="s">
        <v>2374</v>
      </c>
      <c r="P281" s="102" t="s">
        <v>2375</v>
      </c>
      <c r="Q281" s="102" t="s">
        <v>2376</v>
      </c>
      <c r="R281" s="103">
        <v>36</v>
      </c>
      <c r="S281" s="103">
        <v>680</v>
      </c>
      <c r="T281" s="96" t="s">
        <v>549</v>
      </c>
      <c r="U281" s="96">
        <v>1</v>
      </c>
      <c r="V281" s="104">
        <f t="shared" si="10"/>
        <v>16</v>
      </c>
      <c r="W281" s="96" t="s">
        <v>221</v>
      </c>
      <c r="X281" s="30" t="s">
        <v>2377</v>
      </c>
      <c r="Y281" s="64" t="s">
        <v>99</v>
      </c>
      <c r="Z281" s="32" t="s">
        <v>51</v>
      </c>
      <c r="AA281" s="33" t="s">
        <v>83</v>
      </c>
      <c r="AB281" s="191" t="s">
        <v>2378</v>
      </c>
      <c r="AC281" s="35">
        <v>7191.36</v>
      </c>
      <c r="AE281" s="67" t="s">
        <v>1927</v>
      </c>
      <c r="AF281" s="38"/>
      <c r="AG281" s="38" t="s">
        <v>56</v>
      </c>
      <c r="AH281" s="38" t="s">
        <v>86</v>
      </c>
      <c r="AI281" s="38"/>
      <c r="AJ281" s="38" t="s">
        <v>56</v>
      </c>
      <c r="AK281" s="38" t="s">
        <v>1539</v>
      </c>
      <c r="AL281" s="68"/>
      <c r="AM281" s="66">
        <v>1</v>
      </c>
    </row>
    <row r="282" spans="1:39" s="36" customFormat="1" ht="78.75" customHeight="1" x14ac:dyDescent="0.25">
      <c r="A282" s="14">
        <v>46013</v>
      </c>
      <c r="B282" s="41" t="s">
        <v>1984</v>
      </c>
      <c r="C282" s="41" t="s">
        <v>2379</v>
      </c>
      <c r="D282" s="41"/>
      <c r="E282" s="42" t="s">
        <v>39</v>
      </c>
      <c r="F282" s="19">
        <v>1</v>
      </c>
      <c r="G282" s="43"/>
      <c r="H282" s="43"/>
      <c r="I282" s="72" t="s">
        <v>2380</v>
      </c>
      <c r="J282" s="45">
        <v>30</v>
      </c>
      <c r="K282" s="46" t="s">
        <v>2381</v>
      </c>
      <c r="L282" s="47" t="s">
        <v>63</v>
      </c>
      <c r="M282" s="73" t="s">
        <v>42</v>
      </c>
      <c r="N282" s="77" t="s">
        <v>2382</v>
      </c>
      <c r="O282" s="49" t="s">
        <v>2098</v>
      </c>
      <c r="P282" s="49" t="s">
        <v>2383</v>
      </c>
      <c r="Q282" s="49" t="s">
        <v>2260</v>
      </c>
      <c r="R282" s="50">
        <v>76</v>
      </c>
      <c r="S282" s="50">
        <v>267</v>
      </c>
      <c r="T282" s="51" t="s">
        <v>180</v>
      </c>
      <c r="U282" s="51">
        <v>0</v>
      </c>
      <c r="V282" s="52">
        <f t="shared" si="10"/>
        <v>0</v>
      </c>
      <c r="W282" s="51" t="s">
        <v>48</v>
      </c>
      <c r="X282" s="30" t="s">
        <v>2384</v>
      </c>
      <c r="Y282" s="31" t="s">
        <v>50</v>
      </c>
      <c r="Z282" s="32"/>
      <c r="AA282" s="33" t="s">
        <v>1994</v>
      </c>
      <c r="AB282" s="65" t="s">
        <v>2385</v>
      </c>
      <c r="AC282" s="35">
        <v>3093</v>
      </c>
      <c r="AE282" s="196" t="s">
        <v>2386</v>
      </c>
      <c r="AF282" s="38"/>
      <c r="AG282" s="38" t="s">
        <v>56</v>
      </c>
      <c r="AH282" s="38" t="s">
        <v>56</v>
      </c>
      <c r="AI282" s="38"/>
      <c r="AJ282" s="38" t="s">
        <v>2387</v>
      </c>
      <c r="AK282" s="38" t="s">
        <v>2284</v>
      </c>
      <c r="AL282" s="38"/>
      <c r="AM282" s="36">
        <v>2</v>
      </c>
    </row>
    <row r="283" spans="1:39" s="36" customFormat="1" ht="45" customHeight="1" x14ac:dyDescent="0.25">
      <c r="A283" s="14">
        <v>46013</v>
      </c>
      <c r="B283" s="41" t="s">
        <v>2388</v>
      </c>
      <c r="C283" s="41" t="s">
        <v>2313</v>
      </c>
      <c r="D283" s="41"/>
      <c r="E283" s="42" t="s">
        <v>39</v>
      </c>
      <c r="F283" s="19">
        <v>1</v>
      </c>
      <c r="G283" s="43"/>
      <c r="H283" s="43"/>
      <c r="I283" s="72" t="s">
        <v>2389</v>
      </c>
      <c r="J283" s="45">
        <v>3</v>
      </c>
      <c r="K283" s="46" t="s">
        <v>2390</v>
      </c>
      <c r="L283" s="47" t="s">
        <v>63</v>
      </c>
      <c r="M283" s="73" t="s">
        <v>42</v>
      </c>
      <c r="N283" s="77" t="s">
        <v>2391</v>
      </c>
      <c r="O283" s="49" t="s">
        <v>2392</v>
      </c>
      <c r="P283" s="49" t="s">
        <v>2393</v>
      </c>
      <c r="Q283" s="49" t="s">
        <v>2394</v>
      </c>
      <c r="R283" s="50">
        <v>108</v>
      </c>
      <c r="S283" s="50">
        <v>712</v>
      </c>
      <c r="T283" s="51" t="s">
        <v>180</v>
      </c>
      <c r="U283" s="51">
        <v>28</v>
      </c>
      <c r="V283" s="52">
        <f t="shared" si="10"/>
        <v>84</v>
      </c>
      <c r="W283" s="51" t="s">
        <v>142</v>
      </c>
      <c r="X283" s="30" t="s">
        <v>434</v>
      </c>
      <c r="Y283" s="31" t="s">
        <v>82</v>
      </c>
      <c r="Z283" s="32" t="s">
        <v>51</v>
      </c>
      <c r="AA283" s="33" t="s">
        <v>83</v>
      </c>
      <c r="AB283" s="65" t="s">
        <v>2395</v>
      </c>
      <c r="AC283" s="35">
        <f>6068.34+1010</f>
        <v>7078.34</v>
      </c>
      <c r="AE283" s="67" t="s">
        <v>148</v>
      </c>
      <c r="AF283" s="38"/>
      <c r="AG283" s="38" t="s">
        <v>56</v>
      </c>
      <c r="AH283" s="38" t="s">
        <v>56</v>
      </c>
      <c r="AI283" s="38"/>
      <c r="AJ283" s="38"/>
      <c r="AK283" s="38"/>
      <c r="AL283" s="38"/>
      <c r="AM283" s="36">
        <v>2</v>
      </c>
    </row>
    <row r="284" spans="1:39" s="36" customFormat="1" ht="105" x14ac:dyDescent="0.25">
      <c r="A284" s="14">
        <v>46013</v>
      </c>
      <c r="B284" s="41" t="s">
        <v>2396</v>
      </c>
      <c r="C284" s="41" t="s">
        <v>2397</v>
      </c>
      <c r="D284" s="41" t="s">
        <v>2398</v>
      </c>
      <c r="E284" s="42" t="s">
        <v>2399</v>
      </c>
      <c r="F284" s="43"/>
      <c r="G284" s="43"/>
      <c r="H284" s="43"/>
      <c r="I284" s="72" t="s">
        <v>2400</v>
      </c>
      <c r="J284" s="45">
        <v>30</v>
      </c>
      <c r="K284" s="46" t="s">
        <v>2401</v>
      </c>
      <c r="L284" s="47" t="s">
        <v>42</v>
      </c>
      <c r="M284" s="42" t="s">
        <v>55</v>
      </c>
      <c r="N284" s="77" t="s">
        <v>2402</v>
      </c>
      <c r="O284" s="49"/>
      <c r="P284" s="49"/>
      <c r="Q284" s="49"/>
      <c r="R284" s="50">
        <v>0</v>
      </c>
      <c r="S284" s="50">
        <v>0</v>
      </c>
      <c r="T284" s="51">
        <v>0</v>
      </c>
      <c r="U284" s="51">
        <v>234</v>
      </c>
      <c r="V284" s="75">
        <f t="shared" si="10"/>
        <v>7020</v>
      </c>
      <c r="W284" s="51" t="s">
        <v>97</v>
      </c>
      <c r="X284" s="30" t="s">
        <v>98</v>
      </c>
      <c r="Y284" s="31" t="s">
        <v>99</v>
      </c>
      <c r="Z284" s="32"/>
      <c r="AA284" s="33" t="s">
        <v>1346</v>
      </c>
      <c r="AB284" s="34" t="s">
        <v>2403</v>
      </c>
      <c r="AC284" s="35">
        <v>13689</v>
      </c>
      <c r="AE284" s="67" t="s">
        <v>148</v>
      </c>
      <c r="AF284" s="38" t="s">
        <v>354</v>
      </c>
      <c r="AG284" s="38" t="s">
        <v>56</v>
      </c>
      <c r="AH284" s="38" t="s">
        <v>56</v>
      </c>
      <c r="AI284" s="38"/>
      <c r="AJ284" s="38"/>
      <c r="AK284" s="38"/>
      <c r="AL284" s="38"/>
    </row>
    <row r="285" spans="1:39" s="36" customFormat="1" ht="113.25" customHeight="1" x14ac:dyDescent="0.25">
      <c r="A285" s="14">
        <v>46010</v>
      </c>
      <c r="B285" s="41" t="s">
        <v>2404</v>
      </c>
      <c r="C285" s="41" t="s">
        <v>2405</v>
      </c>
      <c r="D285" s="41"/>
      <c r="E285" s="42" t="s">
        <v>39</v>
      </c>
      <c r="F285" s="43"/>
      <c r="G285" s="43"/>
      <c r="H285" s="19">
        <v>1</v>
      </c>
      <c r="I285" s="72" t="s">
        <v>2406</v>
      </c>
      <c r="J285" s="45">
        <v>13</v>
      </c>
      <c r="K285" s="46" t="s">
        <v>2407</v>
      </c>
      <c r="L285" s="47" t="s">
        <v>63</v>
      </c>
      <c r="M285" s="73" t="s">
        <v>42</v>
      </c>
      <c r="N285" s="77" t="s">
        <v>2408</v>
      </c>
      <c r="O285" s="49" t="s">
        <v>2409</v>
      </c>
      <c r="P285" s="49" t="s">
        <v>2410</v>
      </c>
      <c r="Q285" s="49" t="s">
        <v>2411</v>
      </c>
      <c r="R285" s="50">
        <v>111</v>
      </c>
      <c r="S285" s="92">
        <v>1169</v>
      </c>
      <c r="T285" s="51" t="s">
        <v>180</v>
      </c>
      <c r="U285" s="51">
        <v>16</v>
      </c>
      <c r="V285" s="52">
        <f t="shared" si="10"/>
        <v>208</v>
      </c>
      <c r="W285" s="51" t="s">
        <v>48</v>
      </c>
      <c r="X285" s="30" t="s">
        <v>2412</v>
      </c>
      <c r="Y285" s="31" t="s">
        <v>144</v>
      </c>
      <c r="Z285" s="32"/>
      <c r="AA285" s="33" t="s">
        <v>2413</v>
      </c>
      <c r="AB285" s="34" t="s">
        <v>2414</v>
      </c>
      <c r="AC285" s="35">
        <v>9841.2099999999991</v>
      </c>
      <c r="AE285" s="196" t="s">
        <v>2386</v>
      </c>
      <c r="AF285" s="38"/>
      <c r="AG285" s="38" t="s">
        <v>56</v>
      </c>
      <c r="AH285" s="38" t="s">
        <v>56</v>
      </c>
      <c r="AI285" s="38"/>
      <c r="AJ285" s="38"/>
      <c r="AK285" s="38"/>
      <c r="AL285" s="78" t="s">
        <v>2415</v>
      </c>
      <c r="AM285" s="175">
        <v>1</v>
      </c>
    </row>
    <row r="286" spans="1:39" s="36" customFormat="1" ht="208.5" customHeight="1" x14ac:dyDescent="0.25">
      <c r="A286" s="14">
        <v>46010</v>
      </c>
      <c r="B286" s="41" t="s">
        <v>2416</v>
      </c>
      <c r="C286" s="41" t="s">
        <v>2417</v>
      </c>
      <c r="D286" s="41"/>
      <c r="E286" s="42" t="s">
        <v>39</v>
      </c>
      <c r="F286" s="19">
        <v>1</v>
      </c>
      <c r="G286" s="43"/>
      <c r="H286" s="43"/>
      <c r="I286" s="72" t="s">
        <v>2418</v>
      </c>
      <c r="J286" s="45">
        <v>35</v>
      </c>
      <c r="K286" s="46" t="s">
        <v>2407</v>
      </c>
      <c r="L286" s="47" t="s">
        <v>63</v>
      </c>
      <c r="M286" s="73" t="s">
        <v>42</v>
      </c>
      <c r="N286" s="77" t="s">
        <v>2419</v>
      </c>
      <c r="O286" s="49"/>
      <c r="P286" s="197" t="s">
        <v>2420</v>
      </c>
      <c r="Q286" s="49" t="s">
        <v>2421</v>
      </c>
      <c r="R286" s="50">
        <v>56</v>
      </c>
      <c r="S286" s="50">
        <v>176</v>
      </c>
      <c r="T286" s="51" t="s">
        <v>96</v>
      </c>
      <c r="U286" s="51">
        <v>0</v>
      </c>
      <c r="V286" s="52">
        <f t="shared" si="10"/>
        <v>0</v>
      </c>
      <c r="W286" s="51" t="s">
        <v>510</v>
      </c>
      <c r="X286" s="30" t="s">
        <v>583</v>
      </c>
      <c r="Y286" s="31" t="s">
        <v>70</v>
      </c>
      <c r="Z286" s="32"/>
      <c r="AA286" s="33" t="s">
        <v>1346</v>
      </c>
      <c r="AB286" s="34" t="s">
        <v>1016</v>
      </c>
      <c r="AC286" s="35">
        <f>2895.2+875</f>
        <v>3770.2</v>
      </c>
      <c r="AE286" s="67" t="s">
        <v>148</v>
      </c>
      <c r="AF286" s="38"/>
      <c r="AG286" s="38" t="s">
        <v>56</v>
      </c>
      <c r="AH286" s="38" t="s">
        <v>56</v>
      </c>
      <c r="AI286" s="38"/>
      <c r="AJ286" s="38"/>
      <c r="AK286" s="38"/>
      <c r="AL286" s="78" t="s">
        <v>1348</v>
      </c>
      <c r="AM286" s="36">
        <v>1</v>
      </c>
    </row>
    <row r="287" spans="1:39" s="36" customFormat="1" ht="72.75" customHeight="1" x14ac:dyDescent="0.25">
      <c r="A287" s="14">
        <v>46010</v>
      </c>
      <c r="B287" s="95" t="s">
        <v>2422</v>
      </c>
      <c r="C287" s="95" t="s">
        <v>2423</v>
      </c>
      <c r="D287" s="95"/>
      <c r="E287" s="96" t="s">
        <v>39</v>
      </c>
      <c r="F287" s="97"/>
      <c r="G287" s="97"/>
      <c r="H287" s="19">
        <v>1</v>
      </c>
      <c r="I287" s="86" t="s">
        <v>2424</v>
      </c>
      <c r="J287" s="98">
        <v>3</v>
      </c>
      <c r="K287" s="165" t="s">
        <v>2372</v>
      </c>
      <c r="L287" s="100" t="s">
        <v>63</v>
      </c>
      <c r="M287" s="100" t="s">
        <v>55</v>
      </c>
      <c r="N287" s="101" t="s">
        <v>2425</v>
      </c>
      <c r="O287" s="102" t="s">
        <v>2426</v>
      </c>
      <c r="P287" s="102" t="s">
        <v>2427</v>
      </c>
      <c r="Q287" s="102" t="s">
        <v>2428</v>
      </c>
      <c r="R287" s="103">
        <v>106</v>
      </c>
      <c r="S287" s="92">
        <v>1089</v>
      </c>
      <c r="T287" s="96" t="s">
        <v>180</v>
      </c>
      <c r="U287" s="96">
        <v>10</v>
      </c>
      <c r="V287" s="104">
        <f t="shared" si="10"/>
        <v>30</v>
      </c>
      <c r="W287" s="96" t="s">
        <v>48</v>
      </c>
      <c r="X287" s="94" t="s">
        <v>1083</v>
      </c>
      <c r="Y287" s="31" t="s">
        <v>50</v>
      </c>
      <c r="Z287" s="32" t="s">
        <v>645</v>
      </c>
      <c r="AA287" s="33" t="s">
        <v>2429</v>
      </c>
      <c r="AB287" s="191" t="s">
        <v>2430</v>
      </c>
      <c r="AC287" s="35">
        <f>10989.92*J287/8</f>
        <v>4121.22</v>
      </c>
      <c r="AE287" s="67" t="s">
        <v>148</v>
      </c>
      <c r="AF287" s="38" t="s">
        <v>1874</v>
      </c>
      <c r="AG287" s="38" t="s">
        <v>56</v>
      </c>
      <c r="AH287" s="38" t="s">
        <v>56</v>
      </c>
      <c r="AI287" s="38"/>
      <c r="AJ287" s="38"/>
      <c r="AK287" s="38"/>
      <c r="AL287" s="38"/>
      <c r="AM287" s="36">
        <v>1</v>
      </c>
    </row>
    <row r="288" spans="1:39" s="36" customFormat="1" ht="113.25" customHeight="1" x14ac:dyDescent="0.25">
      <c r="A288" s="14">
        <v>46010</v>
      </c>
      <c r="B288" s="95" t="s">
        <v>2431</v>
      </c>
      <c r="C288" s="95" t="s">
        <v>2423</v>
      </c>
      <c r="D288" s="95"/>
      <c r="E288" s="96" t="s">
        <v>39</v>
      </c>
      <c r="F288" s="97"/>
      <c r="G288" s="97"/>
      <c r="H288" s="19">
        <v>1</v>
      </c>
      <c r="I288" s="86" t="s">
        <v>2432</v>
      </c>
      <c r="J288" s="98">
        <v>5</v>
      </c>
      <c r="K288" s="165" t="s">
        <v>2433</v>
      </c>
      <c r="L288" s="100" t="s">
        <v>63</v>
      </c>
      <c r="M288" s="100" t="s">
        <v>55</v>
      </c>
      <c r="N288" s="101" t="s">
        <v>2434</v>
      </c>
      <c r="O288" s="102" t="s">
        <v>2299</v>
      </c>
      <c r="P288" s="102" t="s">
        <v>2435</v>
      </c>
      <c r="Q288" s="102"/>
      <c r="R288" s="103">
        <v>106</v>
      </c>
      <c r="S288" s="92">
        <v>1089</v>
      </c>
      <c r="T288" s="96" t="s">
        <v>180</v>
      </c>
      <c r="U288" s="96">
        <v>10</v>
      </c>
      <c r="V288" s="104">
        <f t="shared" si="10"/>
        <v>50</v>
      </c>
      <c r="W288" s="96" t="s">
        <v>48</v>
      </c>
      <c r="X288" s="94" t="s">
        <v>1083</v>
      </c>
      <c r="Y288" s="31" t="s">
        <v>50</v>
      </c>
      <c r="Z288" s="32" t="s">
        <v>645</v>
      </c>
      <c r="AA288" s="33" t="s">
        <v>2429</v>
      </c>
      <c r="AB288" s="65" t="s">
        <v>2430</v>
      </c>
      <c r="AC288" s="35">
        <f>1010+10989.92*J288/8+1000</f>
        <v>8878.7000000000007</v>
      </c>
      <c r="AE288" s="67" t="s">
        <v>148</v>
      </c>
      <c r="AF288" s="38" t="s">
        <v>1874</v>
      </c>
      <c r="AG288" s="38" t="s">
        <v>56</v>
      </c>
      <c r="AH288" s="38" t="s">
        <v>56</v>
      </c>
      <c r="AI288" s="38"/>
      <c r="AJ288" s="38"/>
      <c r="AK288" s="38"/>
      <c r="AL288" s="38"/>
      <c r="AM288" s="36">
        <v>1</v>
      </c>
    </row>
    <row r="289" spans="1:39" s="200" customFormat="1" ht="30" customHeight="1" x14ac:dyDescent="0.25">
      <c r="A289" s="14">
        <v>46008</v>
      </c>
      <c r="B289" s="41" t="s">
        <v>2436</v>
      </c>
      <c r="C289" s="41" t="s">
        <v>2437</v>
      </c>
      <c r="D289" s="41"/>
      <c r="E289" s="42" t="s">
        <v>39</v>
      </c>
      <c r="F289" s="19">
        <v>1</v>
      </c>
      <c r="G289" s="43"/>
      <c r="H289" s="43"/>
      <c r="I289" s="72" t="s">
        <v>2438</v>
      </c>
      <c r="J289" s="45">
        <v>10</v>
      </c>
      <c r="K289" s="46" t="s">
        <v>2439</v>
      </c>
      <c r="L289" s="47" t="s">
        <v>63</v>
      </c>
      <c r="M289" s="73" t="s">
        <v>42</v>
      </c>
      <c r="N289" s="77" t="s">
        <v>2440</v>
      </c>
      <c r="O289" s="49" t="s">
        <v>2441</v>
      </c>
      <c r="P289" s="49" t="s">
        <v>2442</v>
      </c>
      <c r="Q289" s="49" t="s">
        <v>2410</v>
      </c>
      <c r="R289" s="50">
        <v>54</v>
      </c>
      <c r="S289" s="50">
        <v>288</v>
      </c>
      <c r="T289" s="51" t="s">
        <v>47</v>
      </c>
      <c r="U289" s="51">
        <v>20</v>
      </c>
      <c r="V289" s="52">
        <f t="shared" si="10"/>
        <v>200</v>
      </c>
      <c r="W289" s="51" t="s">
        <v>48</v>
      </c>
      <c r="X289" s="198" t="s">
        <v>2443</v>
      </c>
      <c r="Y289" s="199" t="s">
        <v>50</v>
      </c>
      <c r="Z289" s="169"/>
      <c r="AA289" s="170" t="s">
        <v>1346</v>
      </c>
      <c r="AB289" s="171" t="s">
        <v>1016</v>
      </c>
      <c r="AC289" s="172">
        <v>5487</v>
      </c>
      <c r="AE289" s="201" t="s">
        <v>2386</v>
      </c>
      <c r="AF289" s="138" t="s">
        <v>354</v>
      </c>
      <c r="AG289" s="138" t="s">
        <v>56</v>
      </c>
      <c r="AH289" s="138" t="s">
        <v>56</v>
      </c>
      <c r="AI289" s="138"/>
      <c r="AJ289" s="138"/>
      <c r="AK289" s="138"/>
      <c r="AL289" s="138"/>
      <c r="AM289" s="200">
        <v>1</v>
      </c>
    </row>
    <row r="290" spans="1:39" s="200" customFormat="1" ht="33" customHeight="1" x14ac:dyDescent="0.25">
      <c r="A290" s="14">
        <v>46008</v>
      </c>
      <c r="B290" s="41" t="s">
        <v>2444</v>
      </c>
      <c r="C290" s="41" t="s">
        <v>2445</v>
      </c>
      <c r="D290" s="41"/>
      <c r="E290" s="42" t="s">
        <v>39</v>
      </c>
      <c r="F290" s="43"/>
      <c r="G290" s="43"/>
      <c r="H290" s="19">
        <v>1</v>
      </c>
      <c r="I290" s="72" t="s">
        <v>2446</v>
      </c>
      <c r="J290" s="45">
        <v>150</v>
      </c>
      <c r="K290" s="46" t="s">
        <v>2439</v>
      </c>
      <c r="L290" s="47" t="s">
        <v>63</v>
      </c>
      <c r="M290" s="73" t="s">
        <v>42</v>
      </c>
      <c r="N290" s="77" t="s">
        <v>240</v>
      </c>
      <c r="O290" s="49" t="s">
        <v>2447</v>
      </c>
      <c r="P290" s="49" t="s">
        <v>2448</v>
      </c>
      <c r="Q290" s="49" t="s">
        <v>2441</v>
      </c>
      <c r="R290" s="50">
        <v>37</v>
      </c>
      <c r="S290" s="50">
        <v>91</v>
      </c>
      <c r="T290" s="51" t="s">
        <v>180</v>
      </c>
      <c r="U290" s="51">
        <v>2</v>
      </c>
      <c r="V290" s="52">
        <f t="shared" si="10"/>
        <v>300</v>
      </c>
      <c r="W290" s="51" t="s">
        <v>510</v>
      </c>
      <c r="X290" s="198" t="s">
        <v>2449</v>
      </c>
      <c r="Y290" s="199" t="s">
        <v>82</v>
      </c>
      <c r="Z290" s="169"/>
      <c r="AA290" s="170" t="s">
        <v>2429</v>
      </c>
      <c r="AB290" s="171" t="s">
        <v>1016</v>
      </c>
      <c r="AC290" s="172">
        <v>4680</v>
      </c>
      <c r="AE290" s="137" t="s">
        <v>148</v>
      </c>
      <c r="AF290" s="138" t="s">
        <v>1874</v>
      </c>
      <c r="AG290" s="138" t="s">
        <v>56</v>
      </c>
      <c r="AH290" s="138" t="s">
        <v>56</v>
      </c>
      <c r="AI290" s="138"/>
      <c r="AJ290" s="138" t="s">
        <v>56</v>
      </c>
      <c r="AK290" s="138" t="s">
        <v>74</v>
      </c>
      <c r="AL290" s="138"/>
      <c r="AM290" s="200">
        <v>4</v>
      </c>
    </row>
    <row r="291" spans="1:39" s="200" customFormat="1" ht="105" x14ac:dyDescent="0.25">
      <c r="A291" s="14">
        <v>46008</v>
      </c>
      <c r="B291" s="41" t="s">
        <v>2450</v>
      </c>
      <c r="C291" s="41" t="s">
        <v>2451</v>
      </c>
      <c r="D291" s="41"/>
      <c r="E291" s="42" t="s">
        <v>39</v>
      </c>
      <c r="F291" s="19">
        <v>1</v>
      </c>
      <c r="G291" s="43"/>
      <c r="H291" s="43"/>
      <c r="I291" s="72" t="s">
        <v>2452</v>
      </c>
      <c r="J291" s="45">
        <v>30</v>
      </c>
      <c r="K291" s="46" t="s">
        <v>2453</v>
      </c>
      <c r="L291" s="47" t="s">
        <v>63</v>
      </c>
      <c r="M291" s="73" t="s">
        <v>42</v>
      </c>
      <c r="N291" s="77" t="s">
        <v>2454</v>
      </c>
      <c r="O291" s="49" t="s">
        <v>2455</v>
      </c>
      <c r="P291" s="49" t="s">
        <v>2456</v>
      </c>
      <c r="Q291" s="49" t="s">
        <v>2166</v>
      </c>
      <c r="R291" s="50">
        <v>40</v>
      </c>
      <c r="S291" s="50">
        <v>308</v>
      </c>
      <c r="T291" s="51" t="s">
        <v>47</v>
      </c>
      <c r="U291" s="51">
        <v>16</v>
      </c>
      <c r="V291" s="52">
        <f t="shared" si="10"/>
        <v>480</v>
      </c>
      <c r="W291" s="51" t="s">
        <v>48</v>
      </c>
      <c r="X291" s="202" t="s">
        <v>1166</v>
      </c>
      <c r="Y291" s="199" t="s">
        <v>82</v>
      </c>
      <c r="Z291" s="169"/>
      <c r="AA291" s="170" t="s">
        <v>1346</v>
      </c>
      <c r="AB291" s="171" t="s">
        <v>1016</v>
      </c>
      <c r="AC291" s="172">
        <v>4429.3</v>
      </c>
      <c r="AE291" s="137" t="s">
        <v>148</v>
      </c>
      <c r="AF291" s="138"/>
      <c r="AG291" s="138" t="s">
        <v>56</v>
      </c>
      <c r="AH291" s="138" t="s">
        <v>56</v>
      </c>
      <c r="AI291" s="138"/>
      <c r="AJ291" s="138"/>
      <c r="AK291" s="138"/>
      <c r="AL291" s="203" t="s">
        <v>2457</v>
      </c>
      <c r="AM291" s="200">
        <v>4</v>
      </c>
    </row>
    <row r="292" spans="1:39" s="200" customFormat="1" ht="30" customHeight="1" x14ac:dyDescent="0.25">
      <c r="A292" s="14">
        <v>46007</v>
      </c>
      <c r="B292" s="204" t="s">
        <v>2458</v>
      </c>
      <c r="C292" s="204" t="s">
        <v>2459</v>
      </c>
      <c r="D292" s="204" t="s">
        <v>2460</v>
      </c>
      <c r="E292" s="205" t="s">
        <v>39</v>
      </c>
      <c r="F292" s="143"/>
      <c r="G292" s="143"/>
      <c r="H292" s="206">
        <v>1</v>
      </c>
      <c r="I292" s="86" t="s">
        <v>9879</v>
      </c>
      <c r="J292" s="207">
        <v>12</v>
      </c>
      <c r="K292" s="46" t="s">
        <v>2461</v>
      </c>
      <c r="L292" s="208" t="s">
        <v>63</v>
      </c>
      <c r="M292" s="209" t="s">
        <v>42</v>
      </c>
      <c r="N292" s="120" t="s">
        <v>2462</v>
      </c>
      <c r="O292" s="210"/>
      <c r="P292" s="210" t="s">
        <v>2463</v>
      </c>
      <c r="Q292" s="210" t="s">
        <v>2464</v>
      </c>
      <c r="R292" s="211">
        <v>37</v>
      </c>
      <c r="S292" s="211">
        <v>593</v>
      </c>
      <c r="T292" s="212" t="s">
        <v>67</v>
      </c>
      <c r="U292" s="212">
        <v>21</v>
      </c>
      <c r="V292" s="213">
        <f t="shared" si="10"/>
        <v>252</v>
      </c>
      <c r="W292" s="212" t="s">
        <v>48</v>
      </c>
      <c r="X292" s="198" t="s">
        <v>2465</v>
      </c>
      <c r="Y292" s="199" t="s">
        <v>70</v>
      </c>
      <c r="Z292" s="169"/>
      <c r="AA292" s="170" t="s">
        <v>2355</v>
      </c>
      <c r="AB292" s="171" t="s">
        <v>2403</v>
      </c>
      <c r="AC292" s="35">
        <f>7383.6*J292/30</f>
        <v>2953.4400000000005</v>
      </c>
      <c r="AE292" s="201" t="s">
        <v>2386</v>
      </c>
      <c r="AF292" s="138"/>
      <c r="AG292" s="138" t="s">
        <v>56</v>
      </c>
      <c r="AH292" s="138" t="s">
        <v>56</v>
      </c>
      <c r="AI292" s="138"/>
      <c r="AJ292" s="138"/>
      <c r="AK292" s="138"/>
      <c r="AL292" s="138"/>
      <c r="AM292" s="200">
        <v>1</v>
      </c>
    </row>
    <row r="293" spans="1:39" ht="240.75" customHeight="1" x14ac:dyDescent="0.25">
      <c r="A293" s="14">
        <v>46007</v>
      </c>
      <c r="B293" s="121" t="s">
        <v>2466</v>
      </c>
      <c r="C293" s="121" t="s">
        <v>2467</v>
      </c>
      <c r="D293" s="121" t="s">
        <v>2468</v>
      </c>
      <c r="E293" s="122" t="s">
        <v>39</v>
      </c>
      <c r="F293" s="123"/>
      <c r="G293" s="123"/>
      <c r="H293" s="214">
        <v>1</v>
      </c>
      <c r="I293" s="215" t="s">
        <v>9880</v>
      </c>
      <c r="J293" s="124">
        <v>15</v>
      </c>
      <c r="K293" s="125" t="s">
        <v>2469</v>
      </c>
      <c r="L293" s="126" t="s">
        <v>63</v>
      </c>
      <c r="M293" s="127" t="s">
        <v>42</v>
      </c>
      <c r="N293" s="216" t="s">
        <v>2470</v>
      </c>
      <c r="O293" s="129" t="s">
        <v>2060</v>
      </c>
      <c r="P293" s="129" t="s">
        <v>2471</v>
      </c>
      <c r="Q293" s="129" t="s">
        <v>1013</v>
      </c>
      <c r="R293" s="217">
        <v>91</v>
      </c>
      <c r="S293" s="218">
        <v>748</v>
      </c>
      <c r="T293" s="130" t="s">
        <v>47</v>
      </c>
      <c r="U293" s="130">
        <v>28</v>
      </c>
      <c r="V293" s="219">
        <f t="shared" si="10"/>
        <v>420</v>
      </c>
      <c r="W293" s="130" t="s">
        <v>48</v>
      </c>
      <c r="X293" s="220" t="s">
        <v>1840</v>
      </c>
      <c r="Y293" s="132" t="s">
        <v>82</v>
      </c>
      <c r="Z293" s="133"/>
      <c r="AA293" s="134" t="s">
        <v>2472</v>
      </c>
      <c r="AB293" s="135" t="s">
        <v>2473</v>
      </c>
      <c r="AC293" s="221">
        <f>8156*J293/25</f>
        <v>4893.6000000000004</v>
      </c>
      <c r="AE293" s="137" t="s">
        <v>148</v>
      </c>
      <c r="AF293" s="138" t="s">
        <v>354</v>
      </c>
      <c r="AG293" s="138" t="s">
        <v>56</v>
      </c>
      <c r="AH293" s="138" t="s">
        <v>56</v>
      </c>
      <c r="AI293" s="138"/>
      <c r="AJ293" s="138" t="s">
        <v>56</v>
      </c>
      <c r="AK293" s="138" t="s">
        <v>1527</v>
      </c>
      <c r="AL293" s="222"/>
      <c r="AM293" s="139">
        <v>1</v>
      </c>
    </row>
    <row r="294" spans="1:39" s="12" customFormat="1" ht="124.5" customHeight="1" x14ac:dyDescent="0.25">
      <c r="A294" s="14">
        <v>46007</v>
      </c>
      <c r="B294" s="223" t="s">
        <v>2474</v>
      </c>
      <c r="C294" s="224" t="s">
        <v>2475</v>
      </c>
      <c r="D294" s="225" t="s">
        <v>2476</v>
      </c>
      <c r="E294" s="226" t="s">
        <v>39</v>
      </c>
      <c r="F294" s="227"/>
      <c r="G294" s="227"/>
      <c r="H294" s="228">
        <v>1</v>
      </c>
      <c r="I294" s="72" t="s">
        <v>2477</v>
      </c>
      <c r="J294" s="229">
        <v>20</v>
      </c>
      <c r="K294" s="88" t="s">
        <v>2478</v>
      </c>
      <c r="L294" s="230" t="s">
        <v>63</v>
      </c>
      <c r="M294" s="231" t="s">
        <v>42</v>
      </c>
      <c r="N294" s="232" t="s">
        <v>2479</v>
      </c>
      <c r="O294" s="233" t="s">
        <v>2480</v>
      </c>
      <c r="P294" s="233" t="s">
        <v>2481</v>
      </c>
      <c r="Q294" s="234" t="s">
        <v>2455</v>
      </c>
      <c r="R294" s="235">
        <v>174</v>
      </c>
      <c r="S294" s="92">
        <v>855</v>
      </c>
      <c r="T294" s="236" t="s">
        <v>2482</v>
      </c>
      <c r="U294" s="236">
        <v>48</v>
      </c>
      <c r="V294" s="237">
        <f t="shared" si="10"/>
        <v>960</v>
      </c>
      <c r="W294" s="236" t="s">
        <v>48</v>
      </c>
      <c r="X294" s="238" t="s">
        <v>2483</v>
      </c>
      <c r="Y294" s="239" t="s">
        <v>82</v>
      </c>
      <c r="Z294" s="169"/>
      <c r="AA294" s="240" t="s">
        <v>2429</v>
      </c>
      <c r="AB294" s="241" t="s">
        <v>2430</v>
      </c>
      <c r="AC294" s="242">
        <v>16186</v>
      </c>
      <c r="AE294" s="201" t="s">
        <v>2386</v>
      </c>
      <c r="AF294" s="12" t="s">
        <v>1874</v>
      </c>
      <c r="AG294" s="12" t="s">
        <v>56</v>
      </c>
      <c r="AH294" s="12" t="s">
        <v>56</v>
      </c>
      <c r="AM294" s="12">
        <v>1</v>
      </c>
    </row>
    <row r="295" spans="1:39" s="200" customFormat="1" ht="180" x14ac:dyDescent="0.25">
      <c r="A295" s="14">
        <v>46007</v>
      </c>
      <c r="B295" s="95" t="s">
        <v>2484</v>
      </c>
      <c r="C295" s="95" t="s">
        <v>2485</v>
      </c>
      <c r="D295" s="95"/>
      <c r="E295" s="96" t="s">
        <v>39</v>
      </c>
      <c r="F295" s="19">
        <v>1</v>
      </c>
      <c r="G295" s="97"/>
      <c r="H295" s="97"/>
      <c r="I295" s="72" t="s">
        <v>2486</v>
      </c>
      <c r="J295" s="98">
        <v>4</v>
      </c>
      <c r="K295" s="99" t="s">
        <v>2487</v>
      </c>
      <c r="L295" s="100" t="s">
        <v>63</v>
      </c>
      <c r="M295" s="100" t="s">
        <v>55</v>
      </c>
      <c r="N295" s="101" t="s">
        <v>2488</v>
      </c>
      <c r="O295" s="102" t="s">
        <v>2410</v>
      </c>
      <c r="P295" s="102" t="s">
        <v>2489</v>
      </c>
      <c r="Q295" s="102" t="s">
        <v>2363</v>
      </c>
      <c r="R295" s="103">
        <v>36</v>
      </c>
      <c r="S295" s="103">
        <v>680</v>
      </c>
      <c r="T295" s="96" t="s">
        <v>549</v>
      </c>
      <c r="U295" s="96">
        <v>1</v>
      </c>
      <c r="V295" s="104">
        <f t="shared" si="10"/>
        <v>4</v>
      </c>
      <c r="W295" s="96" t="s">
        <v>221</v>
      </c>
      <c r="X295" s="198" t="s">
        <v>2490</v>
      </c>
      <c r="Y295" s="199" t="s">
        <v>99</v>
      </c>
      <c r="Z295" s="169"/>
      <c r="AA295" s="170" t="s">
        <v>83</v>
      </c>
      <c r="AB295" s="243" t="s">
        <v>2378</v>
      </c>
      <c r="AC295" s="172">
        <v>4848.72</v>
      </c>
      <c r="AE295" s="201" t="s">
        <v>2386</v>
      </c>
      <c r="AF295" s="138"/>
      <c r="AG295" s="138" t="s">
        <v>56</v>
      </c>
      <c r="AH295" s="138" t="s">
        <v>86</v>
      </c>
      <c r="AI295" s="138"/>
      <c r="AJ295" s="138" t="s">
        <v>2491</v>
      </c>
      <c r="AK295" s="138" t="s">
        <v>1539</v>
      </c>
      <c r="AL295" s="138"/>
      <c r="AM295" s="200">
        <v>1</v>
      </c>
    </row>
    <row r="296" spans="1:39" ht="30" customHeight="1" x14ac:dyDescent="0.25">
      <c r="A296" s="14">
        <v>46007</v>
      </c>
      <c r="B296" s="95" t="s">
        <v>2492</v>
      </c>
      <c r="C296" s="95" t="s">
        <v>2493</v>
      </c>
      <c r="D296" s="95"/>
      <c r="E296" s="96" t="s">
        <v>39</v>
      </c>
      <c r="F296" s="244">
        <v>1</v>
      </c>
      <c r="G296" s="97"/>
      <c r="H296" s="97"/>
      <c r="I296" s="245" t="s">
        <v>2494</v>
      </c>
      <c r="J296" s="98">
        <v>51</v>
      </c>
      <c r="K296" s="99" t="s">
        <v>2487</v>
      </c>
      <c r="L296" s="100" t="s">
        <v>63</v>
      </c>
      <c r="M296" s="246" t="s">
        <v>42</v>
      </c>
      <c r="N296" s="101" t="s">
        <v>2495</v>
      </c>
      <c r="O296" s="102"/>
      <c r="P296" s="102"/>
      <c r="Q296" s="102"/>
      <c r="R296" s="103"/>
      <c r="S296" s="103"/>
      <c r="T296" s="96"/>
      <c r="U296" s="96"/>
      <c r="V296" s="104"/>
      <c r="W296" s="96"/>
      <c r="X296" s="202" t="s">
        <v>1189</v>
      </c>
      <c r="Y296" s="199" t="s">
        <v>144</v>
      </c>
      <c r="Z296" s="169" t="s">
        <v>2496</v>
      </c>
      <c r="AA296" s="170" t="s">
        <v>2497</v>
      </c>
      <c r="AB296" s="243" t="s">
        <v>2378</v>
      </c>
      <c r="AC296" s="172"/>
      <c r="AE296" s="137"/>
      <c r="AF296" s="138"/>
      <c r="AG296" s="138"/>
      <c r="AH296" s="138"/>
      <c r="AI296" s="138"/>
      <c r="AJ296" s="138"/>
      <c r="AK296" s="138"/>
      <c r="AL296" s="138"/>
    </row>
    <row r="297" spans="1:39" s="200" customFormat="1" ht="30" customHeight="1" x14ac:dyDescent="0.25">
      <c r="A297" s="247" t="s">
        <v>2498</v>
      </c>
      <c r="B297" s="204" t="s">
        <v>2499</v>
      </c>
      <c r="C297" s="41" t="s">
        <v>2500</v>
      </c>
      <c r="D297" s="204"/>
      <c r="E297" s="205" t="s">
        <v>195</v>
      </c>
      <c r="F297" s="143"/>
      <c r="G297" s="143"/>
      <c r="H297" s="143"/>
      <c r="I297" s="86" t="s">
        <v>2501</v>
      </c>
      <c r="J297" s="207">
        <v>50</v>
      </c>
      <c r="K297" s="248" t="s">
        <v>2461</v>
      </c>
      <c r="L297" s="47" t="s">
        <v>63</v>
      </c>
      <c r="M297" s="249" t="s">
        <v>2502</v>
      </c>
      <c r="N297" s="250" t="s">
        <v>2503</v>
      </c>
      <c r="O297" s="210"/>
      <c r="P297" s="210"/>
      <c r="Q297" s="210"/>
      <c r="R297" s="211">
        <v>32</v>
      </c>
      <c r="S297" s="211">
        <v>53</v>
      </c>
      <c r="T297" s="212" t="s">
        <v>47</v>
      </c>
      <c r="U297" s="212">
        <v>11</v>
      </c>
      <c r="V297" s="213">
        <f t="shared" ref="V297:V328" si="11">U297*J297</f>
        <v>550</v>
      </c>
      <c r="W297" s="212" t="s">
        <v>221</v>
      </c>
      <c r="X297" s="198" t="s">
        <v>2504</v>
      </c>
      <c r="Y297" s="199" t="s">
        <v>99</v>
      </c>
      <c r="Z297" s="169" t="s">
        <v>51</v>
      </c>
      <c r="AA297" s="170" t="s">
        <v>1346</v>
      </c>
      <c r="AB297" s="171" t="s">
        <v>2099</v>
      </c>
      <c r="AC297" s="172">
        <v>0</v>
      </c>
      <c r="AE297" s="137" t="s">
        <v>2505</v>
      </c>
      <c r="AF297" s="138"/>
      <c r="AG297" s="138" t="s">
        <v>56</v>
      </c>
      <c r="AH297" s="138" t="s">
        <v>56</v>
      </c>
      <c r="AI297" s="138"/>
      <c r="AJ297" s="138"/>
      <c r="AK297" s="138"/>
      <c r="AL297" s="251" t="s">
        <v>2506</v>
      </c>
    </row>
    <row r="298" spans="1:39" s="200" customFormat="1" ht="30" customHeight="1" x14ac:dyDescent="0.25">
      <c r="A298" s="14">
        <v>46006</v>
      </c>
      <c r="B298" s="95" t="s">
        <v>2450</v>
      </c>
      <c r="C298" s="95" t="s">
        <v>2507</v>
      </c>
      <c r="D298" s="95" t="s">
        <v>2508</v>
      </c>
      <c r="E298" s="96" t="s">
        <v>195</v>
      </c>
      <c r="F298" s="97"/>
      <c r="G298" s="97"/>
      <c r="H298" s="97"/>
      <c r="I298" s="72" t="s">
        <v>9881</v>
      </c>
      <c r="J298" s="98">
        <v>1</v>
      </c>
      <c r="K298" s="252" t="s">
        <v>2509</v>
      </c>
      <c r="L298" s="253" t="s">
        <v>42</v>
      </c>
      <c r="M298" s="96" t="s">
        <v>55</v>
      </c>
      <c r="N298" s="101" t="s">
        <v>2510</v>
      </c>
      <c r="O298" s="102"/>
      <c r="P298" s="102"/>
      <c r="Q298" s="102"/>
      <c r="R298" s="103">
        <v>0</v>
      </c>
      <c r="S298" s="103">
        <v>0</v>
      </c>
      <c r="T298" s="96">
        <v>0</v>
      </c>
      <c r="U298" s="96">
        <v>31</v>
      </c>
      <c r="V298" s="104">
        <f t="shared" si="11"/>
        <v>31</v>
      </c>
      <c r="W298" s="96" t="s">
        <v>48</v>
      </c>
      <c r="X298" s="198" t="s">
        <v>2465</v>
      </c>
      <c r="Y298" s="199" t="s">
        <v>70</v>
      </c>
      <c r="Z298" s="169"/>
      <c r="AA298" s="170" t="s">
        <v>1346</v>
      </c>
      <c r="AB298" s="171" t="s">
        <v>2099</v>
      </c>
      <c r="AC298" s="35">
        <f>3627*J298/30</f>
        <v>120.9</v>
      </c>
      <c r="AE298" s="137" t="s">
        <v>2386</v>
      </c>
      <c r="AF298" s="138"/>
      <c r="AG298" s="138" t="s">
        <v>56</v>
      </c>
      <c r="AH298" s="138" t="s">
        <v>56</v>
      </c>
      <c r="AI298" s="138"/>
      <c r="AJ298" s="138"/>
      <c r="AK298" s="138"/>
      <c r="AL298" s="138"/>
      <c r="AM298" s="254"/>
    </row>
    <row r="299" spans="1:39" ht="90" x14ac:dyDescent="0.25">
      <c r="A299" s="14">
        <v>46003</v>
      </c>
      <c r="B299" s="41" t="s">
        <v>2416</v>
      </c>
      <c r="C299" s="41" t="s">
        <v>2511</v>
      </c>
      <c r="D299" s="41"/>
      <c r="E299" s="42" t="s">
        <v>39</v>
      </c>
      <c r="F299" s="43"/>
      <c r="G299" s="43"/>
      <c r="H299" s="19">
        <v>1</v>
      </c>
      <c r="I299" s="72" t="s">
        <v>2512</v>
      </c>
      <c r="J299" s="45">
        <v>5</v>
      </c>
      <c r="K299" s="46" t="s">
        <v>2513</v>
      </c>
      <c r="L299" s="47" t="s">
        <v>63</v>
      </c>
      <c r="M299" s="73" t="s">
        <v>42</v>
      </c>
      <c r="N299" s="48" t="s">
        <v>2514</v>
      </c>
      <c r="O299" s="49" t="s">
        <v>2515</v>
      </c>
      <c r="P299" s="49" t="s">
        <v>2166</v>
      </c>
      <c r="Q299" s="49" t="s">
        <v>2060</v>
      </c>
      <c r="R299" s="50">
        <v>91</v>
      </c>
      <c r="S299" s="50">
        <v>562</v>
      </c>
      <c r="T299" s="51" t="s">
        <v>549</v>
      </c>
      <c r="U299" s="51">
        <v>2</v>
      </c>
      <c r="V299" s="52">
        <f t="shared" si="11"/>
        <v>10</v>
      </c>
      <c r="W299" s="51" t="s">
        <v>142</v>
      </c>
      <c r="X299" s="198" t="s">
        <v>2516</v>
      </c>
      <c r="Y299" s="168" t="s">
        <v>82</v>
      </c>
      <c r="Z299" s="169"/>
      <c r="AA299" s="170" t="s">
        <v>1994</v>
      </c>
      <c r="AB299" s="243" t="s">
        <v>2517</v>
      </c>
      <c r="AC299" s="172">
        <v>7766.25</v>
      </c>
      <c r="AE299" s="137" t="s">
        <v>2386</v>
      </c>
      <c r="AF299" s="138"/>
      <c r="AG299" s="138" t="s">
        <v>56</v>
      </c>
      <c r="AH299" s="138" t="s">
        <v>86</v>
      </c>
      <c r="AI299" s="138"/>
      <c r="AJ299" s="138"/>
      <c r="AK299" s="138"/>
      <c r="AL299" s="203" t="s">
        <v>2518</v>
      </c>
      <c r="AM299">
        <v>1</v>
      </c>
    </row>
    <row r="300" spans="1:39" s="200" customFormat="1" ht="75" x14ac:dyDescent="0.25">
      <c r="A300" s="14">
        <v>46003</v>
      </c>
      <c r="B300" s="41" t="s">
        <v>2519</v>
      </c>
      <c r="C300" s="41" t="s">
        <v>2520</v>
      </c>
      <c r="D300" s="41"/>
      <c r="E300" s="42" t="s">
        <v>39</v>
      </c>
      <c r="F300" s="19">
        <v>2</v>
      </c>
      <c r="G300" s="43"/>
      <c r="H300" s="43"/>
      <c r="I300" s="72" t="s">
        <v>2521</v>
      </c>
      <c r="J300" s="45">
        <v>5</v>
      </c>
      <c r="K300" s="46" t="s">
        <v>2513</v>
      </c>
      <c r="L300" s="50" t="s">
        <v>63</v>
      </c>
      <c r="M300" s="73" t="s">
        <v>42</v>
      </c>
      <c r="N300" s="77" t="s">
        <v>2522</v>
      </c>
      <c r="O300" s="49" t="s">
        <v>2523</v>
      </c>
      <c r="P300" s="49" t="s">
        <v>2524</v>
      </c>
      <c r="Q300" s="49" t="s">
        <v>2525</v>
      </c>
      <c r="R300" s="50">
        <v>66</v>
      </c>
      <c r="S300" s="50">
        <v>581</v>
      </c>
      <c r="T300" s="51" t="s">
        <v>47</v>
      </c>
      <c r="U300" s="51">
        <v>91</v>
      </c>
      <c r="V300" s="52">
        <f t="shared" si="11"/>
        <v>455</v>
      </c>
      <c r="W300" s="51" t="s">
        <v>142</v>
      </c>
      <c r="X300" s="198" t="s">
        <v>2526</v>
      </c>
      <c r="Y300" s="199" t="s">
        <v>82</v>
      </c>
      <c r="Z300" s="169"/>
      <c r="AA300" s="170" t="s">
        <v>2064</v>
      </c>
      <c r="AB300" s="243" t="s">
        <v>2310</v>
      </c>
      <c r="AC300" s="172">
        <v>7460</v>
      </c>
      <c r="AE300" s="137" t="s">
        <v>2386</v>
      </c>
      <c r="AF300" s="138"/>
      <c r="AG300" s="138" t="s">
        <v>56</v>
      </c>
      <c r="AH300" s="138" t="s">
        <v>56</v>
      </c>
      <c r="AI300" s="138"/>
      <c r="AJ300" s="138"/>
      <c r="AK300" s="138"/>
      <c r="AL300" s="251" t="s">
        <v>648</v>
      </c>
      <c r="AM300" s="200">
        <v>1</v>
      </c>
    </row>
    <row r="301" spans="1:39" s="200" customFormat="1" ht="101.25" customHeight="1" x14ac:dyDescent="0.25">
      <c r="A301" s="14">
        <v>46002</v>
      </c>
      <c r="B301" s="41" t="s">
        <v>2527</v>
      </c>
      <c r="C301" s="41" t="s">
        <v>2528</v>
      </c>
      <c r="D301" s="41" t="s">
        <v>2529</v>
      </c>
      <c r="E301" s="42" t="s">
        <v>39</v>
      </c>
      <c r="F301" s="19">
        <v>1</v>
      </c>
      <c r="G301" s="43"/>
      <c r="H301" s="43"/>
      <c r="I301" s="72" t="s">
        <v>2530</v>
      </c>
      <c r="J301" s="45">
        <v>120</v>
      </c>
      <c r="K301" s="46" t="s">
        <v>2531</v>
      </c>
      <c r="L301" s="47" t="s">
        <v>63</v>
      </c>
      <c r="M301" s="73" t="s">
        <v>42</v>
      </c>
      <c r="N301" s="77" t="s">
        <v>2532</v>
      </c>
      <c r="O301" s="49"/>
      <c r="P301" s="49" t="s">
        <v>2533</v>
      </c>
      <c r="Q301" s="49" t="s">
        <v>2534</v>
      </c>
      <c r="R301" s="50">
        <v>2</v>
      </c>
      <c r="S301" s="50">
        <v>2</v>
      </c>
      <c r="T301" s="51" t="s">
        <v>96</v>
      </c>
      <c r="U301" s="51">
        <v>0</v>
      </c>
      <c r="V301" s="52">
        <f t="shared" si="11"/>
        <v>0</v>
      </c>
      <c r="W301" s="51" t="s">
        <v>142</v>
      </c>
      <c r="X301" s="198" t="s">
        <v>832</v>
      </c>
      <c r="Y301" s="199" t="s">
        <v>324</v>
      </c>
      <c r="Z301" s="169" t="s">
        <v>645</v>
      </c>
      <c r="AA301" s="170" t="s">
        <v>1015</v>
      </c>
      <c r="AB301" s="171" t="s">
        <v>2535</v>
      </c>
      <c r="AC301" s="172">
        <v>2238</v>
      </c>
      <c r="AE301" s="137" t="s">
        <v>148</v>
      </c>
      <c r="AF301" s="138"/>
      <c r="AG301" s="138" t="s">
        <v>56</v>
      </c>
      <c r="AH301" s="138" t="s">
        <v>56</v>
      </c>
      <c r="AI301" s="138"/>
      <c r="AJ301" s="138"/>
      <c r="AK301" s="138"/>
      <c r="AL301" s="203" t="s">
        <v>648</v>
      </c>
      <c r="AM301" s="254">
        <v>1</v>
      </c>
    </row>
    <row r="302" spans="1:39" s="200" customFormat="1" ht="90" x14ac:dyDescent="0.25">
      <c r="A302" s="14">
        <v>46002</v>
      </c>
      <c r="B302" s="41" t="s">
        <v>2055</v>
      </c>
      <c r="C302" s="41" t="s">
        <v>2536</v>
      </c>
      <c r="D302" s="41"/>
      <c r="E302" s="42" t="s">
        <v>39</v>
      </c>
      <c r="F302" s="43"/>
      <c r="G302" s="43"/>
      <c r="H302" s="19">
        <v>1</v>
      </c>
      <c r="I302" s="72" t="s">
        <v>2537</v>
      </c>
      <c r="J302" s="45">
        <v>150</v>
      </c>
      <c r="K302" s="46" t="s">
        <v>2538</v>
      </c>
      <c r="L302" s="47" t="s">
        <v>63</v>
      </c>
      <c r="M302" s="73" t="s">
        <v>42</v>
      </c>
      <c r="N302" s="77" t="s">
        <v>2539</v>
      </c>
      <c r="O302" s="49" t="s">
        <v>2540</v>
      </c>
      <c r="P302" s="49" t="s">
        <v>2541</v>
      </c>
      <c r="Q302" s="49" t="s">
        <v>2456</v>
      </c>
      <c r="R302" s="50">
        <v>5</v>
      </c>
      <c r="S302" s="50">
        <v>8</v>
      </c>
      <c r="T302" s="51" t="s">
        <v>47</v>
      </c>
      <c r="U302" s="51">
        <v>1</v>
      </c>
      <c r="V302" s="52">
        <f t="shared" si="11"/>
        <v>150</v>
      </c>
      <c r="W302" s="51" t="s">
        <v>142</v>
      </c>
      <c r="X302" s="198" t="s">
        <v>434</v>
      </c>
      <c r="Y302" s="199" t="s">
        <v>82</v>
      </c>
      <c r="Z302" s="169"/>
      <c r="AA302" s="170" t="s">
        <v>2542</v>
      </c>
      <c r="AB302" s="243" t="s">
        <v>2517</v>
      </c>
      <c r="AC302" s="172">
        <v>3028</v>
      </c>
      <c r="AE302" s="137" t="s">
        <v>148</v>
      </c>
      <c r="AF302" s="138"/>
      <c r="AG302" s="138" t="s">
        <v>56</v>
      </c>
      <c r="AH302" s="138" t="s">
        <v>56</v>
      </c>
      <c r="AI302" s="138"/>
      <c r="AJ302" s="138"/>
      <c r="AK302" s="138"/>
      <c r="AL302" s="138"/>
      <c r="AM302" s="200">
        <v>25</v>
      </c>
    </row>
    <row r="303" spans="1:39" s="200" customFormat="1" ht="33" customHeight="1" x14ac:dyDescent="0.25">
      <c r="A303" s="14">
        <v>46002</v>
      </c>
      <c r="B303" s="41" t="s">
        <v>2543</v>
      </c>
      <c r="C303" s="41" t="s">
        <v>2544</v>
      </c>
      <c r="D303" s="41"/>
      <c r="E303" s="42" t="s">
        <v>39</v>
      </c>
      <c r="F303" s="43"/>
      <c r="G303" s="43"/>
      <c r="H303" s="19">
        <v>1</v>
      </c>
      <c r="I303" s="72" t="s">
        <v>2545</v>
      </c>
      <c r="J303" s="45">
        <v>70</v>
      </c>
      <c r="K303" s="46" t="s">
        <v>2538</v>
      </c>
      <c r="L303" s="47" t="s">
        <v>63</v>
      </c>
      <c r="M303" s="73" t="s">
        <v>42</v>
      </c>
      <c r="N303" s="77" t="s">
        <v>78</v>
      </c>
      <c r="O303" s="49"/>
      <c r="P303" s="49" t="s">
        <v>2546</v>
      </c>
      <c r="Q303" s="49" t="s">
        <v>2541</v>
      </c>
      <c r="R303" s="50">
        <v>19</v>
      </c>
      <c r="S303" s="50">
        <v>32</v>
      </c>
      <c r="T303" s="51" t="s">
        <v>67</v>
      </c>
      <c r="U303" s="51">
        <v>1</v>
      </c>
      <c r="V303" s="52">
        <f t="shared" si="11"/>
        <v>70</v>
      </c>
      <c r="W303" s="51" t="s">
        <v>48</v>
      </c>
      <c r="X303" s="202" t="s">
        <v>1982</v>
      </c>
      <c r="Y303" s="199" t="s">
        <v>82</v>
      </c>
      <c r="Z303" s="169"/>
      <c r="AA303" s="170" t="s">
        <v>2429</v>
      </c>
      <c r="AB303" s="243" t="s">
        <v>2430</v>
      </c>
      <c r="AC303" s="172">
        <v>3003</v>
      </c>
      <c r="AE303" s="137" t="s">
        <v>148</v>
      </c>
      <c r="AF303" s="138" t="s">
        <v>1874</v>
      </c>
      <c r="AG303" s="138" t="s">
        <v>56</v>
      </c>
      <c r="AH303" s="138" t="s">
        <v>56</v>
      </c>
      <c r="AI303" s="138"/>
      <c r="AJ303" s="138" t="s">
        <v>56</v>
      </c>
      <c r="AK303" s="138" t="s">
        <v>74</v>
      </c>
      <c r="AL303" s="138"/>
      <c r="AM303" s="200">
        <v>10</v>
      </c>
    </row>
    <row r="304" spans="1:39" s="200" customFormat="1" ht="47.25" customHeight="1" x14ac:dyDescent="0.25">
      <c r="A304" s="14">
        <v>46002</v>
      </c>
      <c r="B304" s="41" t="s">
        <v>2547</v>
      </c>
      <c r="C304" s="41" t="s">
        <v>2548</v>
      </c>
      <c r="D304" s="41" t="s">
        <v>2460</v>
      </c>
      <c r="E304" s="42" t="s">
        <v>39</v>
      </c>
      <c r="F304" s="43"/>
      <c r="G304" s="43"/>
      <c r="H304" s="19">
        <v>1</v>
      </c>
      <c r="I304" s="72" t="s">
        <v>2549</v>
      </c>
      <c r="J304" s="45">
        <f>30-12</f>
        <v>18</v>
      </c>
      <c r="K304" s="46" t="s">
        <v>2538</v>
      </c>
      <c r="L304" s="47" t="s">
        <v>63</v>
      </c>
      <c r="M304" s="73" t="s">
        <v>42</v>
      </c>
      <c r="N304" s="77" t="s">
        <v>2550</v>
      </c>
      <c r="O304" s="49"/>
      <c r="P304" s="49" t="s">
        <v>2463</v>
      </c>
      <c r="Q304" s="49" t="s">
        <v>2464</v>
      </c>
      <c r="R304" s="50">
        <v>37</v>
      </c>
      <c r="S304" s="50">
        <v>593</v>
      </c>
      <c r="T304" s="51" t="s">
        <v>67</v>
      </c>
      <c r="U304" s="51">
        <v>21</v>
      </c>
      <c r="V304" s="75">
        <f t="shared" si="11"/>
        <v>378</v>
      </c>
      <c r="W304" s="51" t="s">
        <v>48</v>
      </c>
      <c r="X304" s="198" t="s">
        <v>2465</v>
      </c>
      <c r="Y304" s="199" t="s">
        <v>70</v>
      </c>
      <c r="Z304" s="169"/>
      <c r="AA304" s="170" t="s">
        <v>2355</v>
      </c>
      <c r="AB304" s="171" t="s">
        <v>2403</v>
      </c>
      <c r="AC304" s="35">
        <f>7383.6*J304/30 + 830</f>
        <v>5260.1600000000008</v>
      </c>
      <c r="AE304" s="137" t="s">
        <v>2386</v>
      </c>
      <c r="AF304" s="138"/>
      <c r="AG304" s="138" t="s">
        <v>56</v>
      </c>
      <c r="AH304" s="138" t="s">
        <v>56</v>
      </c>
      <c r="AI304" s="138"/>
      <c r="AJ304" s="138"/>
      <c r="AK304" s="138"/>
      <c r="AL304" s="138"/>
      <c r="AM304" s="200">
        <v>1</v>
      </c>
    </row>
    <row r="305" spans="1:39" ht="67.5" customHeight="1" x14ac:dyDescent="0.25">
      <c r="A305" s="14">
        <v>46002</v>
      </c>
      <c r="B305" s="41" t="s">
        <v>2551</v>
      </c>
      <c r="C305" s="41" t="s">
        <v>2552</v>
      </c>
      <c r="D305" s="41" t="s">
        <v>2553</v>
      </c>
      <c r="E305" s="42" t="s">
        <v>39</v>
      </c>
      <c r="F305" s="19">
        <v>1</v>
      </c>
      <c r="G305" s="43"/>
      <c r="H305" s="43"/>
      <c r="I305" s="72" t="s">
        <v>2554</v>
      </c>
      <c r="J305" s="45">
        <v>100</v>
      </c>
      <c r="K305" s="46" t="s">
        <v>2555</v>
      </c>
      <c r="L305" s="47" t="s">
        <v>63</v>
      </c>
      <c r="M305" s="73" t="s">
        <v>42</v>
      </c>
      <c r="N305" s="167" t="s">
        <v>2556</v>
      </c>
      <c r="O305" s="49" t="s">
        <v>2557</v>
      </c>
      <c r="P305" s="49" t="s">
        <v>2480</v>
      </c>
      <c r="Q305" s="49" t="s">
        <v>2455</v>
      </c>
      <c r="R305" s="50">
        <v>66</v>
      </c>
      <c r="S305" s="92">
        <v>730</v>
      </c>
      <c r="T305" s="51" t="s">
        <v>47</v>
      </c>
      <c r="U305" s="51">
        <v>2</v>
      </c>
      <c r="V305" s="52">
        <f t="shared" si="11"/>
        <v>200</v>
      </c>
      <c r="W305" s="51" t="s">
        <v>350</v>
      </c>
      <c r="X305" s="198" t="s">
        <v>1951</v>
      </c>
      <c r="Y305" s="168" t="s">
        <v>82</v>
      </c>
      <c r="Z305" s="169"/>
      <c r="AA305" s="170" t="s">
        <v>2558</v>
      </c>
      <c r="AB305" s="171" t="s">
        <v>2559</v>
      </c>
      <c r="AC305" s="172">
        <v>17743</v>
      </c>
      <c r="AE305" s="255" t="s">
        <v>54</v>
      </c>
      <c r="AF305" s="138"/>
      <c r="AG305" s="138" t="s">
        <v>56</v>
      </c>
      <c r="AH305" s="138" t="s">
        <v>56</v>
      </c>
      <c r="AI305" s="138"/>
      <c r="AJ305" s="138" t="s">
        <v>56</v>
      </c>
      <c r="AK305" s="138" t="s">
        <v>74</v>
      </c>
      <c r="AL305" s="138"/>
      <c r="AM305" s="139">
        <v>1</v>
      </c>
    </row>
    <row r="306" spans="1:39" ht="220.5" x14ac:dyDescent="0.25">
      <c r="A306" s="14">
        <v>46002</v>
      </c>
      <c r="B306" s="41" t="s">
        <v>2560</v>
      </c>
      <c r="C306" s="41" t="s">
        <v>2561</v>
      </c>
      <c r="D306" s="41"/>
      <c r="E306" s="42" t="s">
        <v>39</v>
      </c>
      <c r="F306" s="43"/>
      <c r="G306" s="43"/>
      <c r="H306" s="19">
        <v>1</v>
      </c>
      <c r="I306" s="72" t="s">
        <v>2562</v>
      </c>
      <c r="J306" s="45">
        <v>100</v>
      </c>
      <c r="K306" s="46" t="s">
        <v>2555</v>
      </c>
      <c r="L306" s="47" t="s">
        <v>63</v>
      </c>
      <c r="M306" s="73" t="s">
        <v>42</v>
      </c>
      <c r="N306" s="256" t="s">
        <v>2563</v>
      </c>
      <c r="O306" s="49" t="s">
        <v>1621</v>
      </c>
      <c r="P306" s="49" t="s">
        <v>2564</v>
      </c>
      <c r="Q306" s="49" t="s">
        <v>2565</v>
      </c>
      <c r="R306" s="92">
        <v>202</v>
      </c>
      <c r="S306" s="92">
        <v>1001</v>
      </c>
      <c r="T306" s="51" t="s">
        <v>933</v>
      </c>
      <c r="U306" s="51">
        <v>15</v>
      </c>
      <c r="V306" s="75">
        <f t="shared" si="11"/>
        <v>1500</v>
      </c>
      <c r="W306" s="51" t="s">
        <v>350</v>
      </c>
      <c r="X306" s="198" t="s">
        <v>1951</v>
      </c>
      <c r="Y306" s="168" t="s">
        <v>82</v>
      </c>
      <c r="Z306" s="169"/>
      <c r="AA306" s="170" t="s">
        <v>2566</v>
      </c>
      <c r="AB306" s="171" t="s">
        <v>2567</v>
      </c>
      <c r="AC306" s="172">
        <v>61558</v>
      </c>
      <c r="AE306" s="137" t="s">
        <v>148</v>
      </c>
      <c r="AF306" s="138"/>
      <c r="AG306" s="138" t="s">
        <v>56</v>
      </c>
      <c r="AH306" s="138" t="s">
        <v>56</v>
      </c>
      <c r="AI306" s="138"/>
      <c r="AJ306" s="138" t="s">
        <v>56</v>
      </c>
      <c r="AK306" s="138" t="s">
        <v>74</v>
      </c>
      <c r="AL306" s="138"/>
      <c r="AM306" s="139">
        <v>1</v>
      </c>
    </row>
    <row r="307" spans="1:39" s="200" customFormat="1" ht="240" x14ac:dyDescent="0.25">
      <c r="A307" s="14">
        <v>46001</v>
      </c>
      <c r="B307" s="41" t="s">
        <v>2568</v>
      </c>
      <c r="C307" s="41" t="s">
        <v>2569</v>
      </c>
      <c r="D307" s="204"/>
      <c r="E307" s="42" t="s">
        <v>39</v>
      </c>
      <c r="F307" s="43"/>
      <c r="G307" s="43"/>
      <c r="H307" s="19">
        <v>1</v>
      </c>
      <c r="I307" s="72" t="s">
        <v>2570</v>
      </c>
      <c r="J307" s="45">
        <v>10</v>
      </c>
      <c r="K307" s="46" t="s">
        <v>2571</v>
      </c>
      <c r="L307" s="47" t="s">
        <v>63</v>
      </c>
      <c r="M307" s="73" t="s">
        <v>42</v>
      </c>
      <c r="N307" s="77" t="s">
        <v>2572</v>
      </c>
      <c r="O307" s="49" t="s">
        <v>2573</v>
      </c>
      <c r="P307" s="197" t="s">
        <v>2574</v>
      </c>
      <c r="Q307" s="49" t="s">
        <v>2575</v>
      </c>
      <c r="R307" s="50">
        <v>94</v>
      </c>
      <c r="S307" s="92">
        <v>807</v>
      </c>
      <c r="T307" s="51" t="s">
        <v>47</v>
      </c>
      <c r="U307" s="51">
        <v>10</v>
      </c>
      <c r="V307" s="52">
        <f t="shared" si="11"/>
        <v>100</v>
      </c>
      <c r="W307" s="51" t="s">
        <v>48</v>
      </c>
      <c r="X307" s="198" t="s">
        <v>934</v>
      </c>
      <c r="Y307" s="199" t="s">
        <v>99</v>
      </c>
      <c r="Z307" s="169" t="s">
        <v>645</v>
      </c>
      <c r="AA307" s="170" t="s">
        <v>2413</v>
      </c>
      <c r="AB307" s="171" t="s">
        <v>2576</v>
      </c>
      <c r="AC307" s="172">
        <v>8183.5</v>
      </c>
      <c r="AE307" s="137" t="s">
        <v>148</v>
      </c>
      <c r="AF307" s="138" t="s">
        <v>354</v>
      </c>
      <c r="AG307" s="138" t="s">
        <v>56</v>
      </c>
      <c r="AH307" s="138" t="s">
        <v>56</v>
      </c>
      <c r="AI307" s="138"/>
      <c r="AJ307" s="138"/>
      <c r="AK307" s="138"/>
      <c r="AL307" s="203" t="s">
        <v>648</v>
      </c>
      <c r="AM307" s="200">
        <v>1</v>
      </c>
    </row>
    <row r="308" spans="1:39" s="200" customFormat="1" ht="38.25" customHeight="1" x14ac:dyDescent="0.25">
      <c r="A308" s="14">
        <v>46001</v>
      </c>
      <c r="B308" s="41" t="s">
        <v>2577</v>
      </c>
      <c r="C308" s="41" t="s">
        <v>2578</v>
      </c>
      <c r="D308" s="41"/>
      <c r="E308" s="42" t="s">
        <v>39</v>
      </c>
      <c r="F308" s="19">
        <v>2</v>
      </c>
      <c r="G308" s="43"/>
      <c r="H308" s="43"/>
      <c r="I308" s="72" t="s">
        <v>2579</v>
      </c>
      <c r="J308" s="45">
        <v>160</v>
      </c>
      <c r="K308" s="46" t="s">
        <v>2580</v>
      </c>
      <c r="L308" s="47" t="s">
        <v>63</v>
      </c>
      <c r="M308" s="47" t="s">
        <v>55</v>
      </c>
      <c r="N308" s="77" t="s">
        <v>2581</v>
      </c>
      <c r="O308" s="49" t="s">
        <v>2582</v>
      </c>
      <c r="P308" s="49"/>
      <c r="Q308" s="49" t="s">
        <v>2583</v>
      </c>
      <c r="R308" s="50">
        <v>6</v>
      </c>
      <c r="S308" s="50">
        <v>10</v>
      </c>
      <c r="T308" s="51" t="s">
        <v>47</v>
      </c>
      <c r="U308" s="51">
        <v>4</v>
      </c>
      <c r="V308" s="75">
        <f t="shared" si="11"/>
        <v>640</v>
      </c>
      <c r="W308" s="51" t="s">
        <v>48</v>
      </c>
      <c r="X308" s="198" t="s">
        <v>2584</v>
      </c>
      <c r="Y308" s="199" t="s">
        <v>144</v>
      </c>
      <c r="Z308" s="169"/>
      <c r="AA308" s="170" t="s">
        <v>1015</v>
      </c>
      <c r="AB308" s="171" t="s">
        <v>2585</v>
      </c>
      <c r="AC308" s="172">
        <v>2742</v>
      </c>
      <c r="AE308" s="137" t="s">
        <v>148</v>
      </c>
      <c r="AF308" s="138"/>
      <c r="AG308" s="138" t="s">
        <v>56</v>
      </c>
      <c r="AH308" s="138" t="s">
        <v>56</v>
      </c>
      <c r="AI308" s="138"/>
      <c r="AJ308" s="138"/>
      <c r="AK308" s="138"/>
      <c r="AL308" s="138"/>
      <c r="AM308" s="254">
        <v>20</v>
      </c>
    </row>
    <row r="309" spans="1:39" s="200" customFormat="1" ht="277.5" x14ac:dyDescent="0.25">
      <c r="A309" s="14">
        <v>46001</v>
      </c>
      <c r="B309" s="41" t="s">
        <v>2586</v>
      </c>
      <c r="C309" s="41" t="s">
        <v>2587</v>
      </c>
      <c r="D309" s="41" t="s">
        <v>2588</v>
      </c>
      <c r="E309" s="42" t="s">
        <v>39</v>
      </c>
      <c r="F309" s="19">
        <v>1</v>
      </c>
      <c r="G309" s="43"/>
      <c r="H309" s="43"/>
      <c r="I309" s="72" t="s">
        <v>9882</v>
      </c>
      <c r="J309" s="45">
        <v>102</v>
      </c>
      <c r="K309" s="46" t="s">
        <v>2589</v>
      </c>
      <c r="L309" s="50" t="s">
        <v>63</v>
      </c>
      <c r="M309" s="73" t="s">
        <v>42</v>
      </c>
      <c r="N309" s="77" t="s">
        <v>2590</v>
      </c>
      <c r="O309" s="49" t="s">
        <v>2591</v>
      </c>
      <c r="P309" s="49" t="s">
        <v>2592</v>
      </c>
      <c r="Q309" s="49" t="s">
        <v>2593</v>
      </c>
      <c r="R309" s="50">
        <v>74</v>
      </c>
      <c r="S309" s="92">
        <v>617</v>
      </c>
      <c r="T309" s="51" t="s">
        <v>180</v>
      </c>
      <c r="U309" s="51">
        <v>16</v>
      </c>
      <c r="V309" s="75">
        <f t="shared" si="11"/>
        <v>1632</v>
      </c>
      <c r="W309" s="51" t="s">
        <v>350</v>
      </c>
      <c r="X309" s="198" t="s">
        <v>934</v>
      </c>
      <c r="Y309" s="199" t="s">
        <v>82</v>
      </c>
      <c r="Z309" s="169"/>
      <c r="AA309" s="170" t="s">
        <v>1701</v>
      </c>
      <c r="AB309" s="171" t="s">
        <v>2594</v>
      </c>
      <c r="AC309" s="35">
        <f>28624.05*J309/105</f>
        <v>27806.22</v>
      </c>
      <c r="AE309" s="137" t="s">
        <v>2386</v>
      </c>
      <c r="AF309" s="138" t="s">
        <v>354</v>
      </c>
      <c r="AG309" s="138" t="s">
        <v>56</v>
      </c>
      <c r="AH309" s="138" t="s">
        <v>56</v>
      </c>
      <c r="AI309" s="138"/>
      <c r="AJ309" s="138"/>
      <c r="AK309" s="138"/>
      <c r="AL309" s="251" t="s">
        <v>2595</v>
      </c>
      <c r="AM309" s="254">
        <v>1</v>
      </c>
    </row>
    <row r="310" spans="1:39" s="200" customFormat="1" ht="90" customHeight="1" x14ac:dyDescent="0.25">
      <c r="A310" s="14">
        <v>46000</v>
      </c>
      <c r="B310" s="41" t="s">
        <v>2596</v>
      </c>
      <c r="C310" s="41" t="s">
        <v>2597</v>
      </c>
      <c r="D310" s="41" t="s">
        <v>2598</v>
      </c>
      <c r="E310" s="42" t="s">
        <v>39</v>
      </c>
      <c r="F310" s="19">
        <v>2</v>
      </c>
      <c r="G310" s="43"/>
      <c r="H310" s="43"/>
      <c r="I310" s="72" t="s">
        <v>9883</v>
      </c>
      <c r="J310" s="45">
        <v>60</v>
      </c>
      <c r="K310" s="46" t="s">
        <v>2599</v>
      </c>
      <c r="L310" s="47" t="s">
        <v>63</v>
      </c>
      <c r="M310" s="42" t="s">
        <v>55</v>
      </c>
      <c r="N310" s="77" t="s">
        <v>2600</v>
      </c>
      <c r="O310" s="49" t="s">
        <v>2601</v>
      </c>
      <c r="P310" s="49" t="s">
        <v>2602</v>
      </c>
      <c r="Q310" s="49" t="s">
        <v>2603</v>
      </c>
      <c r="R310" s="50">
        <v>52</v>
      </c>
      <c r="S310" s="50">
        <v>121</v>
      </c>
      <c r="T310" s="51" t="s">
        <v>47</v>
      </c>
      <c r="U310" s="51">
        <v>6</v>
      </c>
      <c r="V310" s="52">
        <f t="shared" si="11"/>
        <v>360</v>
      </c>
      <c r="W310" s="51" t="s">
        <v>350</v>
      </c>
      <c r="X310" s="198" t="s">
        <v>2604</v>
      </c>
      <c r="Y310" s="199" t="s">
        <v>144</v>
      </c>
      <c r="Z310" s="169"/>
      <c r="AA310" s="170" t="s">
        <v>2429</v>
      </c>
      <c r="AB310" s="257" t="s">
        <v>1702</v>
      </c>
      <c r="AC310" s="172">
        <v>5169</v>
      </c>
      <c r="AE310" s="255" t="s">
        <v>54</v>
      </c>
      <c r="AF310" s="138" t="s">
        <v>1874</v>
      </c>
      <c r="AG310" s="138" t="s">
        <v>56</v>
      </c>
      <c r="AH310" s="138" t="s">
        <v>56</v>
      </c>
      <c r="AI310" s="138"/>
      <c r="AJ310" s="138" t="s">
        <v>56</v>
      </c>
      <c r="AK310" s="138" t="s">
        <v>74</v>
      </c>
      <c r="AL310" s="138"/>
      <c r="AM310" s="200">
        <v>2</v>
      </c>
    </row>
    <row r="311" spans="1:39" s="200" customFormat="1" ht="113.25" customHeight="1" x14ac:dyDescent="0.25">
      <c r="A311" s="14">
        <v>45999</v>
      </c>
      <c r="B311" s="41" t="s">
        <v>2605</v>
      </c>
      <c r="C311" s="41" t="s">
        <v>2528</v>
      </c>
      <c r="D311" s="41" t="s">
        <v>2529</v>
      </c>
      <c r="E311" s="42" t="s">
        <v>39</v>
      </c>
      <c r="F311" s="19">
        <v>1</v>
      </c>
      <c r="G311" s="43"/>
      <c r="H311" s="43"/>
      <c r="I311" s="72" t="s">
        <v>2606</v>
      </c>
      <c r="J311" s="45">
        <v>120</v>
      </c>
      <c r="K311" s="46" t="s">
        <v>2607</v>
      </c>
      <c r="L311" s="47" t="s">
        <v>63</v>
      </c>
      <c r="M311" s="47" t="s">
        <v>55</v>
      </c>
      <c r="N311" s="77" t="s">
        <v>2532</v>
      </c>
      <c r="O311" s="49"/>
      <c r="P311" s="49" t="s">
        <v>2608</v>
      </c>
      <c r="Q311" s="49" t="s">
        <v>2557</v>
      </c>
      <c r="R311" s="50">
        <v>2</v>
      </c>
      <c r="S311" s="50">
        <v>2</v>
      </c>
      <c r="T311" s="51" t="s">
        <v>96</v>
      </c>
      <c r="U311" s="51">
        <v>0</v>
      </c>
      <c r="V311" s="52">
        <f t="shared" si="11"/>
        <v>0</v>
      </c>
      <c r="W311" s="51" t="s">
        <v>142</v>
      </c>
      <c r="X311" s="198" t="s">
        <v>832</v>
      </c>
      <c r="Y311" s="199" t="s">
        <v>324</v>
      </c>
      <c r="Z311" s="169" t="s">
        <v>645</v>
      </c>
      <c r="AA311" s="170" t="s">
        <v>1015</v>
      </c>
      <c r="AB311" s="171" t="s">
        <v>2535</v>
      </c>
      <c r="AC311" s="172">
        <v>2238</v>
      </c>
      <c r="AE311" s="255" t="s">
        <v>1453</v>
      </c>
      <c r="AF311" s="138"/>
      <c r="AG311" s="138" t="s">
        <v>56</v>
      </c>
      <c r="AH311" s="138" t="s">
        <v>56</v>
      </c>
      <c r="AI311" s="138"/>
      <c r="AJ311" s="138"/>
      <c r="AK311" s="138"/>
      <c r="AL311" s="203" t="s">
        <v>648</v>
      </c>
      <c r="AM311" s="254">
        <v>10</v>
      </c>
    </row>
    <row r="312" spans="1:39" s="200" customFormat="1" ht="210" x14ac:dyDescent="0.25">
      <c r="A312" s="14">
        <v>45996</v>
      </c>
      <c r="B312" s="41" t="s">
        <v>2586</v>
      </c>
      <c r="C312" s="41" t="s">
        <v>2587</v>
      </c>
      <c r="D312" s="41" t="s">
        <v>2609</v>
      </c>
      <c r="E312" s="42" t="s">
        <v>39</v>
      </c>
      <c r="F312" s="19">
        <v>1</v>
      </c>
      <c r="G312" s="43"/>
      <c r="H312" s="43"/>
      <c r="I312" s="72" t="s">
        <v>2610</v>
      </c>
      <c r="J312" s="45">
        <v>3</v>
      </c>
      <c r="K312" s="46" t="s">
        <v>2611</v>
      </c>
      <c r="L312" s="50" t="s">
        <v>63</v>
      </c>
      <c r="M312" s="73" t="s">
        <v>42</v>
      </c>
      <c r="N312" s="77" t="s">
        <v>2612</v>
      </c>
      <c r="O312" s="49" t="s">
        <v>2591</v>
      </c>
      <c r="P312" s="49" t="s">
        <v>2592</v>
      </c>
      <c r="Q312" s="49" t="s">
        <v>2593</v>
      </c>
      <c r="R312" s="50">
        <v>74</v>
      </c>
      <c r="S312" s="92">
        <v>617</v>
      </c>
      <c r="T312" s="51" t="s">
        <v>180</v>
      </c>
      <c r="U312" s="51">
        <v>16</v>
      </c>
      <c r="V312" s="75">
        <f t="shared" si="11"/>
        <v>48</v>
      </c>
      <c r="W312" s="51" t="s">
        <v>350</v>
      </c>
      <c r="X312" s="198" t="s">
        <v>934</v>
      </c>
      <c r="Y312" s="199" t="s">
        <v>82</v>
      </c>
      <c r="Z312" s="169"/>
      <c r="AA312" s="170" t="s">
        <v>1701</v>
      </c>
      <c r="AB312" s="171" t="s">
        <v>2594</v>
      </c>
      <c r="AC312" s="35">
        <f>28624.05*J312/105 + 920</f>
        <v>1737.83</v>
      </c>
      <c r="AE312" s="137" t="s">
        <v>2386</v>
      </c>
      <c r="AF312" s="138" t="s">
        <v>354</v>
      </c>
      <c r="AG312" s="138" t="s">
        <v>56</v>
      </c>
      <c r="AH312" s="138" t="s">
        <v>56</v>
      </c>
      <c r="AI312" s="138"/>
      <c r="AJ312" s="138"/>
      <c r="AK312" s="138"/>
      <c r="AL312" s="251" t="s">
        <v>2595</v>
      </c>
      <c r="AM312" s="254">
        <v>1</v>
      </c>
    </row>
    <row r="313" spans="1:39" s="200" customFormat="1" ht="64.5" customHeight="1" x14ac:dyDescent="0.25">
      <c r="A313" s="14">
        <v>45996</v>
      </c>
      <c r="B313" s="95" t="s">
        <v>2450</v>
      </c>
      <c r="C313" s="95" t="s">
        <v>2613</v>
      </c>
      <c r="D313" s="95" t="s">
        <v>2508</v>
      </c>
      <c r="E313" s="96" t="s">
        <v>195</v>
      </c>
      <c r="F313" s="97"/>
      <c r="G313" s="97"/>
      <c r="H313" s="97"/>
      <c r="I313" s="72" t="s">
        <v>2614</v>
      </c>
      <c r="J313" s="98">
        <v>19</v>
      </c>
      <c r="K313" s="252" t="s">
        <v>2509</v>
      </c>
      <c r="L313" s="100" t="s">
        <v>42</v>
      </c>
      <c r="M313" s="96" t="s">
        <v>55</v>
      </c>
      <c r="N313" s="101" t="s">
        <v>2615</v>
      </c>
      <c r="O313" s="102"/>
      <c r="P313" s="102"/>
      <c r="Q313" s="102"/>
      <c r="R313" s="103">
        <v>0</v>
      </c>
      <c r="S313" s="103">
        <v>0</v>
      </c>
      <c r="T313" s="96">
        <v>0</v>
      </c>
      <c r="U313" s="96">
        <v>31</v>
      </c>
      <c r="V313" s="104">
        <f t="shared" si="11"/>
        <v>589</v>
      </c>
      <c r="W313" s="96" t="s">
        <v>48</v>
      </c>
      <c r="X313" s="198" t="s">
        <v>2465</v>
      </c>
      <c r="Y313" s="199" t="s">
        <v>70</v>
      </c>
      <c r="Z313" s="169"/>
      <c r="AA313" s="170" t="s">
        <v>1346</v>
      </c>
      <c r="AB313" s="171" t="s">
        <v>2099</v>
      </c>
      <c r="AC313" s="35">
        <f>3627*J313/30</f>
        <v>2297.1</v>
      </c>
      <c r="AE313" s="137" t="s">
        <v>2386</v>
      </c>
      <c r="AF313" s="138"/>
      <c r="AG313" s="138" t="s">
        <v>56</v>
      </c>
      <c r="AH313" s="138" t="s">
        <v>56</v>
      </c>
      <c r="AI313" s="138"/>
      <c r="AJ313" s="138"/>
      <c r="AK313" s="138"/>
      <c r="AL313" s="138"/>
      <c r="AM313" s="254"/>
    </row>
    <row r="314" spans="1:39" s="200" customFormat="1" ht="39.75" customHeight="1" x14ac:dyDescent="0.25">
      <c r="A314" s="14">
        <v>45996</v>
      </c>
      <c r="B314" s="41" t="s">
        <v>2616</v>
      </c>
      <c r="C314" s="41" t="s">
        <v>2617</v>
      </c>
      <c r="D314" s="41"/>
      <c r="E314" s="42" t="s">
        <v>39</v>
      </c>
      <c r="F314" s="43"/>
      <c r="G314" s="43"/>
      <c r="H314" s="19">
        <v>1</v>
      </c>
      <c r="I314" s="72" t="s">
        <v>2618</v>
      </c>
      <c r="J314" s="45">
        <v>18</v>
      </c>
      <c r="K314" s="46" t="s">
        <v>2619</v>
      </c>
      <c r="L314" s="47" t="s">
        <v>63</v>
      </c>
      <c r="M314" s="73" t="s">
        <v>42</v>
      </c>
      <c r="N314" s="77" t="s">
        <v>240</v>
      </c>
      <c r="O314" s="49" t="s">
        <v>2620</v>
      </c>
      <c r="P314" s="49" t="s">
        <v>2621</v>
      </c>
      <c r="Q314" s="49" t="s">
        <v>2622</v>
      </c>
      <c r="R314" s="92">
        <v>149</v>
      </c>
      <c r="S314" s="50">
        <v>523</v>
      </c>
      <c r="T314" s="51" t="s">
        <v>141</v>
      </c>
      <c r="U314" s="51">
        <v>1</v>
      </c>
      <c r="V314" s="52">
        <f t="shared" si="11"/>
        <v>18</v>
      </c>
      <c r="W314" s="51" t="s">
        <v>68</v>
      </c>
      <c r="X314" s="198" t="s">
        <v>2623</v>
      </c>
      <c r="Y314" s="199" t="s">
        <v>144</v>
      </c>
      <c r="Z314" s="169"/>
      <c r="AA314" s="170" t="s">
        <v>2355</v>
      </c>
      <c r="AB314" s="171" t="s">
        <v>2403</v>
      </c>
      <c r="AC314" s="172">
        <v>9162.2999999999993</v>
      </c>
      <c r="AD314" s="200" t="s">
        <v>2624</v>
      </c>
      <c r="AE314" s="137" t="s">
        <v>2386</v>
      </c>
      <c r="AF314" s="138"/>
      <c r="AG314" s="138" t="s">
        <v>56</v>
      </c>
      <c r="AH314" s="138" t="s">
        <v>56</v>
      </c>
      <c r="AI314" s="138"/>
      <c r="AJ314" s="138"/>
      <c r="AK314" s="138"/>
      <c r="AL314" s="138"/>
      <c r="AM314" s="200">
        <v>6</v>
      </c>
    </row>
    <row r="315" spans="1:39" s="200" customFormat="1" ht="180.75" customHeight="1" x14ac:dyDescent="0.25">
      <c r="A315" s="14">
        <v>45996</v>
      </c>
      <c r="B315" s="41" t="s">
        <v>2625</v>
      </c>
      <c r="C315" s="41" t="s">
        <v>2626</v>
      </c>
      <c r="D315" s="41"/>
      <c r="E315" s="42" t="s">
        <v>39</v>
      </c>
      <c r="F315" s="19">
        <v>1</v>
      </c>
      <c r="G315" s="43"/>
      <c r="H315" s="43"/>
      <c r="I315" s="72" t="s">
        <v>2627</v>
      </c>
      <c r="J315" s="45">
        <v>10</v>
      </c>
      <c r="K315" s="46" t="s">
        <v>2619</v>
      </c>
      <c r="L315" s="47" t="s">
        <v>63</v>
      </c>
      <c r="M315" s="73" t="s">
        <v>42</v>
      </c>
      <c r="N315" s="77" t="s">
        <v>2628</v>
      </c>
      <c r="O315" s="49" t="s">
        <v>2629</v>
      </c>
      <c r="P315" s="49" t="s">
        <v>2630</v>
      </c>
      <c r="Q315" s="49" t="s">
        <v>2631</v>
      </c>
      <c r="R315" s="50">
        <v>50</v>
      </c>
      <c r="S315" s="50">
        <v>746</v>
      </c>
      <c r="T315" s="51" t="s">
        <v>47</v>
      </c>
      <c r="U315" s="51">
        <v>10</v>
      </c>
      <c r="V315" s="52">
        <f t="shared" si="11"/>
        <v>100</v>
      </c>
      <c r="W315" s="51" t="s">
        <v>48</v>
      </c>
      <c r="X315" s="198" t="s">
        <v>934</v>
      </c>
      <c r="Y315" s="199" t="s">
        <v>99</v>
      </c>
      <c r="Z315" s="169" t="s">
        <v>2632</v>
      </c>
      <c r="AA315" s="170" t="s">
        <v>2413</v>
      </c>
      <c r="AB315" s="171" t="s">
        <v>2576</v>
      </c>
      <c r="AC315" s="172">
        <v>6488</v>
      </c>
      <c r="AE315" s="137" t="s">
        <v>51</v>
      </c>
      <c r="AF315" s="138"/>
      <c r="AG315" s="138" t="s">
        <v>56</v>
      </c>
      <c r="AH315" s="138" t="s">
        <v>56</v>
      </c>
      <c r="AI315" s="138"/>
      <c r="AJ315" s="138" t="s">
        <v>2633</v>
      </c>
      <c r="AK315" s="138" t="s">
        <v>2634</v>
      </c>
      <c r="AL315" s="203" t="s">
        <v>648</v>
      </c>
      <c r="AM315" s="254">
        <v>1</v>
      </c>
    </row>
    <row r="316" spans="1:39" ht="165" customHeight="1" x14ac:dyDescent="0.25">
      <c r="A316" s="14">
        <v>45996</v>
      </c>
      <c r="B316" s="41" t="s">
        <v>2635</v>
      </c>
      <c r="C316" s="41" t="s">
        <v>2636</v>
      </c>
      <c r="D316" s="41"/>
      <c r="E316" s="42" t="s">
        <v>39</v>
      </c>
      <c r="F316" s="19">
        <v>1</v>
      </c>
      <c r="G316" s="43"/>
      <c r="H316" s="43"/>
      <c r="I316" s="72" t="s">
        <v>2637</v>
      </c>
      <c r="J316" s="45">
        <v>10</v>
      </c>
      <c r="K316" s="46" t="s">
        <v>2619</v>
      </c>
      <c r="L316" s="47" t="s">
        <v>63</v>
      </c>
      <c r="M316" s="73" t="s">
        <v>42</v>
      </c>
      <c r="N316" s="77" t="s">
        <v>2638</v>
      </c>
      <c r="O316" s="49" t="s">
        <v>2592</v>
      </c>
      <c r="P316" s="49"/>
      <c r="Q316" s="49" t="s">
        <v>2639</v>
      </c>
      <c r="R316" s="50">
        <v>17</v>
      </c>
      <c r="S316" s="50">
        <v>51</v>
      </c>
      <c r="T316" s="51" t="s">
        <v>393</v>
      </c>
      <c r="U316" s="51">
        <v>13</v>
      </c>
      <c r="V316" s="52">
        <f t="shared" si="11"/>
        <v>130</v>
      </c>
      <c r="W316" s="51" t="s">
        <v>48</v>
      </c>
      <c r="X316" s="198" t="s">
        <v>934</v>
      </c>
      <c r="Y316" s="168" t="s">
        <v>99</v>
      </c>
      <c r="Z316" s="169" t="s">
        <v>2632</v>
      </c>
      <c r="AA316" s="170" t="s">
        <v>1393</v>
      </c>
      <c r="AB316" s="171" t="s">
        <v>2273</v>
      </c>
      <c r="AC316" s="172">
        <v>3550</v>
      </c>
      <c r="AE316" s="137" t="s">
        <v>148</v>
      </c>
      <c r="AF316" s="138" t="s">
        <v>354</v>
      </c>
      <c r="AG316" s="138" t="s">
        <v>56</v>
      </c>
      <c r="AH316" s="138" t="s">
        <v>56</v>
      </c>
      <c r="AI316" s="138"/>
      <c r="AJ316" s="138"/>
      <c r="AK316" s="138"/>
      <c r="AL316" s="203" t="s">
        <v>648</v>
      </c>
      <c r="AM316">
        <v>1</v>
      </c>
    </row>
    <row r="317" spans="1:39" s="200" customFormat="1" ht="30" customHeight="1" x14ac:dyDescent="0.25">
      <c r="A317" s="14">
        <v>45996</v>
      </c>
      <c r="B317" s="41" t="s">
        <v>2640</v>
      </c>
      <c r="C317" s="41" t="s">
        <v>2641</v>
      </c>
      <c r="D317" s="41"/>
      <c r="E317" s="42" t="s">
        <v>39</v>
      </c>
      <c r="F317" s="19">
        <v>1</v>
      </c>
      <c r="G317" s="43"/>
      <c r="H317" s="43"/>
      <c r="I317" s="72" t="s">
        <v>2642</v>
      </c>
      <c r="J317" s="45">
        <v>50</v>
      </c>
      <c r="K317" s="46" t="s">
        <v>2643</v>
      </c>
      <c r="L317" s="47" t="s">
        <v>63</v>
      </c>
      <c r="M317" s="73" t="s">
        <v>42</v>
      </c>
      <c r="N317" s="77" t="s">
        <v>2644</v>
      </c>
      <c r="O317" s="49"/>
      <c r="P317" s="49" t="s">
        <v>2645</v>
      </c>
      <c r="Q317" s="49" t="s">
        <v>2646</v>
      </c>
      <c r="R317" s="50">
        <v>9</v>
      </c>
      <c r="S317" s="50">
        <v>21</v>
      </c>
      <c r="T317" s="51" t="s">
        <v>96</v>
      </c>
      <c r="U317" s="51">
        <v>3</v>
      </c>
      <c r="V317" s="52">
        <f t="shared" si="11"/>
        <v>150</v>
      </c>
      <c r="W317" s="51" t="s">
        <v>221</v>
      </c>
      <c r="X317" s="198" t="s">
        <v>2647</v>
      </c>
      <c r="Y317" s="199" t="s">
        <v>324</v>
      </c>
      <c r="Z317" s="169"/>
      <c r="AA317" s="170" t="s">
        <v>1393</v>
      </c>
      <c r="AB317" s="171" t="s">
        <v>2273</v>
      </c>
      <c r="AC317" s="172">
        <v>2145</v>
      </c>
      <c r="AE317" s="137" t="s">
        <v>148</v>
      </c>
      <c r="AF317" s="138"/>
      <c r="AG317" s="138" t="s">
        <v>56</v>
      </c>
      <c r="AH317" s="138" t="s">
        <v>86</v>
      </c>
      <c r="AI317" s="138"/>
      <c r="AJ317" s="138"/>
      <c r="AK317" s="138"/>
      <c r="AL317" s="138"/>
      <c r="AM317" s="139">
        <v>6</v>
      </c>
    </row>
    <row r="318" spans="1:39" ht="147" customHeight="1" x14ac:dyDescent="0.25">
      <c r="A318" s="14">
        <v>45996</v>
      </c>
      <c r="B318" s="41" t="s">
        <v>2466</v>
      </c>
      <c r="C318" s="41" t="s">
        <v>2648</v>
      </c>
      <c r="D318" s="41" t="s">
        <v>2649</v>
      </c>
      <c r="E318" s="42" t="s">
        <v>39</v>
      </c>
      <c r="F318" s="43"/>
      <c r="G318" s="43"/>
      <c r="H318" s="19">
        <v>1</v>
      </c>
      <c r="I318" s="72" t="s">
        <v>2650</v>
      </c>
      <c r="J318" s="45">
        <v>10</v>
      </c>
      <c r="K318" s="46" t="s">
        <v>2619</v>
      </c>
      <c r="L318" s="47" t="s">
        <v>63</v>
      </c>
      <c r="M318" s="73" t="s">
        <v>42</v>
      </c>
      <c r="N318" s="77" t="s">
        <v>2651</v>
      </c>
      <c r="O318" s="49" t="s">
        <v>2652</v>
      </c>
      <c r="P318" s="49" t="s">
        <v>2653</v>
      </c>
      <c r="Q318" s="49" t="s">
        <v>2654</v>
      </c>
      <c r="R318" s="50">
        <v>91</v>
      </c>
      <c r="S318" s="92">
        <v>748</v>
      </c>
      <c r="T318" s="51" t="s">
        <v>47</v>
      </c>
      <c r="U318" s="51">
        <v>28</v>
      </c>
      <c r="V318" s="75">
        <f t="shared" si="11"/>
        <v>280</v>
      </c>
      <c r="W318" s="51" t="s">
        <v>48</v>
      </c>
      <c r="X318" s="202" t="s">
        <v>1840</v>
      </c>
      <c r="Y318" s="168" t="s">
        <v>82</v>
      </c>
      <c r="Z318" s="169"/>
      <c r="AA318" s="170" t="s">
        <v>2472</v>
      </c>
      <c r="AB318" s="171" t="s">
        <v>2473</v>
      </c>
      <c r="AC318" s="35">
        <f>8156*J318/25</f>
        <v>3262.4</v>
      </c>
      <c r="AE318" s="137" t="s">
        <v>148</v>
      </c>
      <c r="AF318" s="138" t="s">
        <v>354</v>
      </c>
      <c r="AG318" s="138" t="s">
        <v>56</v>
      </c>
      <c r="AH318" s="138" t="s">
        <v>56</v>
      </c>
      <c r="AI318" s="138"/>
      <c r="AJ318" s="138" t="s">
        <v>56</v>
      </c>
      <c r="AK318" s="138" t="s">
        <v>2284</v>
      </c>
      <c r="AL318" s="222"/>
      <c r="AM318" s="139">
        <v>1</v>
      </c>
    </row>
    <row r="319" spans="1:39" s="200" customFormat="1" ht="212.25" customHeight="1" x14ac:dyDescent="0.25">
      <c r="A319" s="14">
        <v>45995</v>
      </c>
      <c r="B319" s="41" t="s">
        <v>2655</v>
      </c>
      <c r="C319" s="41" t="s">
        <v>2656</v>
      </c>
      <c r="D319" s="41" t="s">
        <v>2657</v>
      </c>
      <c r="E319" s="42" t="s">
        <v>39</v>
      </c>
      <c r="F319" s="43"/>
      <c r="G319" s="43"/>
      <c r="H319" s="19">
        <v>1</v>
      </c>
      <c r="I319" s="109" t="s">
        <v>2658</v>
      </c>
      <c r="J319" s="45">
        <v>5</v>
      </c>
      <c r="K319" s="46" t="s">
        <v>2659</v>
      </c>
      <c r="L319" s="47" t="s">
        <v>63</v>
      </c>
      <c r="M319" s="127" t="s">
        <v>42</v>
      </c>
      <c r="N319" s="77" t="s">
        <v>2660</v>
      </c>
      <c r="O319" s="49" t="s">
        <v>2661</v>
      </c>
      <c r="P319" s="49" t="s">
        <v>2662</v>
      </c>
      <c r="Q319" s="49" t="s">
        <v>2533</v>
      </c>
      <c r="R319" s="92">
        <v>128</v>
      </c>
      <c r="S319" s="50">
        <v>661</v>
      </c>
      <c r="T319" s="51" t="s">
        <v>141</v>
      </c>
      <c r="U319" s="51">
        <v>12</v>
      </c>
      <c r="V319" s="52">
        <f t="shared" si="11"/>
        <v>60</v>
      </c>
      <c r="W319" s="51" t="s">
        <v>68</v>
      </c>
      <c r="X319" s="258" t="s">
        <v>232</v>
      </c>
      <c r="Y319" s="199" t="s">
        <v>50</v>
      </c>
      <c r="Z319" s="169" t="s">
        <v>51</v>
      </c>
      <c r="AA319" s="170" t="s">
        <v>2663</v>
      </c>
      <c r="AB319" s="171" t="s">
        <v>2664</v>
      </c>
      <c r="AC319" s="35">
        <v>6820</v>
      </c>
      <c r="AE319" s="137" t="s">
        <v>148</v>
      </c>
      <c r="AF319" s="138"/>
      <c r="AG319" s="138" t="s">
        <v>56</v>
      </c>
      <c r="AH319" s="138" t="s">
        <v>56</v>
      </c>
      <c r="AI319" s="138"/>
      <c r="AJ319" s="138" t="s">
        <v>56</v>
      </c>
      <c r="AK319" s="138" t="s">
        <v>2665</v>
      </c>
      <c r="AL319" s="138" t="s">
        <v>55</v>
      </c>
      <c r="AM319" s="254">
        <v>1</v>
      </c>
    </row>
    <row r="320" spans="1:39" s="200" customFormat="1" ht="89.25" customHeight="1" x14ac:dyDescent="0.25">
      <c r="A320" s="14">
        <v>45995</v>
      </c>
      <c r="B320" s="41" t="s">
        <v>2666</v>
      </c>
      <c r="C320" s="41" t="s">
        <v>2667</v>
      </c>
      <c r="D320" s="41"/>
      <c r="E320" s="42" t="s">
        <v>39</v>
      </c>
      <c r="F320" s="43"/>
      <c r="G320" s="43"/>
      <c r="H320" s="19">
        <v>1</v>
      </c>
      <c r="I320" s="72" t="s">
        <v>2668</v>
      </c>
      <c r="J320" s="45">
        <v>37</v>
      </c>
      <c r="K320" s="46" t="s">
        <v>2659</v>
      </c>
      <c r="L320" s="50" t="s">
        <v>63</v>
      </c>
      <c r="M320" s="47" t="s">
        <v>55</v>
      </c>
      <c r="N320" s="77" t="s">
        <v>2669</v>
      </c>
      <c r="O320" s="49" t="s">
        <v>2533</v>
      </c>
      <c r="P320" s="49" t="s">
        <v>2670</v>
      </c>
      <c r="Q320" s="49" t="s">
        <v>2639</v>
      </c>
      <c r="R320" s="92">
        <v>117</v>
      </c>
      <c r="S320" s="50">
        <v>578</v>
      </c>
      <c r="T320" s="51" t="s">
        <v>549</v>
      </c>
      <c r="U320" s="51">
        <v>2</v>
      </c>
      <c r="V320" s="52">
        <f t="shared" si="11"/>
        <v>74</v>
      </c>
      <c r="W320" s="51" t="s">
        <v>142</v>
      </c>
      <c r="X320" s="198" t="s">
        <v>1968</v>
      </c>
      <c r="Y320" s="199" t="s">
        <v>144</v>
      </c>
      <c r="Z320" s="169"/>
      <c r="AA320" s="170" t="s">
        <v>1548</v>
      </c>
      <c r="AB320" s="171" t="s">
        <v>2671</v>
      </c>
      <c r="AC320" s="172">
        <v>10089.07</v>
      </c>
      <c r="AE320" s="137" t="s">
        <v>148</v>
      </c>
      <c r="AF320" s="138"/>
      <c r="AG320" s="138" t="s">
        <v>56</v>
      </c>
      <c r="AH320" s="138" t="s">
        <v>56</v>
      </c>
      <c r="AI320" s="138"/>
      <c r="AJ320" s="138"/>
      <c r="AK320" s="138"/>
      <c r="AL320" s="251" t="s">
        <v>2672</v>
      </c>
      <c r="AM320" s="254">
        <v>1</v>
      </c>
    </row>
    <row r="321" spans="1:39" s="200" customFormat="1" ht="75" x14ac:dyDescent="0.25">
      <c r="A321" s="14">
        <v>45995</v>
      </c>
      <c r="B321" s="41" t="s">
        <v>2673</v>
      </c>
      <c r="C321" s="41" t="s">
        <v>2674</v>
      </c>
      <c r="D321" s="41" t="s">
        <v>2675</v>
      </c>
      <c r="E321" s="42" t="s">
        <v>39</v>
      </c>
      <c r="F321" s="19">
        <v>1</v>
      </c>
      <c r="G321" s="43"/>
      <c r="H321" s="43"/>
      <c r="I321" s="109" t="s">
        <v>2676</v>
      </c>
      <c r="J321" s="45">
        <v>254</v>
      </c>
      <c r="K321" s="46" t="s">
        <v>2677</v>
      </c>
      <c r="L321" s="47" t="s">
        <v>63</v>
      </c>
      <c r="M321" s="73" t="s">
        <v>42</v>
      </c>
      <c r="N321" s="77" t="s">
        <v>868</v>
      </c>
      <c r="O321" s="49" t="s">
        <v>2678</v>
      </c>
      <c r="P321" s="49" t="s">
        <v>2679</v>
      </c>
      <c r="Q321" s="49" t="s">
        <v>2645</v>
      </c>
      <c r="R321" s="50">
        <v>105</v>
      </c>
      <c r="S321" s="50">
        <v>529</v>
      </c>
      <c r="T321" s="51" t="s">
        <v>141</v>
      </c>
      <c r="U321" s="51">
        <v>34</v>
      </c>
      <c r="V321" s="75">
        <f t="shared" si="11"/>
        <v>8636</v>
      </c>
      <c r="W321" s="51" t="s">
        <v>221</v>
      </c>
      <c r="X321" s="198" t="s">
        <v>1234</v>
      </c>
      <c r="Y321" s="199" t="s">
        <v>1862</v>
      </c>
      <c r="Z321" s="169"/>
      <c r="AA321" s="170" t="s">
        <v>2680</v>
      </c>
      <c r="AB321" s="171" t="s">
        <v>2681</v>
      </c>
      <c r="AC321" s="172">
        <v>31680.98</v>
      </c>
      <c r="AE321" s="137" t="s">
        <v>2386</v>
      </c>
      <c r="AF321" s="138" t="s">
        <v>354</v>
      </c>
      <c r="AG321" s="138" t="s">
        <v>56</v>
      </c>
      <c r="AH321" s="138" t="s">
        <v>56</v>
      </c>
      <c r="AI321" s="138"/>
      <c r="AJ321" s="138"/>
      <c r="AK321" s="138"/>
      <c r="AL321" s="138"/>
      <c r="AM321" s="139">
        <v>1</v>
      </c>
    </row>
    <row r="322" spans="1:39" s="200" customFormat="1" ht="64.5" customHeight="1" x14ac:dyDescent="0.25">
      <c r="A322" s="14">
        <v>45995</v>
      </c>
      <c r="B322" s="95" t="s">
        <v>2450</v>
      </c>
      <c r="C322" s="95" t="s">
        <v>2613</v>
      </c>
      <c r="D322" s="95" t="s">
        <v>2508</v>
      </c>
      <c r="E322" s="96" t="s">
        <v>195</v>
      </c>
      <c r="F322" s="97"/>
      <c r="G322" s="97"/>
      <c r="H322" s="97"/>
      <c r="I322" s="72" t="s">
        <v>2682</v>
      </c>
      <c r="J322" s="98">
        <v>10</v>
      </c>
      <c r="K322" s="252" t="s">
        <v>2683</v>
      </c>
      <c r="L322" s="253" t="s">
        <v>42</v>
      </c>
      <c r="M322" s="259" t="s">
        <v>55</v>
      </c>
      <c r="N322" s="101" t="s">
        <v>2684</v>
      </c>
      <c r="O322" s="102"/>
      <c r="P322" s="102"/>
      <c r="Q322" s="102"/>
      <c r="R322" s="103">
        <v>0</v>
      </c>
      <c r="S322" s="103">
        <v>0</v>
      </c>
      <c r="T322" s="96">
        <v>0</v>
      </c>
      <c r="U322" s="96">
        <v>31</v>
      </c>
      <c r="V322" s="104">
        <f t="shared" si="11"/>
        <v>310</v>
      </c>
      <c r="W322" s="96" t="s">
        <v>48</v>
      </c>
      <c r="X322" s="198" t="s">
        <v>2465</v>
      </c>
      <c r="Y322" s="199" t="s">
        <v>70</v>
      </c>
      <c r="Z322" s="169"/>
      <c r="AA322" s="170" t="s">
        <v>1346</v>
      </c>
      <c r="AB322" s="171" t="s">
        <v>2099</v>
      </c>
      <c r="AC322" s="35">
        <f>3627*J322/30</f>
        <v>1209</v>
      </c>
      <c r="AE322" s="137" t="s">
        <v>2386</v>
      </c>
      <c r="AF322" s="138"/>
      <c r="AG322" s="138" t="s">
        <v>56</v>
      </c>
      <c r="AH322" s="138" t="s">
        <v>56</v>
      </c>
      <c r="AI322" s="138"/>
      <c r="AJ322" s="138"/>
      <c r="AK322" s="138"/>
      <c r="AL322" s="138"/>
      <c r="AM322" s="254"/>
    </row>
    <row r="323" spans="1:39" s="200" customFormat="1" ht="113.25" customHeight="1" x14ac:dyDescent="0.25">
      <c r="A323" s="14">
        <v>45994</v>
      </c>
      <c r="B323" s="41" t="s">
        <v>2685</v>
      </c>
      <c r="C323" s="41" t="s">
        <v>2686</v>
      </c>
      <c r="D323" s="41" t="s">
        <v>2687</v>
      </c>
      <c r="E323" s="42" t="s">
        <v>39</v>
      </c>
      <c r="F323" s="43"/>
      <c r="G323" s="43"/>
      <c r="H323" s="19">
        <v>1</v>
      </c>
      <c r="I323" s="245" t="s">
        <v>2688</v>
      </c>
      <c r="J323" s="45">
        <v>50</v>
      </c>
      <c r="K323" s="46" t="s">
        <v>2689</v>
      </c>
      <c r="L323" s="47" t="s">
        <v>63</v>
      </c>
      <c r="M323" s="73" t="s">
        <v>42</v>
      </c>
      <c r="N323" s="77" t="s">
        <v>2690</v>
      </c>
      <c r="O323" s="49"/>
      <c r="P323" s="49" t="s">
        <v>2652</v>
      </c>
      <c r="Q323" s="49" t="s">
        <v>2691</v>
      </c>
      <c r="R323" s="50">
        <v>17</v>
      </c>
      <c r="S323" s="50">
        <v>51</v>
      </c>
      <c r="T323" s="51" t="s">
        <v>96</v>
      </c>
      <c r="U323" s="51">
        <v>6</v>
      </c>
      <c r="V323" s="52">
        <f t="shared" si="11"/>
        <v>300</v>
      </c>
      <c r="W323" s="51" t="s">
        <v>142</v>
      </c>
      <c r="X323" s="198" t="s">
        <v>2516</v>
      </c>
      <c r="Y323" s="199" t="s">
        <v>82</v>
      </c>
      <c r="Z323" s="169"/>
      <c r="AA323" s="170" t="s">
        <v>2413</v>
      </c>
      <c r="AB323" s="171" t="s">
        <v>2576</v>
      </c>
      <c r="AC323" s="172">
        <v>3137.5</v>
      </c>
      <c r="AE323" s="137" t="s">
        <v>148</v>
      </c>
      <c r="AF323" s="138"/>
      <c r="AG323" s="138" t="s">
        <v>56</v>
      </c>
      <c r="AH323" s="138" t="s">
        <v>56</v>
      </c>
      <c r="AI323" s="138"/>
      <c r="AJ323" s="138"/>
      <c r="AK323" s="138"/>
      <c r="AL323" s="138"/>
      <c r="AM323" s="139">
        <v>6</v>
      </c>
    </row>
    <row r="324" spans="1:39" s="200" customFormat="1" ht="113.25" customHeight="1" x14ac:dyDescent="0.25">
      <c r="A324" s="14">
        <v>45994</v>
      </c>
      <c r="B324" s="41" t="s">
        <v>2692</v>
      </c>
      <c r="C324" s="41" t="s">
        <v>2693</v>
      </c>
      <c r="D324" s="41" t="s">
        <v>2694</v>
      </c>
      <c r="E324" s="42" t="s">
        <v>39</v>
      </c>
      <c r="F324" s="43"/>
      <c r="G324" s="43"/>
      <c r="H324" s="19">
        <v>4</v>
      </c>
      <c r="I324" s="245" t="s">
        <v>2695</v>
      </c>
      <c r="J324" s="45">
        <v>20</v>
      </c>
      <c r="K324" s="46" t="s">
        <v>2696</v>
      </c>
      <c r="L324" s="47" t="s">
        <v>63</v>
      </c>
      <c r="M324" s="73" t="s">
        <v>42</v>
      </c>
      <c r="N324" s="77" t="s">
        <v>2697</v>
      </c>
      <c r="O324" s="49"/>
      <c r="P324" s="49" t="s">
        <v>2698</v>
      </c>
      <c r="Q324" s="49" t="s">
        <v>2699</v>
      </c>
      <c r="R324" s="50">
        <v>79</v>
      </c>
      <c r="S324" s="50">
        <v>275</v>
      </c>
      <c r="T324" s="51" t="s">
        <v>67</v>
      </c>
      <c r="U324" s="51">
        <v>32</v>
      </c>
      <c r="V324" s="75">
        <f t="shared" si="11"/>
        <v>640</v>
      </c>
      <c r="W324" s="51" t="s">
        <v>221</v>
      </c>
      <c r="X324" s="198" t="s">
        <v>654</v>
      </c>
      <c r="Y324" s="199" t="s">
        <v>324</v>
      </c>
      <c r="Z324" s="169"/>
      <c r="AA324" s="170" t="s">
        <v>2700</v>
      </c>
      <c r="AB324" s="171" t="s">
        <v>2701</v>
      </c>
      <c r="AC324" s="172">
        <v>6070</v>
      </c>
      <c r="AE324" s="137" t="s">
        <v>148</v>
      </c>
      <c r="AF324" s="138"/>
      <c r="AG324" s="138" t="s">
        <v>56</v>
      </c>
      <c r="AH324" s="138" t="s">
        <v>56</v>
      </c>
      <c r="AI324" s="138"/>
      <c r="AJ324" s="138" t="s">
        <v>56</v>
      </c>
      <c r="AK324" s="138" t="s">
        <v>74</v>
      </c>
      <c r="AL324" s="138" t="s">
        <v>2702</v>
      </c>
      <c r="AM324" s="139">
        <v>1</v>
      </c>
    </row>
    <row r="325" spans="1:39" ht="45.75" customHeight="1" x14ac:dyDescent="0.25">
      <c r="A325" s="14">
        <v>45992</v>
      </c>
      <c r="B325" s="41" t="s">
        <v>2703</v>
      </c>
      <c r="C325" s="41" t="s">
        <v>2704</v>
      </c>
      <c r="D325" s="41" t="s">
        <v>2705</v>
      </c>
      <c r="E325" s="42" t="s">
        <v>39</v>
      </c>
      <c r="F325" s="19">
        <v>3</v>
      </c>
      <c r="G325" s="43"/>
      <c r="H325" s="43"/>
      <c r="I325" s="245" t="s">
        <v>2706</v>
      </c>
      <c r="J325" s="45">
        <v>8</v>
      </c>
      <c r="K325" s="46" t="s">
        <v>2707</v>
      </c>
      <c r="L325" s="47" t="s">
        <v>63</v>
      </c>
      <c r="M325" s="73" t="s">
        <v>42</v>
      </c>
      <c r="N325" s="77" t="s">
        <v>2708</v>
      </c>
      <c r="O325" s="49" t="s">
        <v>2709</v>
      </c>
      <c r="P325" s="49" t="s">
        <v>2698</v>
      </c>
      <c r="Q325" s="49" t="s">
        <v>2699</v>
      </c>
      <c r="R325" s="50">
        <v>72</v>
      </c>
      <c r="S325" s="50">
        <v>405</v>
      </c>
      <c r="T325" s="51" t="s">
        <v>96</v>
      </c>
      <c r="U325" s="51">
        <v>34</v>
      </c>
      <c r="V325" s="52">
        <f t="shared" si="11"/>
        <v>272</v>
      </c>
      <c r="W325" s="51" t="s">
        <v>48</v>
      </c>
      <c r="X325" s="198" t="s">
        <v>265</v>
      </c>
      <c r="Y325" s="168" t="s">
        <v>82</v>
      </c>
      <c r="Z325" s="169"/>
      <c r="AA325" s="170" t="s">
        <v>2710</v>
      </c>
      <c r="AB325" s="243" t="s">
        <v>2535</v>
      </c>
      <c r="AC325" s="172">
        <v>6669</v>
      </c>
      <c r="AE325" s="137" t="s">
        <v>148</v>
      </c>
      <c r="AF325" s="138"/>
      <c r="AG325" s="138" t="s">
        <v>56</v>
      </c>
      <c r="AH325" s="138" t="s">
        <v>56</v>
      </c>
      <c r="AI325" s="138"/>
      <c r="AJ325" s="138"/>
      <c r="AK325" s="138"/>
      <c r="AL325" s="222"/>
      <c r="AM325" s="139">
        <v>1</v>
      </c>
    </row>
    <row r="326" spans="1:39" s="200" customFormat="1" ht="45" customHeight="1" x14ac:dyDescent="0.25">
      <c r="A326" s="14">
        <v>45992</v>
      </c>
      <c r="B326" s="95" t="s">
        <v>2711</v>
      </c>
      <c r="C326" s="95" t="s">
        <v>2712</v>
      </c>
      <c r="D326" s="95"/>
      <c r="E326" s="96" t="s">
        <v>39</v>
      </c>
      <c r="F326" s="19">
        <v>1</v>
      </c>
      <c r="G326" s="97"/>
      <c r="H326" s="97"/>
      <c r="I326" s="245" t="s">
        <v>2713</v>
      </c>
      <c r="J326" s="98">
        <v>150</v>
      </c>
      <c r="K326" s="99" t="s">
        <v>2714</v>
      </c>
      <c r="L326" s="100" t="s">
        <v>63</v>
      </c>
      <c r="M326" s="100" t="s">
        <v>55</v>
      </c>
      <c r="N326" s="101" t="s">
        <v>2715</v>
      </c>
      <c r="O326" s="102" t="s">
        <v>2716</v>
      </c>
      <c r="P326" s="102" t="s">
        <v>2582</v>
      </c>
      <c r="Q326" s="102" t="s">
        <v>2717</v>
      </c>
      <c r="R326" s="103">
        <v>25</v>
      </c>
      <c r="S326" s="103">
        <v>49</v>
      </c>
      <c r="T326" s="96" t="s">
        <v>47</v>
      </c>
      <c r="U326" s="96">
        <v>8</v>
      </c>
      <c r="V326" s="75">
        <f t="shared" si="11"/>
        <v>1200</v>
      </c>
      <c r="W326" s="96" t="s">
        <v>48</v>
      </c>
      <c r="X326" s="198" t="s">
        <v>1420</v>
      </c>
      <c r="Y326" s="199" t="s">
        <v>82</v>
      </c>
      <c r="Z326" s="169"/>
      <c r="AA326" s="170" t="s">
        <v>1346</v>
      </c>
      <c r="AB326" s="243" t="s">
        <v>2671</v>
      </c>
      <c r="AC326" s="172">
        <v>6830</v>
      </c>
      <c r="AE326" s="137" t="s">
        <v>2386</v>
      </c>
      <c r="AF326" s="138"/>
      <c r="AG326" s="138" t="s">
        <v>56</v>
      </c>
      <c r="AH326" s="138" t="s">
        <v>56</v>
      </c>
      <c r="AI326" s="138"/>
      <c r="AJ326" s="138"/>
      <c r="AK326" s="138"/>
      <c r="AL326" s="138"/>
      <c r="AM326" s="254">
        <v>1</v>
      </c>
    </row>
    <row r="327" spans="1:39" s="200" customFormat="1" ht="213" customHeight="1" x14ac:dyDescent="0.25">
      <c r="A327" s="14">
        <v>45992</v>
      </c>
      <c r="B327" s="41" t="s">
        <v>2718</v>
      </c>
      <c r="C327" s="41" t="s">
        <v>2719</v>
      </c>
      <c r="D327" s="41"/>
      <c r="E327" s="42" t="s">
        <v>39</v>
      </c>
      <c r="F327" s="43"/>
      <c r="G327" s="43"/>
      <c r="H327" s="19">
        <v>3</v>
      </c>
      <c r="I327" s="245" t="s">
        <v>2720</v>
      </c>
      <c r="J327" s="45">
        <v>12</v>
      </c>
      <c r="K327" s="46" t="s">
        <v>2721</v>
      </c>
      <c r="L327" s="47" t="s">
        <v>63</v>
      </c>
      <c r="M327" s="73" t="s">
        <v>42</v>
      </c>
      <c r="N327" s="260" t="s">
        <v>2722</v>
      </c>
      <c r="O327" s="49"/>
      <c r="P327" s="49" t="s">
        <v>2652</v>
      </c>
      <c r="Q327" s="49" t="s">
        <v>2653</v>
      </c>
      <c r="R327" s="50">
        <v>2</v>
      </c>
      <c r="S327" s="50">
        <v>4</v>
      </c>
      <c r="T327" s="51" t="s">
        <v>96</v>
      </c>
      <c r="U327" s="51">
        <v>30</v>
      </c>
      <c r="V327" s="52">
        <f t="shared" si="11"/>
        <v>360</v>
      </c>
      <c r="W327" s="51" t="s">
        <v>2723</v>
      </c>
      <c r="X327" s="198" t="s">
        <v>98</v>
      </c>
      <c r="Y327" s="199" t="s">
        <v>99</v>
      </c>
      <c r="Z327" s="169"/>
      <c r="AA327" s="170" t="s">
        <v>2724</v>
      </c>
      <c r="AB327" s="243" t="s">
        <v>2725</v>
      </c>
      <c r="AC327" s="172">
        <v>3936</v>
      </c>
      <c r="AE327" s="137" t="s">
        <v>148</v>
      </c>
      <c r="AF327" s="138" t="s">
        <v>354</v>
      </c>
      <c r="AG327" s="138" t="s">
        <v>56</v>
      </c>
      <c r="AH327" s="138" t="s">
        <v>86</v>
      </c>
      <c r="AI327" s="138"/>
      <c r="AJ327" s="138" t="s">
        <v>56</v>
      </c>
      <c r="AK327" s="138" t="s">
        <v>74</v>
      </c>
      <c r="AL327" s="138"/>
      <c r="AM327" s="139">
        <v>1</v>
      </c>
    </row>
    <row r="328" spans="1:39" s="200" customFormat="1" ht="30" customHeight="1" x14ac:dyDescent="0.25">
      <c r="A328" s="14">
        <v>45986</v>
      </c>
      <c r="B328" s="41" t="s">
        <v>2726</v>
      </c>
      <c r="C328" s="41" t="s">
        <v>2727</v>
      </c>
      <c r="D328" s="41"/>
      <c r="E328" s="42" t="s">
        <v>39</v>
      </c>
      <c r="F328" s="43"/>
      <c r="G328" s="43"/>
      <c r="H328" s="19">
        <v>1</v>
      </c>
      <c r="I328" s="245" t="s">
        <v>2728</v>
      </c>
      <c r="J328" s="45">
        <v>120</v>
      </c>
      <c r="K328" s="46" t="s">
        <v>2729</v>
      </c>
      <c r="L328" s="50" t="s">
        <v>63</v>
      </c>
      <c r="M328" s="73" t="s">
        <v>42</v>
      </c>
      <c r="N328" s="77" t="s">
        <v>2730</v>
      </c>
      <c r="O328" s="49" t="s">
        <v>2731</v>
      </c>
      <c r="P328" s="49" t="s">
        <v>2732</v>
      </c>
      <c r="Q328" s="49" t="s">
        <v>2733</v>
      </c>
      <c r="R328" s="50">
        <v>2</v>
      </c>
      <c r="S328" s="50">
        <v>8</v>
      </c>
      <c r="T328" s="51" t="s">
        <v>47</v>
      </c>
      <c r="U328" s="51">
        <v>0</v>
      </c>
      <c r="V328" s="52">
        <f t="shared" si="11"/>
        <v>0</v>
      </c>
      <c r="W328" s="51" t="s">
        <v>221</v>
      </c>
      <c r="X328" s="202" t="s">
        <v>1189</v>
      </c>
      <c r="Y328" s="199" t="s">
        <v>144</v>
      </c>
      <c r="Z328" s="169"/>
      <c r="AA328" s="170" t="s">
        <v>2734</v>
      </c>
      <c r="AB328" s="243" t="s">
        <v>2735</v>
      </c>
      <c r="AC328" s="172">
        <v>2814</v>
      </c>
      <c r="AE328" s="137" t="s">
        <v>148</v>
      </c>
      <c r="AF328" s="138"/>
      <c r="AG328" s="138" t="s">
        <v>56</v>
      </c>
      <c r="AH328" s="138" t="s">
        <v>56</v>
      </c>
      <c r="AI328" s="138"/>
      <c r="AJ328" s="138"/>
      <c r="AK328" s="138"/>
      <c r="AL328" s="138"/>
      <c r="AM328" s="261">
        <v>1</v>
      </c>
    </row>
    <row r="329" spans="1:39" s="200" customFormat="1" ht="37.5" x14ac:dyDescent="0.25">
      <c r="A329" s="14">
        <v>45986</v>
      </c>
      <c r="B329" s="41"/>
      <c r="C329" s="41"/>
      <c r="D329" s="41"/>
      <c r="E329" s="42"/>
      <c r="F329" s="43"/>
      <c r="G329" s="43"/>
      <c r="H329" s="43"/>
      <c r="I329" s="245" t="s">
        <v>2736</v>
      </c>
      <c r="J329" s="45">
        <v>50</v>
      </c>
      <c r="K329" s="46"/>
      <c r="L329" s="47"/>
      <c r="M329" s="73"/>
      <c r="N329" s="77"/>
      <c r="O329" s="49"/>
      <c r="P329" s="49"/>
      <c r="Q329" s="49"/>
      <c r="R329" s="50"/>
      <c r="S329" s="50"/>
      <c r="T329" s="51"/>
      <c r="U329" s="51"/>
      <c r="V329" s="52"/>
      <c r="W329" s="51"/>
      <c r="X329" s="262"/>
      <c r="Y329" s="199"/>
      <c r="Z329" s="169"/>
      <c r="AA329" s="170"/>
      <c r="AB329" s="243"/>
      <c r="AC329" s="172"/>
      <c r="AE329" s="137"/>
      <c r="AF329" s="138"/>
      <c r="AG329" s="138"/>
      <c r="AH329" s="138"/>
      <c r="AI329" s="138"/>
      <c r="AJ329" s="138"/>
      <c r="AK329" s="138"/>
      <c r="AL329" s="138"/>
      <c r="AM329" s="261"/>
    </row>
    <row r="330" spans="1:39" s="200" customFormat="1" ht="90" x14ac:dyDescent="0.25">
      <c r="A330" s="14">
        <v>45985</v>
      </c>
      <c r="B330" s="41" t="s">
        <v>2737</v>
      </c>
      <c r="C330" s="41" t="s">
        <v>2738</v>
      </c>
      <c r="D330" s="41" t="s">
        <v>2694</v>
      </c>
      <c r="E330" s="42" t="s">
        <v>39</v>
      </c>
      <c r="F330" s="19">
        <v>2</v>
      </c>
      <c r="G330" s="43"/>
      <c r="H330" s="43"/>
      <c r="I330" s="245" t="s">
        <v>2739</v>
      </c>
      <c r="J330" s="45">
        <v>50</v>
      </c>
      <c r="K330" s="46" t="s">
        <v>2740</v>
      </c>
      <c r="L330" s="47" t="s">
        <v>63</v>
      </c>
      <c r="M330" s="73" t="s">
        <v>42</v>
      </c>
      <c r="N330" s="77" t="s">
        <v>2741</v>
      </c>
      <c r="O330" s="49" t="s">
        <v>2731</v>
      </c>
      <c r="P330" s="49" t="s">
        <v>2731</v>
      </c>
      <c r="Q330" s="49" t="s">
        <v>2731</v>
      </c>
      <c r="R330" s="50">
        <v>19</v>
      </c>
      <c r="S330" s="50">
        <v>32</v>
      </c>
      <c r="T330" s="51" t="s">
        <v>67</v>
      </c>
      <c r="U330" s="51">
        <v>1</v>
      </c>
      <c r="V330" s="52">
        <f t="shared" ref="V330:V341" si="12">U330*J330</f>
        <v>50</v>
      </c>
      <c r="W330" s="51" t="s">
        <v>48</v>
      </c>
      <c r="X330" s="262" t="s">
        <v>81</v>
      </c>
      <c r="Y330" s="199" t="s">
        <v>82</v>
      </c>
      <c r="Z330" s="169"/>
      <c r="AA330" s="170" t="s">
        <v>2413</v>
      </c>
      <c r="AB330" s="243" t="s">
        <v>2725</v>
      </c>
      <c r="AC330" s="172">
        <v>2227.5</v>
      </c>
      <c r="AE330" s="137" t="s">
        <v>148</v>
      </c>
      <c r="AF330" s="138"/>
      <c r="AG330" s="138" t="s">
        <v>56</v>
      </c>
      <c r="AH330" s="138" t="s">
        <v>56</v>
      </c>
      <c r="AI330" s="138"/>
      <c r="AJ330" s="138" t="s">
        <v>56</v>
      </c>
      <c r="AK330" s="138" t="s">
        <v>2742</v>
      </c>
      <c r="AL330" s="138"/>
      <c r="AM330" s="261">
        <v>10</v>
      </c>
    </row>
    <row r="331" spans="1:39" ht="167.25" x14ac:dyDescent="0.25">
      <c r="A331" s="14">
        <v>45985</v>
      </c>
      <c r="B331" s="41" t="s">
        <v>2743</v>
      </c>
      <c r="C331" s="41" t="s">
        <v>2744</v>
      </c>
      <c r="D331" s="41"/>
      <c r="E331" s="42" t="s">
        <v>39</v>
      </c>
      <c r="F331" s="43"/>
      <c r="G331" s="43"/>
      <c r="H331" s="19">
        <v>1</v>
      </c>
      <c r="I331" s="245" t="s">
        <v>2745</v>
      </c>
      <c r="J331" s="45">
        <v>100</v>
      </c>
      <c r="K331" s="46" t="s">
        <v>2746</v>
      </c>
      <c r="L331" s="47" t="s">
        <v>63</v>
      </c>
      <c r="M331" s="73" t="s">
        <v>42</v>
      </c>
      <c r="N331" s="77" t="s">
        <v>2747</v>
      </c>
      <c r="O331" s="49" t="s">
        <v>2748</v>
      </c>
      <c r="P331" s="49" t="s">
        <v>2749</v>
      </c>
      <c r="Q331" s="194" t="s">
        <v>2731</v>
      </c>
      <c r="R331" s="92">
        <v>145</v>
      </c>
      <c r="S331" s="92">
        <v>601</v>
      </c>
      <c r="T331" s="51" t="s">
        <v>141</v>
      </c>
      <c r="U331" s="51">
        <v>7</v>
      </c>
      <c r="V331" s="75">
        <f t="shared" si="12"/>
        <v>700</v>
      </c>
      <c r="W331" s="51" t="s">
        <v>350</v>
      </c>
      <c r="X331" s="198" t="s">
        <v>1951</v>
      </c>
      <c r="Y331" s="168" t="s">
        <v>82</v>
      </c>
      <c r="Z331" s="169"/>
      <c r="AA331" s="170" t="s">
        <v>2566</v>
      </c>
      <c r="AB331" s="243" t="s">
        <v>2567</v>
      </c>
      <c r="AC331" s="172">
        <v>17046</v>
      </c>
      <c r="AE331" s="137" t="s">
        <v>148</v>
      </c>
      <c r="AF331" s="138"/>
      <c r="AG331" s="138" t="s">
        <v>56</v>
      </c>
      <c r="AH331" s="138" t="s">
        <v>56</v>
      </c>
      <c r="AI331" s="138"/>
      <c r="AJ331" s="138" t="s">
        <v>56</v>
      </c>
      <c r="AK331" s="138" t="s">
        <v>74</v>
      </c>
      <c r="AL331" s="138" t="s">
        <v>55</v>
      </c>
      <c r="AM331" s="261">
        <v>1</v>
      </c>
    </row>
    <row r="332" spans="1:39" ht="75" x14ac:dyDescent="0.25">
      <c r="A332" s="14">
        <v>45985</v>
      </c>
      <c r="B332" s="41" t="s">
        <v>2750</v>
      </c>
      <c r="C332" s="41" t="s">
        <v>2751</v>
      </c>
      <c r="D332" s="41"/>
      <c r="E332" s="42" t="s">
        <v>39</v>
      </c>
      <c r="F332" s="19">
        <v>1</v>
      </c>
      <c r="G332" s="43"/>
      <c r="H332" s="43"/>
      <c r="I332" s="245" t="s">
        <v>2752</v>
      </c>
      <c r="J332" s="45">
        <v>200</v>
      </c>
      <c r="K332" s="46" t="s">
        <v>2740</v>
      </c>
      <c r="L332" s="47" t="s">
        <v>63</v>
      </c>
      <c r="M332" s="73" t="s">
        <v>42</v>
      </c>
      <c r="N332" s="77" t="s">
        <v>2753</v>
      </c>
      <c r="O332" s="49"/>
      <c r="P332" s="49" t="s">
        <v>2754</v>
      </c>
      <c r="Q332" s="49" t="s">
        <v>2755</v>
      </c>
      <c r="R332" s="50">
        <v>36</v>
      </c>
      <c r="S332" s="50">
        <v>53</v>
      </c>
      <c r="T332" s="51" t="s">
        <v>96</v>
      </c>
      <c r="U332" s="51">
        <v>0</v>
      </c>
      <c r="V332" s="52">
        <f t="shared" si="12"/>
        <v>0</v>
      </c>
      <c r="W332" s="51" t="s">
        <v>510</v>
      </c>
      <c r="X332" s="198" t="s">
        <v>2756</v>
      </c>
      <c r="Y332" s="168" t="s">
        <v>144</v>
      </c>
      <c r="Z332" s="169"/>
      <c r="AA332" s="170" t="s">
        <v>1548</v>
      </c>
      <c r="AB332" s="243" t="s">
        <v>1549</v>
      </c>
      <c r="AC332" s="172">
        <v>5448</v>
      </c>
      <c r="AE332" s="137" t="s">
        <v>148</v>
      </c>
      <c r="AF332" s="138"/>
      <c r="AG332" s="138" t="s">
        <v>56</v>
      </c>
      <c r="AH332" s="138" t="s">
        <v>56</v>
      </c>
      <c r="AI332" s="138"/>
      <c r="AJ332" s="138"/>
      <c r="AK332" s="138"/>
      <c r="AL332" s="222"/>
      <c r="AM332" s="261">
        <v>10</v>
      </c>
    </row>
    <row r="333" spans="1:39" ht="105" x14ac:dyDescent="0.25">
      <c r="A333" s="14">
        <v>45985</v>
      </c>
      <c r="B333" s="41" t="s">
        <v>2757</v>
      </c>
      <c r="C333" s="41" t="s">
        <v>2758</v>
      </c>
      <c r="D333" s="41" t="s">
        <v>2759</v>
      </c>
      <c r="E333" s="42" t="s">
        <v>39</v>
      </c>
      <c r="F333" s="19">
        <v>1</v>
      </c>
      <c r="G333" s="43"/>
      <c r="H333" s="43"/>
      <c r="I333" s="245" t="s">
        <v>2760</v>
      </c>
      <c r="J333" s="45">
        <v>150</v>
      </c>
      <c r="K333" s="46" t="s">
        <v>2746</v>
      </c>
      <c r="L333" s="47" t="s">
        <v>63</v>
      </c>
      <c r="M333" s="73" t="s">
        <v>42</v>
      </c>
      <c r="N333" s="77" t="s">
        <v>2761</v>
      </c>
      <c r="O333" s="49"/>
      <c r="P333" s="49" t="s">
        <v>2762</v>
      </c>
      <c r="Q333" s="49" t="s">
        <v>2653</v>
      </c>
      <c r="R333" s="50">
        <v>6</v>
      </c>
      <c r="S333" s="50">
        <v>9</v>
      </c>
      <c r="T333" s="51" t="s">
        <v>96</v>
      </c>
      <c r="U333" s="51">
        <v>0</v>
      </c>
      <c r="V333" s="52">
        <f t="shared" si="12"/>
        <v>0</v>
      </c>
      <c r="W333" s="51" t="s">
        <v>142</v>
      </c>
      <c r="X333" s="198" t="s">
        <v>2763</v>
      </c>
      <c r="Y333" s="168" t="s">
        <v>82</v>
      </c>
      <c r="Z333" s="169"/>
      <c r="AA333" s="170" t="s">
        <v>2764</v>
      </c>
      <c r="AB333" s="243" t="s">
        <v>2765</v>
      </c>
      <c r="AC333" s="35">
        <f>750+(2863.5*J333/150)</f>
        <v>3613.5</v>
      </c>
      <c r="AE333" s="137" t="s">
        <v>148</v>
      </c>
      <c r="AF333" s="138"/>
      <c r="AG333" s="138" t="s">
        <v>56</v>
      </c>
      <c r="AH333" s="138" t="s">
        <v>86</v>
      </c>
      <c r="AI333" s="138"/>
      <c r="AJ333" s="138"/>
      <c r="AK333" s="138"/>
      <c r="AL333" s="203" t="s">
        <v>2766</v>
      </c>
      <c r="AM333" s="261">
        <v>5</v>
      </c>
    </row>
    <row r="334" spans="1:39" s="200" customFormat="1" ht="60" customHeight="1" x14ac:dyDescent="0.25">
      <c r="A334" s="14">
        <v>45982</v>
      </c>
      <c r="B334" s="41" t="s">
        <v>2767</v>
      </c>
      <c r="C334" s="41" t="s">
        <v>2768</v>
      </c>
      <c r="D334" s="41"/>
      <c r="E334" s="42" t="s">
        <v>39</v>
      </c>
      <c r="F334" s="19">
        <v>1</v>
      </c>
      <c r="G334" s="43"/>
      <c r="H334" s="43"/>
      <c r="I334" s="245" t="s">
        <v>2769</v>
      </c>
      <c r="J334" s="45">
        <v>50</v>
      </c>
      <c r="K334" s="46" t="s">
        <v>2770</v>
      </c>
      <c r="L334" s="47" t="s">
        <v>63</v>
      </c>
      <c r="M334" s="73" t="s">
        <v>42</v>
      </c>
      <c r="N334" s="77" t="s">
        <v>2771</v>
      </c>
      <c r="O334" s="197" t="s">
        <v>2772</v>
      </c>
      <c r="P334" s="49" t="s">
        <v>2773</v>
      </c>
      <c r="Q334" s="49" t="s">
        <v>2754</v>
      </c>
      <c r="R334" s="50">
        <v>76</v>
      </c>
      <c r="S334" s="50">
        <v>267</v>
      </c>
      <c r="T334" s="51" t="s">
        <v>180</v>
      </c>
      <c r="U334" s="51">
        <v>0</v>
      </c>
      <c r="V334" s="52">
        <f t="shared" si="12"/>
        <v>0</v>
      </c>
      <c r="W334" s="51" t="s">
        <v>350</v>
      </c>
      <c r="X334" s="198" t="s">
        <v>2384</v>
      </c>
      <c r="Y334" s="199" t="s">
        <v>50</v>
      </c>
      <c r="Z334" s="169"/>
      <c r="AA334" s="170" t="s">
        <v>2774</v>
      </c>
      <c r="AB334" s="243" t="s">
        <v>2775</v>
      </c>
      <c r="AC334" s="172">
        <v>3825</v>
      </c>
      <c r="AE334" s="137" t="s">
        <v>2776</v>
      </c>
      <c r="AF334" s="138"/>
      <c r="AG334" s="138" t="s">
        <v>56</v>
      </c>
      <c r="AH334" s="138" t="s">
        <v>56</v>
      </c>
      <c r="AI334" s="138"/>
      <c r="AJ334" s="138" t="s">
        <v>56</v>
      </c>
      <c r="AK334" s="138" t="s">
        <v>74</v>
      </c>
      <c r="AL334" s="138"/>
    </row>
    <row r="335" spans="1:39" s="200" customFormat="1" ht="78" customHeight="1" x14ac:dyDescent="0.25">
      <c r="A335" s="14">
        <v>45982</v>
      </c>
      <c r="B335" s="41" t="s">
        <v>2777</v>
      </c>
      <c r="C335" s="41" t="s">
        <v>2778</v>
      </c>
      <c r="D335" s="41" t="s">
        <v>2779</v>
      </c>
      <c r="E335" s="42" t="s">
        <v>39</v>
      </c>
      <c r="F335" s="43"/>
      <c r="G335" s="43"/>
      <c r="H335" s="19">
        <v>1</v>
      </c>
      <c r="I335" s="245" t="s">
        <v>2780</v>
      </c>
      <c r="J335" s="45">
        <v>60</v>
      </c>
      <c r="K335" s="46" t="s">
        <v>2781</v>
      </c>
      <c r="L335" s="47" t="s">
        <v>63</v>
      </c>
      <c r="M335" s="73" t="s">
        <v>42</v>
      </c>
      <c r="N335" s="77" t="s">
        <v>2600</v>
      </c>
      <c r="O335" s="197" t="s">
        <v>2782</v>
      </c>
      <c r="P335" s="49" t="s">
        <v>2783</v>
      </c>
      <c r="Q335" s="49" t="s">
        <v>2748</v>
      </c>
      <c r="R335" s="50">
        <v>52</v>
      </c>
      <c r="S335" s="50">
        <v>121</v>
      </c>
      <c r="T335" s="51" t="s">
        <v>47</v>
      </c>
      <c r="U335" s="51">
        <v>6</v>
      </c>
      <c r="V335" s="52">
        <f t="shared" si="12"/>
        <v>360</v>
      </c>
      <c r="W335" s="51" t="s">
        <v>350</v>
      </c>
      <c r="X335" s="198" t="s">
        <v>2604</v>
      </c>
      <c r="Y335" s="199" t="s">
        <v>144</v>
      </c>
      <c r="Z335" s="169"/>
      <c r="AA335" s="170" t="s">
        <v>2272</v>
      </c>
      <c r="AB335" s="243" t="s">
        <v>2784</v>
      </c>
      <c r="AC335" s="172">
        <f>5169+870</f>
        <v>6039</v>
      </c>
      <c r="AE335" s="137" t="s">
        <v>148</v>
      </c>
      <c r="AF335" s="138"/>
      <c r="AG335" s="138" t="s">
        <v>56</v>
      </c>
      <c r="AH335" s="138" t="s">
        <v>56</v>
      </c>
      <c r="AI335" s="138"/>
      <c r="AJ335" s="138"/>
      <c r="AK335" s="138"/>
      <c r="AL335" s="138"/>
    </row>
    <row r="336" spans="1:39" s="200" customFormat="1" ht="75" customHeight="1" x14ac:dyDescent="0.25">
      <c r="A336" s="14">
        <v>45982</v>
      </c>
      <c r="B336" s="41" t="s">
        <v>2785</v>
      </c>
      <c r="C336" s="41" t="s">
        <v>2786</v>
      </c>
      <c r="D336" s="41" t="s">
        <v>2787</v>
      </c>
      <c r="E336" s="42" t="s">
        <v>39</v>
      </c>
      <c r="F336" s="19">
        <v>1</v>
      </c>
      <c r="G336" s="43"/>
      <c r="H336" s="43"/>
      <c r="I336" s="245" t="s">
        <v>2788</v>
      </c>
      <c r="J336" s="45">
        <v>270</v>
      </c>
      <c r="K336" s="46" t="s">
        <v>2789</v>
      </c>
      <c r="L336" s="47" t="s">
        <v>63</v>
      </c>
      <c r="M336" s="73" t="s">
        <v>42</v>
      </c>
      <c r="N336" s="77" t="s">
        <v>2790</v>
      </c>
      <c r="O336" s="49"/>
      <c r="P336" s="49" t="s">
        <v>2791</v>
      </c>
      <c r="Q336" s="49" t="s">
        <v>2678</v>
      </c>
      <c r="R336" s="50">
        <v>7</v>
      </c>
      <c r="S336" s="50">
        <v>11</v>
      </c>
      <c r="T336" s="51" t="s">
        <v>96</v>
      </c>
      <c r="U336" s="51">
        <v>3</v>
      </c>
      <c r="V336" s="75">
        <f t="shared" si="12"/>
        <v>810</v>
      </c>
      <c r="W336" s="51" t="s">
        <v>68</v>
      </c>
      <c r="X336" s="202" t="s">
        <v>2792</v>
      </c>
      <c r="Y336" s="263" t="s">
        <v>324</v>
      </c>
      <c r="Z336" s="169" t="s">
        <v>51</v>
      </c>
      <c r="AA336" s="170" t="s">
        <v>2793</v>
      </c>
      <c r="AB336" s="243" t="s">
        <v>2794</v>
      </c>
      <c r="AC336" s="35">
        <v>3769.3</v>
      </c>
      <c r="AE336" s="137" t="s">
        <v>148</v>
      </c>
      <c r="AF336" s="138"/>
      <c r="AG336" s="138" t="s">
        <v>56</v>
      </c>
      <c r="AH336" s="138" t="s">
        <v>56</v>
      </c>
      <c r="AI336" s="138"/>
      <c r="AJ336" s="138"/>
      <c r="AK336" s="138"/>
      <c r="AL336" s="203" t="s">
        <v>2795</v>
      </c>
    </row>
    <row r="337" spans="1:38" s="200" customFormat="1" ht="30" customHeight="1" x14ac:dyDescent="0.25">
      <c r="A337" s="14">
        <v>45981</v>
      </c>
      <c r="B337" s="41" t="s">
        <v>2796</v>
      </c>
      <c r="C337" s="41" t="s">
        <v>2797</v>
      </c>
      <c r="D337" s="41"/>
      <c r="E337" s="42" t="s">
        <v>39</v>
      </c>
      <c r="F337" s="19">
        <v>1</v>
      </c>
      <c r="G337" s="43"/>
      <c r="H337" s="43"/>
      <c r="I337" s="245" t="s">
        <v>2798</v>
      </c>
      <c r="J337" s="45">
        <v>150</v>
      </c>
      <c r="K337" s="46" t="s">
        <v>2799</v>
      </c>
      <c r="L337" s="50" t="s">
        <v>63</v>
      </c>
      <c r="M337" s="73" t="s">
        <v>42</v>
      </c>
      <c r="N337" s="77" t="s">
        <v>240</v>
      </c>
      <c r="O337" s="49" t="s">
        <v>2800</v>
      </c>
      <c r="P337" s="49" t="s">
        <v>2801</v>
      </c>
      <c r="Q337" s="49" t="s">
        <v>2802</v>
      </c>
      <c r="R337" s="50">
        <v>37</v>
      </c>
      <c r="S337" s="50">
        <v>91</v>
      </c>
      <c r="T337" s="51" t="s">
        <v>180</v>
      </c>
      <c r="U337" s="51">
        <v>2</v>
      </c>
      <c r="V337" s="52">
        <f t="shared" si="12"/>
        <v>300</v>
      </c>
      <c r="W337" s="51" t="s">
        <v>48</v>
      </c>
      <c r="X337" s="198" t="s">
        <v>2449</v>
      </c>
      <c r="Y337" s="199" t="s">
        <v>82</v>
      </c>
      <c r="Z337" s="169"/>
      <c r="AA337" s="170" t="s">
        <v>1393</v>
      </c>
      <c r="AB337" s="243" t="s">
        <v>2273</v>
      </c>
      <c r="AC337" s="172">
        <v>5510</v>
      </c>
      <c r="AE337" s="137" t="s">
        <v>148</v>
      </c>
      <c r="AF337" s="138"/>
      <c r="AG337" s="138" t="s">
        <v>56</v>
      </c>
      <c r="AH337" s="138" t="s">
        <v>56</v>
      </c>
      <c r="AI337" s="138"/>
      <c r="AJ337" s="138"/>
      <c r="AK337" s="138"/>
      <c r="AL337" s="138"/>
    </row>
    <row r="338" spans="1:38" ht="225" x14ac:dyDescent="0.25">
      <c r="A338" s="14">
        <v>45980</v>
      </c>
      <c r="B338" s="41" t="s">
        <v>2803</v>
      </c>
      <c r="C338" s="41" t="s">
        <v>2804</v>
      </c>
      <c r="D338" s="41" t="s">
        <v>2805</v>
      </c>
      <c r="E338" s="42" t="s">
        <v>39</v>
      </c>
      <c r="F338" s="43"/>
      <c r="G338" s="43"/>
      <c r="H338" s="19">
        <v>1</v>
      </c>
      <c r="I338" s="245" t="s">
        <v>9884</v>
      </c>
      <c r="J338" s="45">
        <v>50</v>
      </c>
      <c r="K338" s="46" t="s">
        <v>2806</v>
      </c>
      <c r="L338" s="47" t="s">
        <v>63</v>
      </c>
      <c r="M338" s="73" t="s">
        <v>42</v>
      </c>
      <c r="N338" s="77" t="s">
        <v>2807</v>
      </c>
      <c r="O338" s="49" t="s">
        <v>2808</v>
      </c>
      <c r="P338" s="49" t="s">
        <v>2678</v>
      </c>
      <c r="Q338" s="49" t="s">
        <v>2809</v>
      </c>
      <c r="R338" s="92">
        <v>156</v>
      </c>
      <c r="S338" s="92">
        <v>856</v>
      </c>
      <c r="T338" s="51" t="s">
        <v>141</v>
      </c>
      <c r="U338" s="51">
        <v>1</v>
      </c>
      <c r="V338" s="52">
        <f t="shared" si="12"/>
        <v>50</v>
      </c>
      <c r="W338" s="51" t="s">
        <v>350</v>
      </c>
      <c r="X338" s="198" t="s">
        <v>482</v>
      </c>
      <c r="Y338" s="168" t="s">
        <v>50</v>
      </c>
      <c r="Z338" s="169" t="s">
        <v>645</v>
      </c>
      <c r="AA338" s="170" t="s">
        <v>1622</v>
      </c>
      <c r="AB338" s="243" t="s">
        <v>2765</v>
      </c>
      <c r="AC338" s="172">
        <v>12997</v>
      </c>
      <c r="AE338" s="137" t="s">
        <v>148</v>
      </c>
      <c r="AF338" s="138" t="s">
        <v>354</v>
      </c>
      <c r="AG338" s="138" t="s">
        <v>56</v>
      </c>
      <c r="AH338" s="138" t="s">
        <v>56</v>
      </c>
      <c r="AI338" s="138"/>
      <c r="AJ338" s="138" t="s">
        <v>56</v>
      </c>
      <c r="AK338" s="138" t="s">
        <v>74</v>
      </c>
      <c r="AL338" s="222"/>
    </row>
    <row r="339" spans="1:38" s="200" customFormat="1" ht="150" x14ac:dyDescent="0.25">
      <c r="A339" s="14">
        <v>45980</v>
      </c>
      <c r="B339" s="41" t="s">
        <v>2777</v>
      </c>
      <c r="C339" s="41" t="s">
        <v>2810</v>
      </c>
      <c r="D339" s="41"/>
      <c r="E339" s="42" t="s">
        <v>39</v>
      </c>
      <c r="F339" s="19">
        <v>1</v>
      </c>
      <c r="G339" s="43"/>
      <c r="H339" s="43"/>
      <c r="I339" s="245" t="s">
        <v>2811</v>
      </c>
      <c r="J339" s="45">
        <v>40</v>
      </c>
      <c r="K339" s="46" t="s">
        <v>2812</v>
      </c>
      <c r="L339" s="47" t="s">
        <v>63</v>
      </c>
      <c r="M339" s="73" t="s">
        <v>42</v>
      </c>
      <c r="N339" s="77" t="s">
        <v>2813</v>
      </c>
      <c r="O339" s="49" t="s">
        <v>2814</v>
      </c>
      <c r="P339" s="49"/>
      <c r="Q339" s="49" t="s">
        <v>2815</v>
      </c>
      <c r="R339" s="50">
        <v>20</v>
      </c>
      <c r="S339" s="50">
        <v>183</v>
      </c>
      <c r="T339" s="51" t="s">
        <v>158</v>
      </c>
      <c r="U339" s="51">
        <v>30</v>
      </c>
      <c r="V339" s="75">
        <f t="shared" si="12"/>
        <v>1200</v>
      </c>
      <c r="W339" s="51" t="s">
        <v>350</v>
      </c>
      <c r="X339" s="198" t="s">
        <v>2816</v>
      </c>
      <c r="Y339" s="199" t="s">
        <v>50</v>
      </c>
      <c r="Z339" s="169"/>
      <c r="AA339" s="170" t="s">
        <v>2793</v>
      </c>
      <c r="AB339" s="243" t="s">
        <v>2784</v>
      </c>
      <c r="AC339" s="172">
        <v>5886.4</v>
      </c>
      <c r="AE339" s="137" t="s">
        <v>2776</v>
      </c>
      <c r="AF339" s="138"/>
      <c r="AG339" s="138" t="s">
        <v>56</v>
      </c>
      <c r="AH339" s="138"/>
      <c r="AI339" s="138"/>
      <c r="AJ339" s="138" t="s">
        <v>56</v>
      </c>
      <c r="AK339" s="138" t="s">
        <v>74</v>
      </c>
      <c r="AL339" s="138"/>
    </row>
    <row r="340" spans="1:38" s="200" customFormat="1" ht="63.75" customHeight="1" x14ac:dyDescent="0.25">
      <c r="A340" s="14">
        <v>45979</v>
      </c>
      <c r="B340" s="264" t="s">
        <v>2817</v>
      </c>
      <c r="C340" s="204" t="s">
        <v>2818</v>
      </c>
      <c r="D340" s="204" t="s">
        <v>2819</v>
      </c>
      <c r="E340" s="205" t="s">
        <v>39</v>
      </c>
      <c r="F340" s="143"/>
      <c r="G340" s="143"/>
      <c r="H340" s="206">
        <v>1</v>
      </c>
      <c r="I340" s="265" t="s">
        <v>9885</v>
      </c>
      <c r="J340" s="207">
        <v>3</v>
      </c>
      <c r="K340" s="266" t="s">
        <v>2820</v>
      </c>
      <c r="L340" s="208" t="s">
        <v>63</v>
      </c>
      <c r="M340" s="209" t="s">
        <v>42</v>
      </c>
      <c r="N340" s="250" t="s">
        <v>2821</v>
      </c>
      <c r="O340" s="210" t="s">
        <v>2822</v>
      </c>
      <c r="P340" s="210" t="s">
        <v>2823</v>
      </c>
      <c r="Q340" s="210" t="s">
        <v>2824</v>
      </c>
      <c r="R340" s="267">
        <v>206</v>
      </c>
      <c r="S340" s="267">
        <v>1593</v>
      </c>
      <c r="T340" s="212" t="s">
        <v>933</v>
      </c>
      <c r="U340" s="212">
        <v>21</v>
      </c>
      <c r="V340" s="213">
        <f t="shared" si="12"/>
        <v>63</v>
      </c>
      <c r="W340" s="212" t="s">
        <v>350</v>
      </c>
      <c r="X340" s="198" t="s">
        <v>2825</v>
      </c>
      <c r="Y340" s="263" t="s">
        <v>144</v>
      </c>
      <c r="Z340" s="169"/>
      <c r="AA340" s="170" t="s">
        <v>646</v>
      </c>
      <c r="AB340" s="243" t="s">
        <v>2826</v>
      </c>
      <c r="AC340" s="35">
        <f>23855*J340/25</f>
        <v>2862.6</v>
      </c>
      <c r="AE340" s="137" t="s">
        <v>2776</v>
      </c>
      <c r="AF340" s="138" t="s">
        <v>354</v>
      </c>
      <c r="AG340" s="138" t="s">
        <v>56</v>
      </c>
      <c r="AH340" s="138" t="s">
        <v>86</v>
      </c>
      <c r="AI340" s="138"/>
      <c r="AJ340" s="138"/>
      <c r="AK340" s="138"/>
      <c r="AL340" s="222"/>
    </row>
    <row r="341" spans="1:38" s="200" customFormat="1" ht="30" customHeight="1" x14ac:dyDescent="0.25">
      <c r="A341" s="14">
        <v>45979</v>
      </c>
      <c r="B341" s="41" t="s">
        <v>2827</v>
      </c>
      <c r="C341" s="41" t="s">
        <v>2828</v>
      </c>
      <c r="D341" s="41"/>
      <c r="E341" s="42" t="s">
        <v>39</v>
      </c>
      <c r="F341" s="19">
        <v>1</v>
      </c>
      <c r="G341" s="43"/>
      <c r="H341" s="43"/>
      <c r="I341" s="245" t="s">
        <v>2829</v>
      </c>
      <c r="J341" s="45">
        <v>200</v>
      </c>
      <c r="K341" s="46" t="s">
        <v>2770</v>
      </c>
      <c r="L341" s="47" t="s">
        <v>63</v>
      </c>
      <c r="M341" s="73" t="s">
        <v>42</v>
      </c>
      <c r="N341" s="77" t="s">
        <v>240</v>
      </c>
      <c r="O341" s="49" t="s">
        <v>2830</v>
      </c>
      <c r="P341" s="49" t="s">
        <v>2831</v>
      </c>
      <c r="Q341" s="49" t="s">
        <v>2832</v>
      </c>
      <c r="R341" s="50">
        <v>23</v>
      </c>
      <c r="S341" s="50">
        <v>34</v>
      </c>
      <c r="T341" s="51" t="s">
        <v>47</v>
      </c>
      <c r="U341" s="51">
        <v>3</v>
      </c>
      <c r="V341" s="75">
        <f t="shared" si="12"/>
        <v>600</v>
      </c>
      <c r="W341" s="51" t="s">
        <v>48</v>
      </c>
      <c r="X341" s="198" t="s">
        <v>1648</v>
      </c>
      <c r="Y341" s="199" t="s">
        <v>82</v>
      </c>
      <c r="Z341" s="169"/>
      <c r="AA341" s="170" t="s">
        <v>2169</v>
      </c>
      <c r="AB341" s="243" t="s">
        <v>2833</v>
      </c>
      <c r="AC341" s="172">
        <v>3444</v>
      </c>
      <c r="AE341" s="137" t="s">
        <v>148</v>
      </c>
      <c r="AF341" s="138"/>
      <c r="AG341" s="138" t="s">
        <v>56</v>
      </c>
      <c r="AH341" s="138" t="s">
        <v>86</v>
      </c>
      <c r="AI341" s="138"/>
      <c r="AJ341" s="138"/>
      <c r="AK341" s="138"/>
      <c r="AL341" s="138"/>
    </row>
    <row r="342" spans="1:38" ht="42" customHeight="1" x14ac:dyDescent="0.25">
      <c r="A342" s="14">
        <v>45978</v>
      </c>
      <c r="B342" s="41" t="s">
        <v>2777</v>
      </c>
      <c r="C342" s="41" t="s">
        <v>2810</v>
      </c>
      <c r="D342" s="41"/>
      <c r="E342" s="42"/>
      <c r="F342" s="43"/>
      <c r="G342" s="43"/>
      <c r="H342" s="43"/>
      <c r="I342" s="268" t="s">
        <v>9861</v>
      </c>
      <c r="J342" s="45">
        <v>44</v>
      </c>
      <c r="K342" s="46" t="s">
        <v>2834</v>
      </c>
      <c r="L342" s="47"/>
      <c r="M342" s="42"/>
      <c r="N342" s="77" t="s">
        <v>2835</v>
      </c>
      <c r="O342" s="49"/>
      <c r="P342" s="49"/>
      <c r="Q342" s="49"/>
      <c r="R342" s="50"/>
      <c r="S342" s="50"/>
      <c r="T342" s="51"/>
      <c r="U342" s="51"/>
      <c r="V342" s="52"/>
      <c r="W342" s="51" t="s">
        <v>350</v>
      </c>
      <c r="X342" s="198"/>
      <c r="Y342" s="199"/>
      <c r="Z342" s="269"/>
      <c r="AA342" s="170"/>
      <c r="AB342" s="243"/>
      <c r="AC342" s="172">
        <v>1540</v>
      </c>
      <c r="AE342" s="137"/>
      <c r="AF342" s="138"/>
      <c r="AG342" s="138"/>
      <c r="AH342" s="255"/>
      <c r="AI342" s="138"/>
      <c r="AJ342" s="138"/>
      <c r="AK342" s="138"/>
      <c r="AL342" s="222"/>
    </row>
    <row r="343" spans="1:38" s="200" customFormat="1" ht="63.75" customHeight="1" x14ac:dyDescent="0.25">
      <c r="A343" s="14">
        <v>45978</v>
      </c>
      <c r="B343" s="164" t="s">
        <v>2836</v>
      </c>
      <c r="C343" s="41" t="s">
        <v>2837</v>
      </c>
      <c r="D343" s="41" t="s">
        <v>2838</v>
      </c>
      <c r="E343" s="42" t="s">
        <v>39</v>
      </c>
      <c r="F343" s="43"/>
      <c r="G343" s="43"/>
      <c r="H343" s="19">
        <v>1</v>
      </c>
      <c r="I343" s="268" t="s">
        <v>2839</v>
      </c>
      <c r="J343" s="45">
        <v>22</v>
      </c>
      <c r="K343" s="46" t="s">
        <v>2840</v>
      </c>
      <c r="L343" s="47" t="s">
        <v>63</v>
      </c>
      <c r="M343" s="73" t="s">
        <v>42</v>
      </c>
      <c r="N343" s="77" t="s">
        <v>2841</v>
      </c>
      <c r="O343" s="49" t="s">
        <v>2822</v>
      </c>
      <c r="P343" s="49" t="s">
        <v>2823</v>
      </c>
      <c r="Q343" s="49" t="s">
        <v>2824</v>
      </c>
      <c r="R343" s="92">
        <v>206</v>
      </c>
      <c r="S343" s="92">
        <v>1593</v>
      </c>
      <c r="T343" s="51" t="s">
        <v>933</v>
      </c>
      <c r="U343" s="51">
        <v>21</v>
      </c>
      <c r="V343" s="75">
        <f t="shared" ref="V343:V406" si="13">U343*J343</f>
        <v>462</v>
      </c>
      <c r="W343" s="51" t="s">
        <v>350</v>
      </c>
      <c r="X343" s="198" t="s">
        <v>2825</v>
      </c>
      <c r="Y343" s="263" t="s">
        <v>144</v>
      </c>
      <c r="Z343" s="169"/>
      <c r="AA343" s="170" t="s">
        <v>646</v>
      </c>
      <c r="AB343" s="243" t="s">
        <v>2826</v>
      </c>
      <c r="AC343" s="35">
        <f>23855*J343/25+2000</f>
        <v>22992.400000000001</v>
      </c>
      <c r="AE343" s="137" t="s">
        <v>2776</v>
      </c>
      <c r="AF343" s="138" t="s">
        <v>354</v>
      </c>
      <c r="AG343" s="138" t="s">
        <v>56</v>
      </c>
      <c r="AH343" s="138" t="s">
        <v>86</v>
      </c>
      <c r="AI343" s="138"/>
      <c r="AJ343" s="138"/>
      <c r="AK343" s="138"/>
      <c r="AL343" s="222"/>
    </row>
    <row r="344" spans="1:38" s="200" customFormat="1" ht="157.5" x14ac:dyDescent="0.25">
      <c r="A344" s="14">
        <v>45978</v>
      </c>
      <c r="B344" s="41" t="s">
        <v>2842</v>
      </c>
      <c r="C344" s="41" t="s">
        <v>2843</v>
      </c>
      <c r="D344" s="41" t="s">
        <v>2844</v>
      </c>
      <c r="E344" s="42" t="s">
        <v>195</v>
      </c>
      <c r="F344" s="43"/>
      <c r="G344" s="43"/>
      <c r="H344" s="43"/>
      <c r="I344" s="245" t="s">
        <v>2845</v>
      </c>
      <c r="J344" s="45">
        <v>15</v>
      </c>
      <c r="K344" s="46"/>
      <c r="L344" s="47" t="s">
        <v>42</v>
      </c>
      <c r="M344" s="42" t="s">
        <v>55</v>
      </c>
      <c r="N344" s="77" t="s">
        <v>2846</v>
      </c>
      <c r="O344" s="49"/>
      <c r="P344" s="49"/>
      <c r="Q344" s="49"/>
      <c r="R344" s="50">
        <v>0</v>
      </c>
      <c r="S344" s="50">
        <v>0</v>
      </c>
      <c r="T344" s="51">
        <v>0</v>
      </c>
      <c r="U344" s="51">
        <v>39</v>
      </c>
      <c r="V344" s="52">
        <f t="shared" si="13"/>
        <v>585</v>
      </c>
      <c r="W344" s="51" t="s">
        <v>350</v>
      </c>
      <c r="X344" s="198" t="s">
        <v>199</v>
      </c>
      <c r="Y344" s="199" t="s">
        <v>144</v>
      </c>
      <c r="Z344" s="169"/>
      <c r="AA344" s="170" t="s">
        <v>2793</v>
      </c>
      <c r="AB344" s="243" t="s">
        <v>2794</v>
      </c>
      <c r="AC344" s="172">
        <v>1480.5</v>
      </c>
      <c r="AE344" s="137" t="s">
        <v>148</v>
      </c>
      <c r="AF344" s="138" t="s">
        <v>354</v>
      </c>
      <c r="AG344" s="138" t="s">
        <v>56</v>
      </c>
      <c r="AH344" s="138" t="s">
        <v>56</v>
      </c>
      <c r="AI344" s="138"/>
      <c r="AJ344" s="138"/>
      <c r="AK344" s="138"/>
      <c r="AL344" s="138"/>
    </row>
    <row r="345" spans="1:38" s="200" customFormat="1" ht="90" x14ac:dyDescent="0.25">
      <c r="A345" s="14">
        <v>45978</v>
      </c>
      <c r="B345" s="41" t="s">
        <v>2847</v>
      </c>
      <c r="C345" s="41" t="s">
        <v>2848</v>
      </c>
      <c r="D345" s="41" t="s">
        <v>2849</v>
      </c>
      <c r="E345" s="42" t="s">
        <v>195</v>
      </c>
      <c r="F345" s="43"/>
      <c r="G345" s="43"/>
      <c r="H345" s="43"/>
      <c r="I345" s="245" t="s">
        <v>2850</v>
      </c>
      <c r="J345" s="45">
        <v>20</v>
      </c>
      <c r="K345" s="46" t="s">
        <v>2834</v>
      </c>
      <c r="L345" s="47" t="s">
        <v>42</v>
      </c>
      <c r="M345" s="42" t="s">
        <v>55</v>
      </c>
      <c r="N345" s="77" t="s">
        <v>2851</v>
      </c>
      <c r="O345" s="49"/>
      <c r="P345" s="49"/>
      <c r="Q345" s="49"/>
      <c r="R345" s="50">
        <v>0</v>
      </c>
      <c r="S345" s="50">
        <v>0</v>
      </c>
      <c r="T345" s="51">
        <v>0</v>
      </c>
      <c r="U345" s="51">
        <v>32</v>
      </c>
      <c r="V345" s="52">
        <f t="shared" si="13"/>
        <v>640</v>
      </c>
      <c r="W345" s="51" t="s">
        <v>350</v>
      </c>
      <c r="X345" s="198" t="s">
        <v>2852</v>
      </c>
      <c r="Y345" s="199" t="s">
        <v>144</v>
      </c>
      <c r="Z345" s="169"/>
      <c r="AA345" s="170" t="s">
        <v>2272</v>
      </c>
      <c r="AB345" s="243" t="s">
        <v>2784</v>
      </c>
      <c r="AC345" s="172">
        <v>1504</v>
      </c>
      <c r="AE345" s="137" t="s">
        <v>148</v>
      </c>
      <c r="AF345" s="138"/>
      <c r="AG345" s="138" t="s">
        <v>56</v>
      </c>
      <c r="AH345" s="138" t="s">
        <v>56</v>
      </c>
      <c r="AI345" s="138"/>
      <c r="AJ345" s="138"/>
      <c r="AK345" s="138"/>
      <c r="AL345" s="138"/>
    </row>
    <row r="346" spans="1:38" s="200" customFormat="1" ht="30" customHeight="1" x14ac:dyDescent="0.25">
      <c r="A346" s="14">
        <v>45978</v>
      </c>
      <c r="B346" s="95" t="s">
        <v>2853</v>
      </c>
      <c r="C346" s="95" t="s">
        <v>2854</v>
      </c>
      <c r="D346" s="95" t="s">
        <v>2855</v>
      </c>
      <c r="E346" s="96" t="s">
        <v>39</v>
      </c>
      <c r="F346" s="19">
        <v>1</v>
      </c>
      <c r="G346" s="97"/>
      <c r="H346" s="97"/>
      <c r="I346" s="245" t="s">
        <v>2856</v>
      </c>
      <c r="J346" s="98">
        <v>30</v>
      </c>
      <c r="K346" s="270" t="s">
        <v>2857</v>
      </c>
      <c r="L346" s="100" t="s">
        <v>63</v>
      </c>
      <c r="M346" s="100" t="s">
        <v>42</v>
      </c>
      <c r="N346" s="101" t="s">
        <v>2858</v>
      </c>
      <c r="O346" s="102" t="s">
        <v>2859</v>
      </c>
      <c r="P346" s="102" t="s">
        <v>2860</v>
      </c>
      <c r="Q346" s="102" t="s">
        <v>2861</v>
      </c>
      <c r="R346" s="103">
        <v>50</v>
      </c>
      <c r="S346" s="103">
        <v>107</v>
      </c>
      <c r="T346" s="96" t="s">
        <v>47</v>
      </c>
      <c r="U346" s="96">
        <v>29</v>
      </c>
      <c r="V346" s="75">
        <f t="shared" si="13"/>
        <v>870</v>
      </c>
      <c r="W346" s="96" t="s">
        <v>350</v>
      </c>
      <c r="X346" s="271" t="s">
        <v>905</v>
      </c>
      <c r="Y346" s="199" t="s">
        <v>50</v>
      </c>
      <c r="Z346" s="169"/>
      <c r="AA346" s="170" t="s">
        <v>2764</v>
      </c>
      <c r="AB346" s="243" t="s">
        <v>2862</v>
      </c>
      <c r="AC346" s="172">
        <f>5972.1+860</f>
        <v>6832.1</v>
      </c>
      <c r="AE346" s="137" t="s">
        <v>2776</v>
      </c>
      <c r="AF346" s="138"/>
      <c r="AG346" s="138" t="s">
        <v>56</v>
      </c>
      <c r="AH346" s="138" t="s">
        <v>2863</v>
      </c>
      <c r="AI346" s="138"/>
      <c r="AJ346" s="138" t="s">
        <v>56</v>
      </c>
      <c r="AK346" s="138" t="s">
        <v>2864</v>
      </c>
      <c r="AL346" s="251" t="s">
        <v>2865</v>
      </c>
    </row>
    <row r="347" spans="1:38" ht="196.5" customHeight="1" x14ac:dyDescent="0.25">
      <c r="A347" s="14">
        <v>45975</v>
      </c>
      <c r="B347" s="41" t="s">
        <v>2866</v>
      </c>
      <c r="C347" s="41" t="s">
        <v>2867</v>
      </c>
      <c r="D347" s="41"/>
      <c r="E347" s="42" t="s">
        <v>39</v>
      </c>
      <c r="F347" s="43"/>
      <c r="G347" s="43"/>
      <c r="H347" s="19">
        <v>1</v>
      </c>
      <c r="I347" s="245" t="s">
        <v>2868</v>
      </c>
      <c r="J347" s="45">
        <v>5</v>
      </c>
      <c r="K347" s="46" t="s">
        <v>2869</v>
      </c>
      <c r="L347" s="47" t="s">
        <v>63</v>
      </c>
      <c r="M347" s="73" t="s">
        <v>42</v>
      </c>
      <c r="N347" s="77" t="s">
        <v>2870</v>
      </c>
      <c r="O347" s="49" t="s">
        <v>2871</v>
      </c>
      <c r="P347" s="49" t="s">
        <v>2872</v>
      </c>
      <c r="Q347" s="49" t="s">
        <v>2873</v>
      </c>
      <c r="R347" s="92">
        <v>142</v>
      </c>
      <c r="S347" s="50">
        <v>657</v>
      </c>
      <c r="T347" s="51" t="s">
        <v>141</v>
      </c>
      <c r="U347" s="51">
        <v>0</v>
      </c>
      <c r="V347" s="52">
        <f t="shared" si="13"/>
        <v>0</v>
      </c>
      <c r="W347" s="51" t="s">
        <v>350</v>
      </c>
      <c r="X347" s="198" t="s">
        <v>2234</v>
      </c>
      <c r="Y347" s="168" t="s">
        <v>144</v>
      </c>
      <c r="Z347" s="169"/>
      <c r="AA347" s="170" t="s">
        <v>1177</v>
      </c>
      <c r="AB347" s="243" t="s">
        <v>1178</v>
      </c>
      <c r="AC347" s="172">
        <v>6575</v>
      </c>
      <c r="AE347" s="137" t="s">
        <v>148</v>
      </c>
      <c r="AF347" s="138" t="s">
        <v>354</v>
      </c>
      <c r="AG347" s="138" t="s">
        <v>56</v>
      </c>
      <c r="AH347" s="138" t="s">
        <v>56</v>
      </c>
      <c r="AI347" s="138"/>
      <c r="AJ347" s="138"/>
      <c r="AK347" s="138"/>
      <c r="AL347" s="222"/>
    </row>
    <row r="348" spans="1:38" s="200" customFormat="1" ht="30" customHeight="1" x14ac:dyDescent="0.25">
      <c r="A348" s="14">
        <v>45975</v>
      </c>
      <c r="B348" s="41" t="s">
        <v>2874</v>
      </c>
      <c r="C348" s="41" t="s">
        <v>2875</v>
      </c>
      <c r="D348" s="41" t="s">
        <v>2876</v>
      </c>
      <c r="E348" s="42" t="s">
        <v>39</v>
      </c>
      <c r="F348" s="19">
        <v>1</v>
      </c>
      <c r="G348" s="43"/>
      <c r="H348" s="43"/>
      <c r="I348" s="245" t="s">
        <v>2877</v>
      </c>
      <c r="J348" s="45">
        <v>500</v>
      </c>
      <c r="K348" s="46" t="s">
        <v>2869</v>
      </c>
      <c r="L348" s="47" t="s">
        <v>63</v>
      </c>
      <c r="M348" s="73" t="s">
        <v>42</v>
      </c>
      <c r="N348" s="77" t="s">
        <v>518</v>
      </c>
      <c r="O348" s="49"/>
      <c r="P348" s="49" t="s">
        <v>2878</v>
      </c>
      <c r="Q348" s="49" t="s">
        <v>2822</v>
      </c>
      <c r="R348" s="50">
        <v>14</v>
      </c>
      <c r="S348" s="50">
        <v>63</v>
      </c>
      <c r="T348" s="51" t="s">
        <v>67</v>
      </c>
      <c r="U348" s="51">
        <v>0</v>
      </c>
      <c r="V348" s="52">
        <f t="shared" si="13"/>
        <v>0</v>
      </c>
      <c r="W348" s="51" t="s">
        <v>221</v>
      </c>
      <c r="X348" s="198" t="s">
        <v>2879</v>
      </c>
      <c r="Y348" s="199" t="s">
        <v>2880</v>
      </c>
      <c r="Z348" s="169"/>
      <c r="AA348" s="170" t="s">
        <v>1177</v>
      </c>
      <c r="AB348" s="243" t="s">
        <v>1178</v>
      </c>
      <c r="AC348" s="172">
        <v>10815</v>
      </c>
      <c r="AE348" s="137" t="s">
        <v>2776</v>
      </c>
      <c r="AF348" s="138"/>
      <c r="AG348" s="138" t="s">
        <v>56</v>
      </c>
      <c r="AH348" s="138" t="s">
        <v>86</v>
      </c>
      <c r="AI348" s="138"/>
      <c r="AJ348" s="138"/>
      <c r="AK348" s="138"/>
      <c r="AL348" s="138"/>
    </row>
    <row r="349" spans="1:38" s="200" customFormat="1" ht="30" customHeight="1" x14ac:dyDescent="0.25">
      <c r="A349" s="14">
        <v>45975</v>
      </c>
      <c r="B349" s="95" t="s">
        <v>2881</v>
      </c>
      <c r="C349" s="95" t="s">
        <v>2882</v>
      </c>
      <c r="D349" s="95"/>
      <c r="E349" s="96" t="s">
        <v>39</v>
      </c>
      <c r="F349" s="19">
        <v>1</v>
      </c>
      <c r="G349" s="97"/>
      <c r="H349" s="97"/>
      <c r="I349" s="245" t="s">
        <v>2883</v>
      </c>
      <c r="J349" s="98">
        <v>50</v>
      </c>
      <c r="K349" s="270" t="s">
        <v>2884</v>
      </c>
      <c r="L349" s="100" t="s">
        <v>63</v>
      </c>
      <c r="M349" s="100" t="s">
        <v>42</v>
      </c>
      <c r="N349" s="101" t="s">
        <v>240</v>
      </c>
      <c r="O349" s="102" t="s">
        <v>2885</v>
      </c>
      <c r="P349" s="102" t="s">
        <v>2886</v>
      </c>
      <c r="Q349" s="102" t="s">
        <v>2887</v>
      </c>
      <c r="R349" s="103">
        <v>38</v>
      </c>
      <c r="S349" s="103">
        <v>174</v>
      </c>
      <c r="T349" s="96" t="s">
        <v>47</v>
      </c>
      <c r="U349" s="96">
        <v>0</v>
      </c>
      <c r="V349" s="104">
        <f t="shared" si="13"/>
        <v>0</v>
      </c>
      <c r="W349" s="96" t="s">
        <v>350</v>
      </c>
      <c r="X349" s="271" t="s">
        <v>905</v>
      </c>
      <c r="Y349" s="199" t="s">
        <v>50</v>
      </c>
      <c r="Z349" s="169"/>
      <c r="AA349" s="170" t="s">
        <v>2888</v>
      </c>
      <c r="AB349" s="243" t="s">
        <v>2889</v>
      </c>
      <c r="AC349" s="172">
        <v>8660</v>
      </c>
      <c r="AE349" s="137" t="s">
        <v>2776</v>
      </c>
      <c r="AF349" s="138"/>
      <c r="AG349" s="138" t="s">
        <v>56</v>
      </c>
      <c r="AH349" s="138" t="s">
        <v>56</v>
      </c>
      <c r="AI349" s="138"/>
      <c r="AJ349" s="138" t="s">
        <v>56</v>
      </c>
      <c r="AK349" s="138" t="s">
        <v>2284</v>
      </c>
      <c r="AL349" s="203" t="s">
        <v>2865</v>
      </c>
    </row>
    <row r="350" spans="1:38" s="200" customFormat="1" ht="45.75" customHeight="1" x14ac:dyDescent="0.25">
      <c r="A350" s="14">
        <v>45975</v>
      </c>
      <c r="B350" s="95" t="s">
        <v>2890</v>
      </c>
      <c r="C350" s="95" t="s">
        <v>2891</v>
      </c>
      <c r="D350" s="95" t="s">
        <v>2892</v>
      </c>
      <c r="E350" s="96" t="s">
        <v>39</v>
      </c>
      <c r="F350" s="19">
        <v>1</v>
      </c>
      <c r="G350" s="97"/>
      <c r="H350" s="97"/>
      <c r="I350" s="245" t="s">
        <v>2893</v>
      </c>
      <c r="J350" s="98">
        <v>15</v>
      </c>
      <c r="K350" s="270" t="s">
        <v>2884</v>
      </c>
      <c r="L350" s="103" t="s">
        <v>63</v>
      </c>
      <c r="M350" s="100" t="s">
        <v>42</v>
      </c>
      <c r="N350" s="101" t="s">
        <v>2894</v>
      </c>
      <c r="O350" s="102" t="s">
        <v>2895</v>
      </c>
      <c r="P350" s="102" t="s">
        <v>2896</v>
      </c>
      <c r="Q350" s="102" t="s">
        <v>2897</v>
      </c>
      <c r="R350" s="103">
        <v>84</v>
      </c>
      <c r="S350" s="103">
        <v>690</v>
      </c>
      <c r="T350" s="96" t="s">
        <v>47</v>
      </c>
      <c r="U350" s="96">
        <v>1</v>
      </c>
      <c r="V350" s="104">
        <f t="shared" si="13"/>
        <v>15</v>
      </c>
      <c r="W350" s="96" t="s">
        <v>350</v>
      </c>
      <c r="X350" s="198" t="s">
        <v>2898</v>
      </c>
      <c r="Y350" s="199" t="s">
        <v>50</v>
      </c>
      <c r="Z350" s="169"/>
      <c r="AA350" s="170" t="s">
        <v>2899</v>
      </c>
      <c r="AB350" s="243" t="s">
        <v>2900</v>
      </c>
      <c r="AC350" s="172">
        <v>8678.5</v>
      </c>
      <c r="AE350" s="137" t="s">
        <v>148</v>
      </c>
      <c r="AF350" s="138" t="s">
        <v>354</v>
      </c>
      <c r="AG350" s="138" t="s">
        <v>56</v>
      </c>
      <c r="AH350" s="138" t="s">
        <v>56</v>
      </c>
      <c r="AI350" s="138"/>
      <c r="AJ350" s="138"/>
      <c r="AK350" s="138"/>
      <c r="AL350" s="138"/>
    </row>
    <row r="351" spans="1:38" s="200" customFormat="1" ht="30" customHeight="1" x14ac:dyDescent="0.25">
      <c r="A351" s="14">
        <v>45975</v>
      </c>
      <c r="B351" s="95" t="s">
        <v>2901</v>
      </c>
      <c r="C351" s="95" t="s">
        <v>2902</v>
      </c>
      <c r="D351" s="95" t="s">
        <v>2903</v>
      </c>
      <c r="E351" s="96" t="s">
        <v>39</v>
      </c>
      <c r="F351" s="97"/>
      <c r="G351" s="19">
        <v>1</v>
      </c>
      <c r="H351" s="97"/>
      <c r="I351" s="245" t="s">
        <v>2904</v>
      </c>
      <c r="J351" s="98">
        <v>20</v>
      </c>
      <c r="K351" s="99" t="s">
        <v>2884</v>
      </c>
      <c r="L351" s="100" t="s">
        <v>63</v>
      </c>
      <c r="M351" s="100" t="s">
        <v>42</v>
      </c>
      <c r="N351" s="101" t="s">
        <v>2905</v>
      </c>
      <c r="O351" s="102"/>
      <c r="P351" s="102" t="s">
        <v>2906</v>
      </c>
      <c r="Q351" s="102" t="s">
        <v>2830</v>
      </c>
      <c r="R351" s="103">
        <v>42</v>
      </c>
      <c r="S351" s="103">
        <v>316</v>
      </c>
      <c r="T351" s="96" t="s">
        <v>96</v>
      </c>
      <c r="U351" s="96">
        <v>86</v>
      </c>
      <c r="V351" s="75">
        <f t="shared" si="13"/>
        <v>1720</v>
      </c>
      <c r="W351" s="96" t="s">
        <v>48</v>
      </c>
      <c r="X351" s="198" t="s">
        <v>2907</v>
      </c>
      <c r="Y351" s="199" t="s">
        <v>50</v>
      </c>
      <c r="Z351" s="169"/>
      <c r="AA351" s="170" t="s">
        <v>2734</v>
      </c>
      <c r="AB351" s="243" t="s">
        <v>2735</v>
      </c>
      <c r="AC351" s="172">
        <v>7506</v>
      </c>
      <c r="AE351" s="137" t="s">
        <v>2776</v>
      </c>
      <c r="AF351" s="138"/>
      <c r="AG351" s="138" t="s">
        <v>56</v>
      </c>
      <c r="AH351" s="138" t="s">
        <v>56</v>
      </c>
      <c r="AI351" s="138"/>
      <c r="AJ351" s="138" t="s">
        <v>56</v>
      </c>
      <c r="AK351" s="138" t="s">
        <v>74</v>
      </c>
      <c r="AL351" s="138"/>
    </row>
    <row r="352" spans="1:38" s="200" customFormat="1" ht="51" customHeight="1" x14ac:dyDescent="0.25">
      <c r="A352" s="14">
        <v>45973</v>
      </c>
      <c r="B352" s="95" t="s">
        <v>2908</v>
      </c>
      <c r="C352" s="272" t="s">
        <v>2909</v>
      </c>
      <c r="D352" s="95" t="s">
        <v>2910</v>
      </c>
      <c r="E352" s="96" t="s">
        <v>39</v>
      </c>
      <c r="F352" s="19">
        <v>1</v>
      </c>
      <c r="G352" s="97"/>
      <c r="H352" s="97"/>
      <c r="I352" s="245" t="s">
        <v>9886</v>
      </c>
      <c r="J352" s="98">
        <v>2</v>
      </c>
      <c r="K352" s="99" t="s">
        <v>2911</v>
      </c>
      <c r="L352" s="100" t="s">
        <v>63</v>
      </c>
      <c r="M352" s="100" t="s">
        <v>42</v>
      </c>
      <c r="N352" s="101" t="s">
        <v>2912</v>
      </c>
      <c r="O352" s="102" t="s">
        <v>2913</v>
      </c>
      <c r="P352" s="102" t="s">
        <v>2914</v>
      </c>
      <c r="Q352" s="102" t="s">
        <v>2915</v>
      </c>
      <c r="R352" s="103">
        <v>80</v>
      </c>
      <c r="S352" s="103">
        <v>310</v>
      </c>
      <c r="T352" s="96" t="s">
        <v>47</v>
      </c>
      <c r="U352" s="96">
        <v>11</v>
      </c>
      <c r="V352" s="75">
        <f t="shared" si="13"/>
        <v>22</v>
      </c>
      <c r="W352" s="96" t="s">
        <v>350</v>
      </c>
      <c r="X352" s="198" t="s">
        <v>1935</v>
      </c>
      <c r="Y352" s="199" t="s">
        <v>70</v>
      </c>
      <c r="Z352" s="169" t="s">
        <v>645</v>
      </c>
      <c r="AA352" s="170" t="s">
        <v>2774</v>
      </c>
      <c r="AB352" s="243" t="s">
        <v>2775</v>
      </c>
      <c r="AC352" s="35">
        <f>51994*J352/200</f>
        <v>519.94000000000005</v>
      </c>
      <c r="AE352" s="137" t="s">
        <v>2776</v>
      </c>
      <c r="AF352" s="138"/>
      <c r="AG352" s="138" t="s">
        <v>56</v>
      </c>
      <c r="AH352" s="138" t="s">
        <v>626</v>
      </c>
      <c r="AI352" s="138"/>
      <c r="AJ352" s="138" t="s">
        <v>56</v>
      </c>
      <c r="AK352" s="138" t="s">
        <v>2284</v>
      </c>
      <c r="AL352" s="138"/>
    </row>
    <row r="353" spans="1:38" ht="276.75" x14ac:dyDescent="0.25">
      <c r="A353" s="14">
        <v>45973</v>
      </c>
      <c r="B353" s="41" t="s">
        <v>2916</v>
      </c>
      <c r="C353" s="41" t="s">
        <v>2917</v>
      </c>
      <c r="D353" s="273" t="s">
        <v>2918</v>
      </c>
      <c r="E353" s="42" t="s">
        <v>39</v>
      </c>
      <c r="F353" s="43"/>
      <c r="G353" s="43"/>
      <c r="H353" s="19">
        <v>1</v>
      </c>
      <c r="I353" s="245" t="s">
        <v>9887</v>
      </c>
      <c r="J353" s="45">
        <v>1</v>
      </c>
      <c r="K353" s="46" t="s">
        <v>2919</v>
      </c>
      <c r="L353" s="47" t="s">
        <v>63</v>
      </c>
      <c r="M353" s="73" t="s">
        <v>42</v>
      </c>
      <c r="N353" s="77" t="s">
        <v>2920</v>
      </c>
      <c r="O353" s="49" t="s">
        <v>2921</v>
      </c>
      <c r="P353" s="49" t="s">
        <v>2922</v>
      </c>
      <c r="Q353" s="49" t="s">
        <v>2923</v>
      </c>
      <c r="R353" s="50">
        <v>61</v>
      </c>
      <c r="S353" s="50">
        <v>400</v>
      </c>
      <c r="T353" s="51" t="s">
        <v>47</v>
      </c>
      <c r="U353" s="51">
        <v>0</v>
      </c>
      <c r="V353" s="52">
        <f t="shared" si="13"/>
        <v>0</v>
      </c>
      <c r="W353" s="51" t="s">
        <v>350</v>
      </c>
      <c r="X353" s="198" t="s">
        <v>2924</v>
      </c>
      <c r="Y353" s="168" t="s">
        <v>82</v>
      </c>
      <c r="Z353" s="169" t="s">
        <v>645</v>
      </c>
      <c r="AA353" s="170" t="s">
        <v>2925</v>
      </c>
      <c r="AB353" s="243" t="s">
        <v>2567</v>
      </c>
      <c r="AC353" s="35">
        <f>(6351.75*J353/45)+383+885</f>
        <v>1409.15</v>
      </c>
      <c r="AE353" s="137" t="s">
        <v>148</v>
      </c>
      <c r="AF353" s="138" t="s">
        <v>354</v>
      </c>
      <c r="AG353" s="138" t="s">
        <v>56</v>
      </c>
      <c r="AH353" s="138" t="s">
        <v>56</v>
      </c>
      <c r="AI353" s="138"/>
      <c r="AJ353" s="138" t="s">
        <v>56</v>
      </c>
      <c r="AK353" s="138" t="s">
        <v>2284</v>
      </c>
      <c r="AL353" s="251" t="s">
        <v>2926</v>
      </c>
    </row>
    <row r="354" spans="1:38" s="200" customFormat="1" ht="51" x14ac:dyDescent="0.25">
      <c r="A354" s="14">
        <v>45973</v>
      </c>
      <c r="B354" s="41" t="s">
        <v>2927</v>
      </c>
      <c r="C354" s="41" t="s">
        <v>2928</v>
      </c>
      <c r="D354" s="41" t="s">
        <v>2929</v>
      </c>
      <c r="E354" s="42" t="s">
        <v>2399</v>
      </c>
      <c r="F354" s="43"/>
      <c r="G354" s="43"/>
      <c r="H354" s="43"/>
      <c r="I354" s="245" t="s">
        <v>9862</v>
      </c>
      <c r="J354" s="45">
        <v>40</v>
      </c>
      <c r="K354" s="46" t="s">
        <v>9259</v>
      </c>
      <c r="L354" s="47" t="s">
        <v>42</v>
      </c>
      <c r="M354" s="42" t="s">
        <v>55</v>
      </c>
      <c r="N354" s="77" t="s">
        <v>2930</v>
      </c>
      <c r="O354" s="49"/>
      <c r="P354" s="49"/>
      <c r="Q354" s="49"/>
      <c r="R354" s="50">
        <v>0</v>
      </c>
      <c r="S354" s="50">
        <v>0</v>
      </c>
      <c r="T354" s="51">
        <v>0</v>
      </c>
      <c r="U354" s="51">
        <v>39</v>
      </c>
      <c r="V354" s="52">
        <f t="shared" si="13"/>
        <v>1560</v>
      </c>
      <c r="W354" s="51" t="s">
        <v>350</v>
      </c>
      <c r="X354" s="198" t="s">
        <v>2931</v>
      </c>
      <c r="Y354" s="199" t="s">
        <v>144</v>
      </c>
      <c r="Z354" s="169"/>
      <c r="AA354" s="170"/>
      <c r="AB354" s="243" t="s">
        <v>2932</v>
      </c>
      <c r="AC354" s="172"/>
      <c r="AE354" s="137" t="s">
        <v>1295</v>
      </c>
      <c r="AF354" s="138"/>
      <c r="AG354" s="138"/>
      <c r="AH354" s="138"/>
      <c r="AI354" s="138"/>
      <c r="AJ354" s="138"/>
      <c r="AK354" s="138"/>
      <c r="AL354" s="138"/>
    </row>
    <row r="355" spans="1:38" s="200" customFormat="1" ht="105" x14ac:dyDescent="0.25">
      <c r="A355" s="14">
        <v>45973</v>
      </c>
      <c r="B355" s="41" t="s">
        <v>2933</v>
      </c>
      <c r="C355" s="41" t="s">
        <v>2934</v>
      </c>
      <c r="D355" s="41"/>
      <c r="E355" s="42" t="s">
        <v>1379</v>
      </c>
      <c r="F355" s="43"/>
      <c r="G355" s="43"/>
      <c r="H355" s="19">
        <v>1</v>
      </c>
      <c r="I355" s="245" t="s">
        <v>2935</v>
      </c>
      <c r="J355" s="45">
        <v>50</v>
      </c>
      <c r="K355" s="46" t="s">
        <v>10009</v>
      </c>
      <c r="L355" s="47" t="s">
        <v>63</v>
      </c>
      <c r="M355" s="73" t="s">
        <v>42</v>
      </c>
      <c r="N355" s="77" t="s">
        <v>2936</v>
      </c>
      <c r="O355" s="49" t="s">
        <v>2937</v>
      </c>
      <c r="P355" s="49" t="s">
        <v>2938</v>
      </c>
      <c r="Q355" s="49" t="s">
        <v>2939</v>
      </c>
      <c r="R355" s="50">
        <v>45</v>
      </c>
      <c r="S355" s="50">
        <v>102</v>
      </c>
      <c r="T355" s="51" t="s">
        <v>47</v>
      </c>
      <c r="U355" s="51">
        <v>3</v>
      </c>
      <c r="V355" s="52">
        <f t="shared" si="13"/>
        <v>150</v>
      </c>
      <c r="W355" s="51" t="s">
        <v>350</v>
      </c>
      <c r="X355" s="198" t="s">
        <v>2384</v>
      </c>
      <c r="Y355" s="199" t="s">
        <v>50</v>
      </c>
      <c r="Z355" s="169"/>
      <c r="AA355" s="170" t="s">
        <v>2774</v>
      </c>
      <c r="AB355" s="243" t="s">
        <v>2775</v>
      </c>
      <c r="AC355" s="172">
        <v>3156</v>
      </c>
      <c r="AE355" s="137" t="s">
        <v>148</v>
      </c>
      <c r="AF355" s="138"/>
      <c r="AG355" s="138" t="s">
        <v>56</v>
      </c>
      <c r="AH355" s="138" t="s">
        <v>56</v>
      </c>
      <c r="AI355" s="138"/>
      <c r="AJ355" s="138" t="s">
        <v>56</v>
      </c>
      <c r="AK355" s="138" t="s">
        <v>2284</v>
      </c>
      <c r="AL355" s="138"/>
    </row>
    <row r="356" spans="1:38" s="200" customFormat="1" ht="105" x14ac:dyDescent="0.25">
      <c r="A356" s="14">
        <v>45973</v>
      </c>
      <c r="B356" s="41" t="s">
        <v>2940</v>
      </c>
      <c r="C356" s="41" t="s">
        <v>2941</v>
      </c>
      <c r="D356" s="41"/>
      <c r="E356" s="42" t="s">
        <v>39</v>
      </c>
      <c r="F356" s="43"/>
      <c r="G356" s="43"/>
      <c r="H356" s="19">
        <v>1</v>
      </c>
      <c r="I356" s="245" t="s">
        <v>2942</v>
      </c>
      <c r="J356" s="45">
        <v>50</v>
      </c>
      <c r="K356" s="46" t="s">
        <v>10009</v>
      </c>
      <c r="L356" s="47" t="s">
        <v>63</v>
      </c>
      <c r="M356" s="73" t="s">
        <v>42</v>
      </c>
      <c r="N356" s="77" t="s">
        <v>2943</v>
      </c>
      <c r="O356" s="49" t="s">
        <v>2944</v>
      </c>
      <c r="P356" s="49" t="s">
        <v>2945</v>
      </c>
      <c r="Q356" s="49" t="s">
        <v>2946</v>
      </c>
      <c r="R356" s="50">
        <v>45</v>
      </c>
      <c r="S356" s="50">
        <v>102</v>
      </c>
      <c r="T356" s="51" t="s">
        <v>47</v>
      </c>
      <c r="U356" s="51">
        <v>3</v>
      </c>
      <c r="V356" s="52">
        <f t="shared" si="13"/>
        <v>150</v>
      </c>
      <c r="W356" s="51" t="s">
        <v>350</v>
      </c>
      <c r="X356" s="198" t="s">
        <v>2384</v>
      </c>
      <c r="Y356" s="199" t="s">
        <v>50</v>
      </c>
      <c r="Z356" s="169"/>
      <c r="AA356" s="170" t="s">
        <v>1701</v>
      </c>
      <c r="AB356" s="243" t="s">
        <v>2594</v>
      </c>
      <c r="AC356" s="172">
        <v>3156</v>
      </c>
      <c r="AE356" s="137" t="s">
        <v>148</v>
      </c>
      <c r="AF356" s="138"/>
      <c r="AG356" s="138" t="s">
        <v>56</v>
      </c>
      <c r="AH356" s="138" t="s">
        <v>56</v>
      </c>
      <c r="AI356" s="138"/>
      <c r="AJ356" s="138" t="s">
        <v>56</v>
      </c>
      <c r="AK356" s="138" t="s">
        <v>74</v>
      </c>
      <c r="AL356" s="138"/>
    </row>
    <row r="357" spans="1:38" s="200" customFormat="1" ht="30" customHeight="1" x14ac:dyDescent="0.25">
      <c r="A357" s="14">
        <v>45973</v>
      </c>
      <c r="B357" s="41" t="s">
        <v>2947</v>
      </c>
      <c r="C357" s="41" t="s">
        <v>2948</v>
      </c>
      <c r="D357" s="41"/>
      <c r="E357" s="42" t="s">
        <v>195</v>
      </c>
      <c r="F357" s="43"/>
      <c r="G357" s="43"/>
      <c r="H357" s="43"/>
      <c r="I357" s="245" t="s">
        <v>2949</v>
      </c>
      <c r="J357" s="45">
        <v>150</v>
      </c>
      <c r="K357" s="46" t="s">
        <v>2950</v>
      </c>
      <c r="L357" s="47" t="s">
        <v>42</v>
      </c>
      <c r="M357" s="205" t="s">
        <v>55</v>
      </c>
      <c r="N357" s="77" t="s">
        <v>2951</v>
      </c>
      <c r="O357" s="49"/>
      <c r="P357" s="49"/>
      <c r="Q357" s="49"/>
      <c r="R357" s="50">
        <v>0</v>
      </c>
      <c r="S357" s="50">
        <v>0</v>
      </c>
      <c r="T357" s="51">
        <v>0</v>
      </c>
      <c r="U357" s="51">
        <v>2</v>
      </c>
      <c r="V357" s="52">
        <f t="shared" si="13"/>
        <v>300</v>
      </c>
      <c r="W357" s="51" t="s">
        <v>221</v>
      </c>
      <c r="X357" s="198" t="s">
        <v>2952</v>
      </c>
      <c r="Y357" s="199" t="s">
        <v>82</v>
      </c>
      <c r="Z357" s="169"/>
      <c r="AA357" s="170" t="s">
        <v>2953</v>
      </c>
      <c r="AB357" s="243" t="s">
        <v>2559</v>
      </c>
      <c r="AC357" s="172">
        <v>3465</v>
      </c>
      <c r="AE357" s="137" t="s">
        <v>2776</v>
      </c>
      <c r="AF357" s="138"/>
      <c r="AG357" s="138" t="s">
        <v>56</v>
      </c>
      <c r="AH357" s="138" t="s">
        <v>626</v>
      </c>
      <c r="AI357" s="138"/>
      <c r="AJ357" s="138" t="s">
        <v>56</v>
      </c>
      <c r="AK357" s="222" t="s">
        <v>74</v>
      </c>
      <c r="AL357" s="138"/>
    </row>
    <row r="358" spans="1:38" s="200" customFormat="1" ht="63" customHeight="1" x14ac:dyDescent="0.25">
      <c r="A358" s="14">
        <v>45973</v>
      </c>
      <c r="B358" s="95" t="s">
        <v>2954</v>
      </c>
      <c r="C358" s="95" t="s">
        <v>2955</v>
      </c>
      <c r="D358" s="95" t="s">
        <v>2956</v>
      </c>
      <c r="E358" s="96" t="s">
        <v>39</v>
      </c>
      <c r="F358" s="97"/>
      <c r="G358" s="97"/>
      <c r="H358" s="19">
        <v>1</v>
      </c>
      <c r="I358" s="245" t="s">
        <v>2957</v>
      </c>
      <c r="J358" s="98">
        <v>25</v>
      </c>
      <c r="K358" s="270" t="s">
        <v>2958</v>
      </c>
      <c r="L358" s="100" t="s">
        <v>63</v>
      </c>
      <c r="M358" s="100" t="s">
        <v>42</v>
      </c>
      <c r="N358" s="1426" t="s">
        <v>2959</v>
      </c>
      <c r="O358" s="102"/>
      <c r="P358" s="102" t="s">
        <v>2960</v>
      </c>
      <c r="Q358" s="102" t="s">
        <v>2961</v>
      </c>
      <c r="R358" s="103">
        <v>57</v>
      </c>
      <c r="S358" s="103">
        <v>141</v>
      </c>
      <c r="T358" s="96" t="s">
        <v>96</v>
      </c>
      <c r="U358" s="96">
        <v>20</v>
      </c>
      <c r="V358" s="75">
        <f t="shared" si="13"/>
        <v>500</v>
      </c>
      <c r="W358" s="96" t="s">
        <v>350</v>
      </c>
      <c r="X358" s="271" t="s">
        <v>905</v>
      </c>
      <c r="Y358" s="199" t="s">
        <v>50</v>
      </c>
      <c r="Z358" s="169" t="s">
        <v>2962</v>
      </c>
      <c r="AA358" s="170" t="s">
        <v>2888</v>
      </c>
      <c r="AB358" s="243" t="s">
        <v>2473</v>
      </c>
      <c r="AC358" s="172">
        <f>6770+880</f>
        <v>7650</v>
      </c>
      <c r="AE358" s="137" t="s">
        <v>2776</v>
      </c>
      <c r="AF358" s="138"/>
      <c r="AG358" s="138" t="s">
        <v>56</v>
      </c>
      <c r="AH358" s="138" t="s">
        <v>56</v>
      </c>
      <c r="AI358" s="138"/>
      <c r="AJ358" s="138" t="s">
        <v>56</v>
      </c>
      <c r="AK358" s="138" t="s">
        <v>2963</v>
      </c>
      <c r="AL358" s="251" t="s">
        <v>2964</v>
      </c>
    </row>
    <row r="359" spans="1:38" ht="309" x14ac:dyDescent="0.25">
      <c r="A359" s="14">
        <v>45973</v>
      </c>
      <c r="B359" s="95" t="s">
        <v>2965</v>
      </c>
      <c r="C359" s="95" t="s">
        <v>2966</v>
      </c>
      <c r="D359" s="95" t="s">
        <v>2967</v>
      </c>
      <c r="E359" s="96" t="s">
        <v>39</v>
      </c>
      <c r="F359" s="97"/>
      <c r="G359" s="97"/>
      <c r="H359" s="19">
        <v>1</v>
      </c>
      <c r="I359" s="268" t="s">
        <v>2968</v>
      </c>
      <c r="J359" s="98">
        <v>10</v>
      </c>
      <c r="K359" s="270" t="s">
        <v>2958</v>
      </c>
      <c r="L359" s="100" t="s">
        <v>63</v>
      </c>
      <c r="M359" s="100" t="s">
        <v>42</v>
      </c>
      <c r="N359" s="101" t="s">
        <v>2969</v>
      </c>
      <c r="O359" s="102" t="s">
        <v>2970</v>
      </c>
      <c r="P359" s="102" t="s">
        <v>2878</v>
      </c>
      <c r="Q359" s="102" t="s">
        <v>2960</v>
      </c>
      <c r="R359" s="103">
        <v>8</v>
      </c>
      <c r="S359" s="103">
        <v>106</v>
      </c>
      <c r="T359" s="96" t="s">
        <v>47</v>
      </c>
      <c r="U359" s="96">
        <v>68</v>
      </c>
      <c r="V359" s="75">
        <f t="shared" si="13"/>
        <v>680</v>
      </c>
      <c r="W359" s="96" t="s">
        <v>350</v>
      </c>
      <c r="X359" s="258" t="s">
        <v>2971</v>
      </c>
      <c r="Y359" s="168" t="s">
        <v>50</v>
      </c>
      <c r="Z359" s="169" t="s">
        <v>645</v>
      </c>
      <c r="AA359" s="170" t="s">
        <v>2972</v>
      </c>
      <c r="AB359" s="243" t="s">
        <v>2973</v>
      </c>
      <c r="AC359" s="172">
        <v>7942</v>
      </c>
      <c r="AE359" s="137" t="s">
        <v>148</v>
      </c>
      <c r="AF359" s="138"/>
      <c r="AG359" s="138" t="s">
        <v>56</v>
      </c>
      <c r="AH359" s="138" t="s">
        <v>56</v>
      </c>
      <c r="AI359" s="138"/>
      <c r="AJ359" s="138" t="s">
        <v>56</v>
      </c>
      <c r="AK359" s="138" t="s">
        <v>74</v>
      </c>
      <c r="AL359" s="222"/>
    </row>
    <row r="360" spans="1:38" ht="83.25" customHeight="1" x14ac:dyDescent="0.25">
      <c r="A360" s="14">
        <v>45973</v>
      </c>
      <c r="B360" s="41" t="s">
        <v>2974</v>
      </c>
      <c r="C360" s="41" t="s">
        <v>2975</v>
      </c>
      <c r="D360" s="204" t="s">
        <v>2976</v>
      </c>
      <c r="E360" s="42" t="s">
        <v>39</v>
      </c>
      <c r="F360" s="43"/>
      <c r="G360" s="19">
        <v>1</v>
      </c>
      <c r="H360" s="43"/>
      <c r="I360" s="245" t="s">
        <v>2977</v>
      </c>
      <c r="J360" s="45">
        <v>1</v>
      </c>
      <c r="K360" s="46" t="s">
        <v>2978</v>
      </c>
      <c r="L360" s="50" t="s">
        <v>63</v>
      </c>
      <c r="M360" s="73" t="s">
        <v>42</v>
      </c>
      <c r="N360" s="77" t="s">
        <v>2979</v>
      </c>
      <c r="O360" s="49" t="s">
        <v>2913</v>
      </c>
      <c r="P360" s="49" t="s">
        <v>2980</v>
      </c>
      <c r="Q360" s="49" t="s">
        <v>2981</v>
      </c>
      <c r="R360" s="50">
        <v>24</v>
      </c>
      <c r="S360" s="50">
        <v>454</v>
      </c>
      <c r="T360" s="51" t="s">
        <v>47</v>
      </c>
      <c r="U360" s="51">
        <v>11</v>
      </c>
      <c r="V360" s="52">
        <f t="shared" si="13"/>
        <v>11</v>
      </c>
      <c r="W360" s="51" t="s">
        <v>2982</v>
      </c>
      <c r="X360" s="198" t="s">
        <v>2983</v>
      </c>
      <c r="Y360" s="168" t="s">
        <v>324</v>
      </c>
      <c r="Z360" s="169"/>
      <c r="AA360" s="170" t="s">
        <v>2984</v>
      </c>
      <c r="AB360" s="243" t="s">
        <v>2985</v>
      </c>
      <c r="AC360" s="172">
        <v>3755</v>
      </c>
      <c r="AE360" s="137" t="s">
        <v>2776</v>
      </c>
      <c r="AF360" s="138"/>
      <c r="AG360" s="138" t="s">
        <v>56</v>
      </c>
      <c r="AH360" s="138" t="s">
        <v>56</v>
      </c>
      <c r="AI360" s="138"/>
      <c r="AJ360" s="138"/>
      <c r="AK360" s="138"/>
      <c r="AL360" s="222"/>
    </row>
    <row r="361" spans="1:38" ht="166.5" customHeight="1" x14ac:dyDescent="0.25">
      <c r="A361" s="14">
        <v>45973</v>
      </c>
      <c r="B361" s="41" t="s">
        <v>2986</v>
      </c>
      <c r="C361" s="41" t="s">
        <v>2987</v>
      </c>
      <c r="D361" s="41"/>
      <c r="E361" s="42" t="s">
        <v>39</v>
      </c>
      <c r="F361" s="43"/>
      <c r="G361" s="19">
        <v>2</v>
      </c>
      <c r="H361" s="43"/>
      <c r="I361" s="245" t="s">
        <v>2988</v>
      </c>
      <c r="J361" s="45">
        <v>1</v>
      </c>
      <c r="K361" s="46" t="s">
        <v>2978</v>
      </c>
      <c r="L361" s="47" t="s">
        <v>63</v>
      </c>
      <c r="M361" s="73" t="s">
        <v>42</v>
      </c>
      <c r="N361" s="77" t="s">
        <v>2989</v>
      </c>
      <c r="O361" s="49" t="s">
        <v>2990</v>
      </c>
      <c r="P361" s="49" t="s">
        <v>2991</v>
      </c>
      <c r="Q361" s="49" t="s">
        <v>2992</v>
      </c>
      <c r="R361" s="50">
        <v>11</v>
      </c>
      <c r="S361" s="50">
        <v>177</v>
      </c>
      <c r="T361" s="51" t="s">
        <v>47</v>
      </c>
      <c r="U361" s="51">
        <v>7</v>
      </c>
      <c r="V361" s="52">
        <f t="shared" si="13"/>
        <v>7</v>
      </c>
      <c r="W361" s="51" t="s">
        <v>2982</v>
      </c>
      <c r="X361" s="198" t="s">
        <v>2983</v>
      </c>
      <c r="Y361" s="168" t="s">
        <v>324</v>
      </c>
      <c r="Z361" s="169"/>
      <c r="AA361" s="170" t="s">
        <v>2984</v>
      </c>
      <c r="AB361" s="243" t="s">
        <v>2993</v>
      </c>
      <c r="AC361" s="172">
        <v>2712.45</v>
      </c>
      <c r="AE361" s="137" t="s">
        <v>2776</v>
      </c>
      <c r="AF361" s="138"/>
      <c r="AG361" s="138" t="s">
        <v>56</v>
      </c>
      <c r="AH361" s="138" t="s">
        <v>56</v>
      </c>
      <c r="AI361" s="138"/>
      <c r="AJ361" s="138"/>
      <c r="AK361" s="138"/>
      <c r="AL361" s="222"/>
    </row>
    <row r="362" spans="1:38" ht="300" x14ac:dyDescent="0.25">
      <c r="A362" s="14">
        <v>45973</v>
      </c>
      <c r="B362" s="41" t="s">
        <v>2994</v>
      </c>
      <c r="C362" s="41" t="s">
        <v>2995</v>
      </c>
      <c r="D362" s="41"/>
      <c r="E362" s="42" t="s">
        <v>39</v>
      </c>
      <c r="F362" s="43"/>
      <c r="G362" s="43"/>
      <c r="H362" s="19">
        <v>1</v>
      </c>
      <c r="I362" s="245" t="s">
        <v>2996</v>
      </c>
      <c r="J362" s="45">
        <v>2</v>
      </c>
      <c r="K362" s="46" t="s">
        <v>2997</v>
      </c>
      <c r="L362" s="47" t="s">
        <v>63</v>
      </c>
      <c r="M362" s="73" t="s">
        <v>42</v>
      </c>
      <c r="N362" s="77" t="s">
        <v>2998</v>
      </c>
      <c r="O362" s="49" t="s">
        <v>2999</v>
      </c>
      <c r="P362" s="49" t="s">
        <v>3000</v>
      </c>
      <c r="Q362" s="49" t="s">
        <v>2915</v>
      </c>
      <c r="R362" s="50">
        <v>108</v>
      </c>
      <c r="S362" s="92">
        <v>2307</v>
      </c>
      <c r="T362" s="51" t="s">
        <v>180</v>
      </c>
      <c r="U362" s="51">
        <v>35</v>
      </c>
      <c r="V362" s="52">
        <f t="shared" si="13"/>
        <v>70</v>
      </c>
      <c r="W362" s="51" t="s">
        <v>350</v>
      </c>
      <c r="X362" s="198" t="s">
        <v>210</v>
      </c>
      <c r="Y362" s="168" t="s">
        <v>50</v>
      </c>
      <c r="Z362" s="169" t="s">
        <v>645</v>
      </c>
      <c r="AA362" s="170" t="s">
        <v>2472</v>
      </c>
      <c r="AB362" s="243" t="s">
        <v>2862</v>
      </c>
      <c r="AC362" s="172">
        <v>9156.2800000000007</v>
      </c>
      <c r="AE362" s="137" t="s">
        <v>148</v>
      </c>
      <c r="AF362" s="138"/>
      <c r="AG362" s="138" t="s">
        <v>56</v>
      </c>
      <c r="AH362" s="138" t="s">
        <v>56</v>
      </c>
      <c r="AI362" s="138"/>
      <c r="AJ362" s="138"/>
      <c r="AK362" s="138"/>
      <c r="AL362" s="251" t="s">
        <v>3001</v>
      </c>
    </row>
    <row r="363" spans="1:38" s="200" customFormat="1" ht="45" customHeight="1" x14ac:dyDescent="0.25">
      <c r="A363" s="14">
        <v>45972</v>
      </c>
      <c r="B363" s="41" t="s">
        <v>3002</v>
      </c>
      <c r="C363" s="41" t="s">
        <v>3003</v>
      </c>
      <c r="D363" s="41"/>
      <c r="E363" s="42" t="s">
        <v>39</v>
      </c>
      <c r="F363" s="19">
        <v>1</v>
      </c>
      <c r="G363" s="43"/>
      <c r="H363" s="43"/>
      <c r="I363" s="268" t="s">
        <v>3004</v>
      </c>
      <c r="J363" s="45">
        <v>100</v>
      </c>
      <c r="K363" s="46" t="s">
        <v>3005</v>
      </c>
      <c r="L363" s="47" t="s">
        <v>63</v>
      </c>
      <c r="M363" s="73" t="s">
        <v>42</v>
      </c>
      <c r="N363" s="77" t="s">
        <v>3006</v>
      </c>
      <c r="O363" s="49" t="s">
        <v>3007</v>
      </c>
      <c r="P363" s="49" t="s">
        <v>3008</v>
      </c>
      <c r="Q363" s="49" t="s">
        <v>2939</v>
      </c>
      <c r="R363" s="50">
        <v>85</v>
      </c>
      <c r="S363" s="50">
        <v>205</v>
      </c>
      <c r="T363" s="51" t="s">
        <v>549</v>
      </c>
      <c r="U363" s="51">
        <v>0</v>
      </c>
      <c r="V363" s="52">
        <f t="shared" si="13"/>
        <v>0</v>
      </c>
      <c r="W363" s="51" t="s">
        <v>350</v>
      </c>
      <c r="X363" s="198" t="s">
        <v>1951</v>
      </c>
      <c r="Y363" s="199" t="s">
        <v>82</v>
      </c>
      <c r="Z363" s="169"/>
      <c r="AA363" s="170" t="s">
        <v>2558</v>
      </c>
      <c r="AB363" s="243" t="s">
        <v>3009</v>
      </c>
      <c r="AC363" s="172">
        <v>7706</v>
      </c>
      <c r="AE363" s="137" t="s">
        <v>148</v>
      </c>
      <c r="AF363" s="138"/>
      <c r="AG363" s="138" t="s">
        <v>56</v>
      </c>
      <c r="AH363" s="138" t="s">
        <v>56</v>
      </c>
      <c r="AI363" s="138"/>
      <c r="AJ363" s="138"/>
      <c r="AK363" s="138"/>
      <c r="AL363" s="138" t="s">
        <v>55</v>
      </c>
    </row>
    <row r="364" spans="1:38" ht="300" x14ac:dyDescent="0.25">
      <c r="A364" s="14">
        <v>45972</v>
      </c>
      <c r="B364" s="41" t="s">
        <v>2994</v>
      </c>
      <c r="C364" s="41" t="s">
        <v>2995</v>
      </c>
      <c r="D364" s="41"/>
      <c r="E364" s="42" t="s">
        <v>39</v>
      </c>
      <c r="F364" s="43"/>
      <c r="G364" s="43"/>
      <c r="H364" s="19">
        <v>1</v>
      </c>
      <c r="I364" s="245" t="s">
        <v>2996</v>
      </c>
      <c r="J364" s="45">
        <v>2</v>
      </c>
      <c r="K364" s="46" t="s">
        <v>2997</v>
      </c>
      <c r="L364" s="47" t="s">
        <v>63</v>
      </c>
      <c r="M364" s="73" t="s">
        <v>42</v>
      </c>
      <c r="N364" s="77" t="s">
        <v>2998</v>
      </c>
      <c r="O364" s="49" t="s">
        <v>2999</v>
      </c>
      <c r="P364" s="49" t="s">
        <v>3000</v>
      </c>
      <c r="Q364" s="49" t="s">
        <v>2915</v>
      </c>
      <c r="R364" s="50">
        <v>108</v>
      </c>
      <c r="S364" s="92">
        <v>2307</v>
      </c>
      <c r="T364" s="51" t="s">
        <v>180</v>
      </c>
      <c r="U364" s="51">
        <v>35</v>
      </c>
      <c r="V364" s="52">
        <f t="shared" si="13"/>
        <v>70</v>
      </c>
      <c r="W364" s="51" t="s">
        <v>350</v>
      </c>
      <c r="X364" s="198" t="s">
        <v>210</v>
      </c>
      <c r="Y364" s="168" t="s">
        <v>50</v>
      </c>
      <c r="Z364" s="169" t="s">
        <v>645</v>
      </c>
      <c r="AA364" s="170" t="s">
        <v>2472</v>
      </c>
      <c r="AB364" s="243" t="s">
        <v>2862</v>
      </c>
      <c r="AC364" s="172">
        <v>9156.2800000000007</v>
      </c>
      <c r="AE364" s="137" t="s">
        <v>148</v>
      </c>
      <c r="AF364" s="138"/>
      <c r="AG364" s="138" t="s">
        <v>56</v>
      </c>
      <c r="AH364" s="138" t="s">
        <v>56</v>
      </c>
      <c r="AI364" s="138"/>
      <c r="AJ364" s="138"/>
      <c r="AK364" s="138"/>
      <c r="AL364" s="251" t="s">
        <v>3001</v>
      </c>
    </row>
    <row r="365" spans="1:38" s="200" customFormat="1" ht="87.75" customHeight="1" x14ac:dyDescent="0.25">
      <c r="A365" s="14">
        <v>45972</v>
      </c>
      <c r="B365" s="41" t="s">
        <v>3010</v>
      </c>
      <c r="C365" s="41" t="s">
        <v>3011</v>
      </c>
      <c r="D365" s="41" t="s">
        <v>3012</v>
      </c>
      <c r="E365" s="42" t="s">
        <v>39</v>
      </c>
      <c r="F365" s="43"/>
      <c r="G365" s="19">
        <v>1</v>
      </c>
      <c r="H365" s="43"/>
      <c r="I365" s="245" t="s">
        <v>3013</v>
      </c>
      <c r="J365" s="45">
        <v>50</v>
      </c>
      <c r="K365" s="46" t="s">
        <v>3014</v>
      </c>
      <c r="L365" s="47" t="s">
        <v>63</v>
      </c>
      <c r="M365" s="73" t="s">
        <v>42</v>
      </c>
      <c r="N365" s="77" t="s">
        <v>3015</v>
      </c>
      <c r="O365" s="49" t="s">
        <v>3016</v>
      </c>
      <c r="P365" s="49" t="s">
        <v>2938</v>
      </c>
      <c r="Q365" s="49" t="s">
        <v>2906</v>
      </c>
      <c r="R365" s="50">
        <v>53</v>
      </c>
      <c r="S365" s="50">
        <v>184</v>
      </c>
      <c r="T365" s="51" t="s">
        <v>47</v>
      </c>
      <c r="U365" s="51">
        <v>3</v>
      </c>
      <c r="V365" s="52">
        <f t="shared" si="13"/>
        <v>150</v>
      </c>
      <c r="W365" s="51" t="s">
        <v>350</v>
      </c>
      <c r="X365" s="198" t="s">
        <v>2384</v>
      </c>
      <c r="Y365" s="199" t="s">
        <v>50</v>
      </c>
      <c r="Z365" s="169"/>
      <c r="AA365" s="170" t="s">
        <v>1701</v>
      </c>
      <c r="AB365" s="243" t="s">
        <v>2775</v>
      </c>
      <c r="AC365" s="172">
        <v>4977.5</v>
      </c>
      <c r="AE365" s="137" t="s">
        <v>2776</v>
      </c>
      <c r="AF365" s="138"/>
      <c r="AG365" s="138" t="s">
        <v>56</v>
      </c>
      <c r="AH365" s="138" t="s">
        <v>56</v>
      </c>
      <c r="AI365" s="138"/>
      <c r="AJ365" s="138" t="s">
        <v>56</v>
      </c>
      <c r="AK365" s="138" t="s">
        <v>74</v>
      </c>
      <c r="AL365" s="138"/>
    </row>
    <row r="366" spans="1:38" s="200" customFormat="1" ht="87.75" customHeight="1" x14ac:dyDescent="0.25">
      <c r="A366" s="14">
        <v>45972</v>
      </c>
      <c r="B366" s="41" t="s">
        <v>3017</v>
      </c>
      <c r="C366" s="41" t="s">
        <v>3018</v>
      </c>
      <c r="D366" s="41" t="s">
        <v>3012</v>
      </c>
      <c r="E366" s="42" t="s">
        <v>39</v>
      </c>
      <c r="F366" s="43"/>
      <c r="G366" s="19">
        <v>1</v>
      </c>
      <c r="H366" s="43"/>
      <c r="I366" s="245" t="s">
        <v>3019</v>
      </c>
      <c r="J366" s="45">
        <v>50</v>
      </c>
      <c r="K366" s="46" t="s">
        <v>3014</v>
      </c>
      <c r="L366" s="47" t="s">
        <v>63</v>
      </c>
      <c r="M366" s="73" t="s">
        <v>42</v>
      </c>
      <c r="N366" s="77" t="s">
        <v>3020</v>
      </c>
      <c r="O366" s="49" t="s">
        <v>3021</v>
      </c>
      <c r="P366" s="49" t="s">
        <v>3022</v>
      </c>
      <c r="Q366" s="49" t="s">
        <v>2938</v>
      </c>
      <c r="R366" s="50">
        <v>53</v>
      </c>
      <c r="S366" s="50">
        <v>184</v>
      </c>
      <c r="T366" s="51" t="s">
        <v>47</v>
      </c>
      <c r="U366" s="51">
        <v>3</v>
      </c>
      <c r="V366" s="52">
        <f t="shared" si="13"/>
        <v>150</v>
      </c>
      <c r="W366" s="51" t="s">
        <v>350</v>
      </c>
      <c r="X366" s="198" t="s">
        <v>2384</v>
      </c>
      <c r="Y366" s="199" t="s">
        <v>50</v>
      </c>
      <c r="Z366" s="169"/>
      <c r="AA366" s="170" t="s">
        <v>1701</v>
      </c>
      <c r="AB366" s="243" t="s">
        <v>2594</v>
      </c>
      <c r="AC366" s="172">
        <v>4977.5</v>
      </c>
      <c r="AE366" s="137" t="s">
        <v>2776</v>
      </c>
      <c r="AF366" s="138"/>
      <c r="AG366" s="138" t="s">
        <v>56</v>
      </c>
      <c r="AH366" s="138" t="s">
        <v>56</v>
      </c>
      <c r="AI366" s="138"/>
      <c r="AJ366" s="138" t="s">
        <v>56</v>
      </c>
      <c r="AK366" s="138" t="s">
        <v>74</v>
      </c>
      <c r="AL366" s="138"/>
    </row>
    <row r="367" spans="1:38" s="200" customFormat="1" ht="37.5" customHeight="1" x14ac:dyDescent="0.25">
      <c r="A367" s="14">
        <v>45971</v>
      </c>
      <c r="B367" s="41" t="s">
        <v>3023</v>
      </c>
      <c r="C367" s="41" t="s">
        <v>3024</v>
      </c>
      <c r="D367" s="41" t="s">
        <v>3025</v>
      </c>
      <c r="E367" s="42" t="s">
        <v>39</v>
      </c>
      <c r="F367" s="43"/>
      <c r="G367" s="19">
        <v>1</v>
      </c>
      <c r="H367" s="43"/>
      <c r="I367" s="245" t="s">
        <v>3026</v>
      </c>
      <c r="J367" s="45">
        <v>100</v>
      </c>
      <c r="K367" s="46" t="s">
        <v>3027</v>
      </c>
      <c r="L367" s="47" t="s">
        <v>63</v>
      </c>
      <c r="M367" s="73" t="s">
        <v>42</v>
      </c>
      <c r="N367" s="77" t="s">
        <v>518</v>
      </c>
      <c r="O367" s="49" t="s">
        <v>3028</v>
      </c>
      <c r="P367" s="49"/>
      <c r="Q367" s="49" t="s">
        <v>3029</v>
      </c>
      <c r="R367" s="50">
        <v>10</v>
      </c>
      <c r="S367" s="50">
        <v>25</v>
      </c>
      <c r="T367" s="51" t="s">
        <v>393</v>
      </c>
      <c r="U367" s="51">
        <v>0</v>
      </c>
      <c r="V367" s="52">
        <f t="shared" si="13"/>
        <v>0</v>
      </c>
      <c r="W367" s="51" t="s">
        <v>350</v>
      </c>
      <c r="X367" s="198" t="s">
        <v>3030</v>
      </c>
      <c r="Y367" s="199" t="s">
        <v>82</v>
      </c>
      <c r="Z367" s="169"/>
      <c r="AA367" s="170" t="s">
        <v>2793</v>
      </c>
      <c r="AB367" s="243" t="s">
        <v>1178</v>
      </c>
      <c r="AC367" s="172">
        <v>3250</v>
      </c>
      <c r="AE367" s="137" t="s">
        <v>148</v>
      </c>
      <c r="AF367" s="138"/>
      <c r="AG367" s="138" t="s">
        <v>56</v>
      </c>
      <c r="AH367" s="138" t="s">
        <v>56</v>
      </c>
      <c r="AI367" s="138"/>
      <c r="AJ367" s="138"/>
      <c r="AK367" s="138"/>
      <c r="AL367" s="138"/>
    </row>
    <row r="368" spans="1:38" s="200" customFormat="1" ht="34.5" customHeight="1" x14ac:dyDescent="0.25">
      <c r="A368" s="14">
        <v>45971</v>
      </c>
      <c r="B368" s="164" t="s">
        <v>3031</v>
      </c>
      <c r="C368" s="41" t="s">
        <v>3032</v>
      </c>
      <c r="D368" s="41"/>
      <c r="E368" s="42" t="s">
        <v>39</v>
      </c>
      <c r="F368" s="43"/>
      <c r="G368" s="43"/>
      <c r="H368" s="19">
        <v>1</v>
      </c>
      <c r="I368" s="245" t="s">
        <v>3033</v>
      </c>
      <c r="J368" s="45">
        <v>5</v>
      </c>
      <c r="K368" s="46" t="s">
        <v>3027</v>
      </c>
      <c r="L368" s="50" t="s">
        <v>63</v>
      </c>
      <c r="M368" s="73" t="s">
        <v>42</v>
      </c>
      <c r="N368" s="77" t="s">
        <v>3034</v>
      </c>
      <c r="O368" s="49"/>
      <c r="P368" s="49" t="s">
        <v>3035</v>
      </c>
      <c r="Q368" s="49" t="s">
        <v>2999</v>
      </c>
      <c r="R368" s="92">
        <v>120</v>
      </c>
      <c r="S368" s="50">
        <v>262</v>
      </c>
      <c r="T368" s="51" t="s">
        <v>67</v>
      </c>
      <c r="U368" s="51">
        <v>20</v>
      </c>
      <c r="V368" s="52">
        <f t="shared" si="13"/>
        <v>100</v>
      </c>
      <c r="W368" s="51" t="s">
        <v>350</v>
      </c>
      <c r="X368" s="202" t="s">
        <v>538</v>
      </c>
      <c r="Y368" s="199" t="s">
        <v>324</v>
      </c>
      <c r="Z368" s="269"/>
      <c r="AA368" s="170" t="s">
        <v>1177</v>
      </c>
      <c r="AB368" s="243" t="s">
        <v>1178</v>
      </c>
      <c r="AC368" s="172">
        <v>7347</v>
      </c>
      <c r="AE368" s="137" t="s">
        <v>148</v>
      </c>
      <c r="AF368" s="138"/>
      <c r="AG368" s="138" t="s">
        <v>56</v>
      </c>
      <c r="AH368" s="138" t="s">
        <v>56</v>
      </c>
      <c r="AI368" s="138"/>
      <c r="AJ368" s="138"/>
      <c r="AK368" s="138"/>
      <c r="AL368" s="138"/>
    </row>
    <row r="369" spans="1:43" s="200" customFormat="1" ht="120" customHeight="1" x14ac:dyDescent="0.25">
      <c r="A369" s="14">
        <v>45971</v>
      </c>
      <c r="B369" s="176" t="s">
        <v>2965</v>
      </c>
      <c r="C369" s="176" t="s">
        <v>3036</v>
      </c>
      <c r="D369" s="176"/>
      <c r="E369" s="178" t="s">
        <v>39</v>
      </c>
      <c r="F369" s="179"/>
      <c r="G369" s="179"/>
      <c r="H369" s="19">
        <v>1</v>
      </c>
      <c r="I369" s="245" t="s">
        <v>3037</v>
      </c>
      <c r="J369" s="180">
        <v>15</v>
      </c>
      <c r="K369" s="274" t="s">
        <v>3038</v>
      </c>
      <c r="L369" s="275" t="s">
        <v>63</v>
      </c>
      <c r="M369" s="275" t="s">
        <v>42</v>
      </c>
      <c r="N369" s="183" t="s">
        <v>3039</v>
      </c>
      <c r="O369" s="184" t="s">
        <v>3007</v>
      </c>
      <c r="P369" s="184" t="s">
        <v>3016</v>
      </c>
      <c r="Q369" s="184" t="s">
        <v>2944</v>
      </c>
      <c r="R369" s="182">
        <v>94</v>
      </c>
      <c r="S369" s="182">
        <v>533</v>
      </c>
      <c r="T369" s="178" t="s">
        <v>180</v>
      </c>
      <c r="U369" s="178">
        <v>10</v>
      </c>
      <c r="V369" s="185">
        <f t="shared" si="13"/>
        <v>150</v>
      </c>
      <c r="W369" s="178" t="s">
        <v>350</v>
      </c>
      <c r="X369" s="198" t="s">
        <v>960</v>
      </c>
      <c r="Y369" s="199" t="s">
        <v>50</v>
      </c>
      <c r="Z369" s="169"/>
      <c r="AA369" s="170" t="s">
        <v>1177</v>
      </c>
      <c r="AB369" s="243" t="s">
        <v>1178</v>
      </c>
      <c r="AC369" s="172">
        <v>15848.3</v>
      </c>
      <c r="AE369" s="137" t="s">
        <v>2776</v>
      </c>
      <c r="AF369" s="138"/>
      <c r="AG369" s="138" t="s">
        <v>56</v>
      </c>
      <c r="AH369" s="138" t="s">
        <v>56</v>
      </c>
      <c r="AI369" s="138"/>
      <c r="AJ369" s="138"/>
      <c r="AK369" s="138"/>
      <c r="AL369" s="138"/>
    </row>
    <row r="370" spans="1:43" ht="180" x14ac:dyDescent="0.25">
      <c r="A370" s="14">
        <v>45971</v>
      </c>
      <c r="B370" s="95" t="s">
        <v>3040</v>
      </c>
      <c r="C370" s="95" t="s">
        <v>3041</v>
      </c>
      <c r="D370" s="95"/>
      <c r="E370" s="96" t="s">
        <v>39</v>
      </c>
      <c r="F370" s="97"/>
      <c r="G370" s="97"/>
      <c r="H370" s="19">
        <v>2</v>
      </c>
      <c r="I370" s="245" t="s">
        <v>3042</v>
      </c>
      <c r="J370" s="98">
        <v>20</v>
      </c>
      <c r="K370" s="270" t="s">
        <v>10008</v>
      </c>
      <c r="L370" s="100" t="s">
        <v>63</v>
      </c>
      <c r="M370" s="100" t="s">
        <v>42</v>
      </c>
      <c r="N370" s="101" t="s">
        <v>3043</v>
      </c>
      <c r="O370" s="102" t="s">
        <v>3044</v>
      </c>
      <c r="P370" s="102" t="s">
        <v>3045</v>
      </c>
      <c r="Q370" s="102" t="s">
        <v>3046</v>
      </c>
      <c r="R370" s="103">
        <v>45</v>
      </c>
      <c r="S370" s="103">
        <v>137</v>
      </c>
      <c r="T370" s="96" t="s">
        <v>47</v>
      </c>
      <c r="U370" s="96">
        <v>23</v>
      </c>
      <c r="V370" s="104">
        <f t="shared" si="13"/>
        <v>460</v>
      </c>
      <c r="W370" s="96" t="s">
        <v>350</v>
      </c>
      <c r="X370" s="198" t="s">
        <v>960</v>
      </c>
      <c r="Y370" s="168" t="s">
        <v>50</v>
      </c>
      <c r="Z370" s="169"/>
      <c r="AA370" s="170" t="s">
        <v>3047</v>
      </c>
      <c r="AB370" s="243" t="s">
        <v>2993</v>
      </c>
      <c r="AC370" s="172">
        <v>3846</v>
      </c>
      <c r="AE370" s="137" t="s">
        <v>2776</v>
      </c>
      <c r="AF370" s="138"/>
      <c r="AG370" s="138" t="s">
        <v>56</v>
      </c>
      <c r="AH370" s="138" t="s">
        <v>56</v>
      </c>
      <c r="AI370" s="138"/>
      <c r="AJ370" s="138" t="s">
        <v>56</v>
      </c>
      <c r="AK370" s="138" t="s">
        <v>74</v>
      </c>
      <c r="AL370" s="222"/>
    </row>
    <row r="371" spans="1:43" s="200" customFormat="1" ht="51" customHeight="1" x14ac:dyDescent="0.25">
      <c r="A371" s="14">
        <v>45971</v>
      </c>
      <c r="B371" s="95" t="s">
        <v>2908</v>
      </c>
      <c r="C371" s="272" t="s">
        <v>2909</v>
      </c>
      <c r="D371" s="95" t="s">
        <v>2910</v>
      </c>
      <c r="E371" s="96" t="s">
        <v>39</v>
      </c>
      <c r="F371" s="19">
        <v>1</v>
      </c>
      <c r="G371" s="97"/>
      <c r="H371" s="97"/>
      <c r="I371" s="245" t="s">
        <v>3048</v>
      </c>
      <c r="J371" s="98">
        <v>198</v>
      </c>
      <c r="K371" s="99" t="s">
        <v>3049</v>
      </c>
      <c r="L371" s="100" t="s">
        <v>63</v>
      </c>
      <c r="M371" s="100" t="s">
        <v>42</v>
      </c>
      <c r="N371" s="101" t="s">
        <v>2912</v>
      </c>
      <c r="O371" s="102" t="s">
        <v>2913</v>
      </c>
      <c r="P371" s="102" t="s">
        <v>2914</v>
      </c>
      <c r="Q371" s="102" t="s">
        <v>2915</v>
      </c>
      <c r="R371" s="103">
        <v>80</v>
      </c>
      <c r="S371" s="103">
        <v>310</v>
      </c>
      <c r="T371" s="96" t="s">
        <v>47</v>
      </c>
      <c r="U371" s="96">
        <v>11</v>
      </c>
      <c r="V371" s="75">
        <f t="shared" si="13"/>
        <v>2178</v>
      </c>
      <c r="W371" s="96" t="s">
        <v>350</v>
      </c>
      <c r="X371" s="198" t="s">
        <v>1935</v>
      </c>
      <c r="Y371" s="199" t="s">
        <v>70</v>
      </c>
      <c r="Z371" s="169" t="s">
        <v>645</v>
      </c>
      <c r="AA371" s="170" t="s">
        <v>2774</v>
      </c>
      <c r="AB371" s="243" t="s">
        <v>2775</v>
      </c>
      <c r="AC371" s="35">
        <f>51994*J371/200</f>
        <v>51474.06</v>
      </c>
      <c r="AE371" s="137" t="s">
        <v>2776</v>
      </c>
      <c r="AF371" s="138"/>
      <c r="AG371" s="138" t="s">
        <v>56</v>
      </c>
      <c r="AH371" s="138" t="s">
        <v>626</v>
      </c>
      <c r="AI371" s="138"/>
      <c r="AJ371" s="138" t="s">
        <v>56</v>
      </c>
      <c r="AK371" s="138" t="s">
        <v>2284</v>
      </c>
      <c r="AL371" s="138"/>
    </row>
    <row r="372" spans="1:43" ht="276.75" x14ac:dyDescent="0.25">
      <c r="A372" s="14">
        <v>45968</v>
      </c>
      <c r="B372" s="41" t="s">
        <v>2916</v>
      </c>
      <c r="C372" s="41" t="s">
        <v>2917</v>
      </c>
      <c r="D372" s="273" t="s">
        <v>3050</v>
      </c>
      <c r="E372" s="42" t="s">
        <v>39</v>
      </c>
      <c r="F372" s="43"/>
      <c r="G372" s="43"/>
      <c r="H372" s="19">
        <v>1</v>
      </c>
      <c r="I372" s="245" t="s">
        <v>3051</v>
      </c>
      <c r="J372" s="45">
        <v>45</v>
      </c>
      <c r="K372" s="46" t="s">
        <v>3052</v>
      </c>
      <c r="L372" s="47" t="s">
        <v>63</v>
      </c>
      <c r="M372" s="73" t="s">
        <v>42</v>
      </c>
      <c r="N372" s="77" t="s">
        <v>2920</v>
      </c>
      <c r="O372" s="49" t="s">
        <v>2921</v>
      </c>
      <c r="P372" s="49" t="s">
        <v>2922</v>
      </c>
      <c r="Q372" s="49" t="s">
        <v>2923</v>
      </c>
      <c r="R372" s="50">
        <v>61</v>
      </c>
      <c r="S372" s="50">
        <v>400</v>
      </c>
      <c r="T372" s="51" t="s">
        <v>47</v>
      </c>
      <c r="U372" s="51">
        <v>0</v>
      </c>
      <c r="V372" s="52">
        <f t="shared" si="13"/>
        <v>0</v>
      </c>
      <c r="W372" s="51" t="s">
        <v>350</v>
      </c>
      <c r="X372" s="198" t="s">
        <v>2924</v>
      </c>
      <c r="Y372" s="168" t="s">
        <v>82</v>
      </c>
      <c r="Z372" s="169" t="s">
        <v>645</v>
      </c>
      <c r="AA372" s="170" t="s">
        <v>2925</v>
      </c>
      <c r="AB372" s="243" t="s">
        <v>2567</v>
      </c>
      <c r="AC372" s="35">
        <f>(6351.75*J372/45)+383+885</f>
        <v>7619.75</v>
      </c>
      <c r="AE372" s="137" t="s">
        <v>148</v>
      </c>
      <c r="AF372" s="138" t="s">
        <v>354</v>
      </c>
      <c r="AG372" s="138" t="s">
        <v>56</v>
      </c>
      <c r="AH372" s="138" t="s">
        <v>56</v>
      </c>
      <c r="AI372" s="138"/>
      <c r="AJ372" s="138" t="s">
        <v>56</v>
      </c>
      <c r="AK372" s="138" t="s">
        <v>2284</v>
      </c>
      <c r="AL372" s="251" t="s">
        <v>2926</v>
      </c>
    </row>
    <row r="373" spans="1:43" s="200" customFormat="1" ht="45" customHeight="1" x14ac:dyDescent="0.25">
      <c r="A373" s="14">
        <v>45968</v>
      </c>
      <c r="B373" s="41" t="s">
        <v>3053</v>
      </c>
      <c r="C373" s="41" t="s">
        <v>3054</v>
      </c>
      <c r="D373" s="41"/>
      <c r="E373" s="42" t="s">
        <v>39</v>
      </c>
      <c r="F373" s="19">
        <v>1</v>
      </c>
      <c r="G373" s="43"/>
      <c r="H373" s="43"/>
      <c r="I373" s="245" t="s">
        <v>3055</v>
      </c>
      <c r="J373" s="45">
        <v>40</v>
      </c>
      <c r="K373" s="46" t="s">
        <v>3052</v>
      </c>
      <c r="L373" s="47" t="s">
        <v>63</v>
      </c>
      <c r="M373" s="73" t="s">
        <v>42</v>
      </c>
      <c r="N373" s="77" t="s">
        <v>3056</v>
      </c>
      <c r="O373" s="49"/>
      <c r="P373" s="49" t="s">
        <v>2923</v>
      </c>
      <c r="Q373" s="49" t="s">
        <v>3057</v>
      </c>
      <c r="R373" s="50">
        <v>3</v>
      </c>
      <c r="S373" s="50">
        <v>5</v>
      </c>
      <c r="T373" s="51" t="s">
        <v>96</v>
      </c>
      <c r="U373" s="51">
        <v>0</v>
      </c>
      <c r="V373" s="52">
        <f t="shared" si="13"/>
        <v>0</v>
      </c>
      <c r="W373" s="51" t="s">
        <v>350</v>
      </c>
      <c r="X373" s="271" t="s">
        <v>905</v>
      </c>
      <c r="Y373" s="199" t="s">
        <v>50</v>
      </c>
      <c r="Z373" s="169"/>
      <c r="AA373" s="170" t="s">
        <v>2984</v>
      </c>
      <c r="AB373" s="243" t="s">
        <v>2985</v>
      </c>
      <c r="AC373" s="172">
        <v>2720</v>
      </c>
      <c r="AE373" s="137" t="s">
        <v>148</v>
      </c>
      <c r="AF373" s="138"/>
      <c r="AG373" s="138" t="s">
        <v>56</v>
      </c>
      <c r="AH373" s="138" t="s">
        <v>56</v>
      </c>
      <c r="AI373" s="138"/>
      <c r="AJ373" s="138"/>
      <c r="AK373" s="138"/>
      <c r="AL373" s="138" t="s">
        <v>55</v>
      </c>
    </row>
    <row r="374" spans="1:43" ht="237" customHeight="1" x14ac:dyDescent="0.25">
      <c r="A374" s="14">
        <v>45968</v>
      </c>
      <c r="B374" s="54" t="s">
        <v>3058</v>
      </c>
      <c r="C374" s="54" t="s">
        <v>3059</v>
      </c>
      <c r="D374" s="276" t="s">
        <v>3060</v>
      </c>
      <c r="E374" s="56" t="s">
        <v>39</v>
      </c>
      <c r="F374" s="57"/>
      <c r="G374" s="57"/>
      <c r="H374" s="19">
        <v>1</v>
      </c>
      <c r="I374" s="245" t="s">
        <v>3061</v>
      </c>
      <c r="J374" s="59">
        <v>50</v>
      </c>
      <c r="K374" s="117" t="s">
        <v>3062</v>
      </c>
      <c r="L374" s="79" t="s">
        <v>63</v>
      </c>
      <c r="M374" s="79" t="s">
        <v>42</v>
      </c>
      <c r="N374" s="80" t="s">
        <v>3063</v>
      </c>
      <c r="O374" s="62" t="s">
        <v>3064</v>
      </c>
      <c r="P374" s="62" t="s">
        <v>3065</v>
      </c>
      <c r="Q374" s="62" t="s">
        <v>2914</v>
      </c>
      <c r="R374" s="92">
        <v>156</v>
      </c>
      <c r="S374" s="92">
        <v>856</v>
      </c>
      <c r="T374" s="56" t="s">
        <v>141</v>
      </c>
      <c r="U374" s="56">
        <v>1</v>
      </c>
      <c r="V374" s="63">
        <f t="shared" si="13"/>
        <v>50</v>
      </c>
      <c r="W374" s="56" t="s">
        <v>350</v>
      </c>
      <c r="X374" s="198" t="s">
        <v>482</v>
      </c>
      <c r="Y374" s="168" t="s">
        <v>50</v>
      </c>
      <c r="Z374" s="169" t="s">
        <v>645</v>
      </c>
      <c r="AA374" s="170" t="s">
        <v>1622</v>
      </c>
      <c r="AB374" s="243" t="s">
        <v>2765</v>
      </c>
      <c r="AC374" s="172">
        <f>25646+2650</f>
        <v>28296</v>
      </c>
      <c r="AE374" s="137" t="s">
        <v>148</v>
      </c>
      <c r="AF374" s="138" t="s">
        <v>354</v>
      </c>
      <c r="AG374" s="138" t="s">
        <v>56</v>
      </c>
      <c r="AH374" s="138" t="s">
        <v>56</v>
      </c>
      <c r="AI374" s="138"/>
      <c r="AJ374" s="138" t="s">
        <v>56</v>
      </c>
      <c r="AK374" s="138" t="s">
        <v>74</v>
      </c>
      <c r="AL374" s="222"/>
    </row>
    <row r="375" spans="1:43" ht="137.25" customHeight="1" x14ac:dyDescent="0.25">
      <c r="A375" s="14">
        <v>45968</v>
      </c>
      <c r="B375" s="41" t="s">
        <v>3066</v>
      </c>
      <c r="C375" s="41" t="s">
        <v>3067</v>
      </c>
      <c r="D375" s="41" t="s">
        <v>3068</v>
      </c>
      <c r="E375" s="42" t="s">
        <v>39</v>
      </c>
      <c r="F375" s="19">
        <v>1</v>
      </c>
      <c r="G375" s="43"/>
      <c r="H375" s="43"/>
      <c r="I375" s="245" t="s">
        <v>3069</v>
      </c>
      <c r="J375" s="45">
        <v>120</v>
      </c>
      <c r="K375" s="46" t="s">
        <v>3070</v>
      </c>
      <c r="L375" s="47" t="s">
        <v>63</v>
      </c>
      <c r="M375" s="73" t="s">
        <v>42</v>
      </c>
      <c r="N375" s="250" t="s">
        <v>3071</v>
      </c>
      <c r="O375" s="49" t="s">
        <v>3072</v>
      </c>
      <c r="P375" s="49" t="s">
        <v>3064</v>
      </c>
      <c r="Q375" s="49" t="s">
        <v>2913</v>
      </c>
      <c r="R375" s="50">
        <v>35</v>
      </c>
      <c r="S375" s="50">
        <v>528</v>
      </c>
      <c r="T375" s="51" t="s">
        <v>47</v>
      </c>
      <c r="U375" s="51">
        <v>3</v>
      </c>
      <c r="V375" s="52">
        <f t="shared" si="13"/>
        <v>360</v>
      </c>
      <c r="W375" s="51" t="s">
        <v>221</v>
      </c>
      <c r="X375" s="202" t="s">
        <v>1189</v>
      </c>
      <c r="Y375" s="199" t="s">
        <v>144</v>
      </c>
      <c r="Z375" s="169" t="s">
        <v>2496</v>
      </c>
      <c r="AA375" s="170" t="s">
        <v>2497</v>
      </c>
      <c r="AB375" s="243" t="s">
        <v>3073</v>
      </c>
      <c r="AC375" s="172">
        <v>17796</v>
      </c>
      <c r="AE375" s="137" t="s">
        <v>3074</v>
      </c>
      <c r="AF375" s="138"/>
      <c r="AG375" s="138" t="s">
        <v>56</v>
      </c>
      <c r="AH375" s="138" t="s">
        <v>86</v>
      </c>
      <c r="AI375" s="138"/>
      <c r="AJ375" s="138" t="s">
        <v>56</v>
      </c>
      <c r="AK375" s="138" t="s">
        <v>2284</v>
      </c>
      <c r="AL375" s="138" t="s">
        <v>55</v>
      </c>
    </row>
    <row r="376" spans="1:43" s="200" customFormat="1" ht="50.25" customHeight="1" x14ac:dyDescent="0.25">
      <c r="A376" s="14">
        <v>45968</v>
      </c>
      <c r="B376" s="41" t="s">
        <v>3075</v>
      </c>
      <c r="C376" s="41" t="s">
        <v>3076</v>
      </c>
      <c r="D376" s="41"/>
      <c r="E376" s="42" t="s">
        <v>195</v>
      </c>
      <c r="F376" s="43"/>
      <c r="G376" s="43"/>
      <c r="H376" s="43"/>
      <c r="I376" s="245" t="s">
        <v>3077</v>
      </c>
      <c r="J376" s="45">
        <v>26</v>
      </c>
      <c r="K376" s="46" t="s">
        <v>3052</v>
      </c>
      <c r="L376" s="47" t="s">
        <v>42</v>
      </c>
      <c r="M376" s="42" t="s">
        <v>55</v>
      </c>
      <c r="N376" s="77" t="s">
        <v>3078</v>
      </c>
      <c r="O376" s="49"/>
      <c r="P376" s="49"/>
      <c r="Q376" s="49"/>
      <c r="R376" s="50">
        <v>0</v>
      </c>
      <c r="S376" s="50">
        <v>0</v>
      </c>
      <c r="T376" s="51">
        <v>0</v>
      </c>
      <c r="U376" s="51">
        <v>22</v>
      </c>
      <c r="V376" s="52">
        <f t="shared" si="13"/>
        <v>572</v>
      </c>
      <c r="W376" s="51" t="s">
        <v>221</v>
      </c>
      <c r="X376" s="198" t="s">
        <v>3079</v>
      </c>
      <c r="Y376" s="199" t="s">
        <v>324</v>
      </c>
      <c r="Z376" s="169"/>
      <c r="AA376" s="170" t="s">
        <v>2793</v>
      </c>
      <c r="AB376" s="243" t="s">
        <v>1178</v>
      </c>
      <c r="AC376" s="172">
        <v>1115.4000000000001</v>
      </c>
      <c r="AE376" s="137" t="s">
        <v>148</v>
      </c>
      <c r="AF376" s="138"/>
      <c r="AG376" s="138" t="s">
        <v>56</v>
      </c>
      <c r="AH376" s="138" t="s">
        <v>626</v>
      </c>
      <c r="AI376" s="138"/>
      <c r="AJ376" s="138" t="s">
        <v>56</v>
      </c>
      <c r="AK376" s="222" t="s">
        <v>304</v>
      </c>
      <c r="AL376" s="138"/>
    </row>
    <row r="377" spans="1:43" s="200" customFormat="1" ht="136.5" customHeight="1" x14ac:dyDescent="0.25">
      <c r="A377" s="14">
        <v>45968</v>
      </c>
      <c r="B377" s="41" t="s">
        <v>3080</v>
      </c>
      <c r="C377" s="41" t="s">
        <v>3081</v>
      </c>
      <c r="D377" s="41" t="s">
        <v>3082</v>
      </c>
      <c r="E377" s="42" t="s">
        <v>39</v>
      </c>
      <c r="F377" s="43"/>
      <c r="G377" s="43"/>
      <c r="H377" s="19">
        <v>1</v>
      </c>
      <c r="I377" s="268" t="s">
        <v>3083</v>
      </c>
      <c r="J377" s="45">
        <v>30</v>
      </c>
      <c r="K377" s="46" t="s">
        <v>3070</v>
      </c>
      <c r="L377" s="47" t="s">
        <v>63</v>
      </c>
      <c r="M377" s="73" t="s">
        <v>42</v>
      </c>
      <c r="N377" s="77" t="s">
        <v>3084</v>
      </c>
      <c r="O377" s="49" t="s">
        <v>3085</v>
      </c>
      <c r="P377" s="49" t="s">
        <v>3086</v>
      </c>
      <c r="Q377" s="49" t="s">
        <v>3087</v>
      </c>
      <c r="R377" s="50">
        <v>68</v>
      </c>
      <c r="S377" s="50">
        <v>464</v>
      </c>
      <c r="T377" s="51" t="s">
        <v>180</v>
      </c>
      <c r="U377" s="51">
        <v>8</v>
      </c>
      <c r="V377" s="52">
        <f t="shared" si="13"/>
        <v>240</v>
      </c>
      <c r="W377" s="51" t="s">
        <v>142</v>
      </c>
      <c r="X377" s="202" t="s">
        <v>1189</v>
      </c>
      <c r="Y377" s="199" t="s">
        <v>1862</v>
      </c>
      <c r="Z377" s="169"/>
      <c r="AA377" s="170" t="s">
        <v>3088</v>
      </c>
      <c r="AB377" s="243" t="s">
        <v>3089</v>
      </c>
      <c r="AC377" s="172">
        <v>7410</v>
      </c>
      <c r="AE377" s="137" t="s">
        <v>3074</v>
      </c>
      <c r="AF377" s="138"/>
      <c r="AG377" s="138" t="s">
        <v>56</v>
      </c>
      <c r="AH377" s="138" t="s">
        <v>86</v>
      </c>
      <c r="AI377" s="138"/>
      <c r="AJ377" s="138" t="s">
        <v>3090</v>
      </c>
      <c r="AK377" s="138" t="s">
        <v>2284</v>
      </c>
      <c r="AL377" s="222" t="s">
        <v>55</v>
      </c>
    </row>
    <row r="378" spans="1:43" s="200" customFormat="1" ht="75" x14ac:dyDescent="0.25">
      <c r="A378" s="14">
        <v>45967</v>
      </c>
      <c r="B378" s="41" t="s">
        <v>3091</v>
      </c>
      <c r="C378" s="41" t="s">
        <v>3092</v>
      </c>
      <c r="D378" s="41" t="s">
        <v>3093</v>
      </c>
      <c r="E378" s="42" t="s">
        <v>39</v>
      </c>
      <c r="F378" s="19">
        <v>3</v>
      </c>
      <c r="G378" s="43"/>
      <c r="H378" s="43"/>
      <c r="I378" s="245" t="s">
        <v>3094</v>
      </c>
      <c r="J378" s="45">
        <v>100</v>
      </c>
      <c r="K378" s="46" t="s">
        <v>3095</v>
      </c>
      <c r="L378" s="47" t="s">
        <v>63</v>
      </c>
      <c r="M378" s="73" t="s">
        <v>42</v>
      </c>
      <c r="N378" s="77" t="s">
        <v>3096</v>
      </c>
      <c r="O378" s="49" t="s">
        <v>3097</v>
      </c>
      <c r="P378" s="49" t="s">
        <v>3098</v>
      </c>
      <c r="Q378" s="49" t="s">
        <v>3099</v>
      </c>
      <c r="R378" s="50">
        <v>12</v>
      </c>
      <c r="S378" s="50">
        <v>20</v>
      </c>
      <c r="T378" s="51" t="s">
        <v>47</v>
      </c>
      <c r="U378" s="51">
        <v>2</v>
      </c>
      <c r="V378" s="52">
        <f t="shared" si="13"/>
        <v>200</v>
      </c>
      <c r="W378" s="51" t="s">
        <v>350</v>
      </c>
      <c r="X378" s="198" t="s">
        <v>3100</v>
      </c>
      <c r="Y378" s="199" t="s">
        <v>82</v>
      </c>
      <c r="Z378" s="169"/>
      <c r="AA378" s="170" t="s">
        <v>2793</v>
      </c>
      <c r="AB378" s="243" t="s">
        <v>2794</v>
      </c>
      <c r="AC378" s="172">
        <v>3165</v>
      </c>
      <c r="AE378" s="137" t="s">
        <v>148</v>
      </c>
      <c r="AF378" s="138"/>
      <c r="AG378" s="138" t="s">
        <v>56</v>
      </c>
      <c r="AH378" s="138" t="s">
        <v>56</v>
      </c>
      <c r="AI378" s="138"/>
      <c r="AJ378" s="138"/>
      <c r="AK378" s="138"/>
      <c r="AL378" s="138" t="s">
        <v>55</v>
      </c>
    </row>
    <row r="379" spans="1:43" ht="64.5" customHeight="1" x14ac:dyDescent="0.25">
      <c r="A379" s="14">
        <v>45967</v>
      </c>
      <c r="B379" s="41" t="s">
        <v>3101</v>
      </c>
      <c r="C379" s="41" t="s">
        <v>3102</v>
      </c>
      <c r="D379" s="41"/>
      <c r="E379" s="42" t="s">
        <v>39</v>
      </c>
      <c r="F379" s="19">
        <v>1</v>
      </c>
      <c r="G379" s="43"/>
      <c r="H379" s="43"/>
      <c r="I379" s="245" t="s">
        <v>3103</v>
      </c>
      <c r="J379" s="45">
        <v>25</v>
      </c>
      <c r="K379" s="46" t="s">
        <v>3095</v>
      </c>
      <c r="L379" s="47" t="s">
        <v>63</v>
      </c>
      <c r="M379" s="73" t="s">
        <v>42</v>
      </c>
      <c r="N379" s="77" t="s">
        <v>3104</v>
      </c>
      <c r="O379" s="49" t="s">
        <v>3105</v>
      </c>
      <c r="P379" s="49" t="s">
        <v>3106</v>
      </c>
      <c r="Q379" s="49" t="s">
        <v>2923</v>
      </c>
      <c r="R379" s="50">
        <v>103</v>
      </c>
      <c r="S379" s="50">
        <v>333</v>
      </c>
      <c r="T379" s="51" t="s">
        <v>180</v>
      </c>
      <c r="U379" s="51">
        <v>15</v>
      </c>
      <c r="V379" s="52">
        <f t="shared" si="13"/>
        <v>375</v>
      </c>
      <c r="W379" s="51" t="s">
        <v>350</v>
      </c>
      <c r="X379" s="271" t="s">
        <v>905</v>
      </c>
      <c r="Y379" s="168" t="s">
        <v>50</v>
      </c>
      <c r="Z379" s="169"/>
      <c r="AA379" s="170" t="s">
        <v>2984</v>
      </c>
      <c r="AB379" s="243" t="s">
        <v>2985</v>
      </c>
      <c r="AC379" s="172">
        <v>8282.5</v>
      </c>
      <c r="AE379" s="137" t="s">
        <v>2776</v>
      </c>
      <c r="AF379" s="138"/>
      <c r="AG379" s="138" t="s">
        <v>56</v>
      </c>
      <c r="AH379" s="138" t="s">
        <v>56</v>
      </c>
      <c r="AI379" s="138"/>
      <c r="AJ379" s="138"/>
      <c r="AK379" s="138"/>
      <c r="AL379" s="222" t="s">
        <v>55</v>
      </c>
    </row>
    <row r="380" spans="1:43" s="200" customFormat="1" ht="330.75" x14ac:dyDescent="0.25">
      <c r="A380" s="14">
        <v>45967</v>
      </c>
      <c r="B380" s="41" t="s">
        <v>3107</v>
      </c>
      <c r="C380" s="41" t="s">
        <v>3108</v>
      </c>
      <c r="D380" s="41" t="s">
        <v>3109</v>
      </c>
      <c r="E380" s="42" t="s">
        <v>39</v>
      </c>
      <c r="F380" s="19">
        <v>1</v>
      </c>
      <c r="G380" s="43"/>
      <c r="H380" s="43"/>
      <c r="I380" s="245" t="s">
        <v>3110</v>
      </c>
      <c r="J380" s="45">
        <v>60</v>
      </c>
      <c r="K380" s="46" t="s">
        <v>3111</v>
      </c>
      <c r="L380" s="47" t="s">
        <v>63</v>
      </c>
      <c r="M380" s="73" t="s">
        <v>42</v>
      </c>
      <c r="N380" s="77" t="s">
        <v>3112</v>
      </c>
      <c r="O380" s="49" t="s">
        <v>3113</v>
      </c>
      <c r="P380" s="49" t="s">
        <v>3114</v>
      </c>
      <c r="Q380" s="49" t="s">
        <v>3115</v>
      </c>
      <c r="R380" s="92">
        <v>125</v>
      </c>
      <c r="S380" s="50">
        <v>473</v>
      </c>
      <c r="T380" s="51" t="s">
        <v>180</v>
      </c>
      <c r="U380" s="51">
        <v>32</v>
      </c>
      <c r="V380" s="75">
        <f t="shared" si="13"/>
        <v>1920</v>
      </c>
      <c r="W380" s="51" t="s">
        <v>350</v>
      </c>
      <c r="X380" s="202" t="s">
        <v>538</v>
      </c>
      <c r="Y380" s="199" t="s">
        <v>324</v>
      </c>
      <c r="Z380" s="169"/>
      <c r="AA380" s="170" t="s">
        <v>3116</v>
      </c>
      <c r="AB380" s="243" t="s">
        <v>3117</v>
      </c>
      <c r="AC380" s="172">
        <v>10928.8</v>
      </c>
      <c r="AE380" s="137" t="s">
        <v>148</v>
      </c>
      <c r="AF380" s="138"/>
      <c r="AG380" s="138" t="s">
        <v>56</v>
      </c>
      <c r="AH380" s="138" t="s">
        <v>56</v>
      </c>
      <c r="AI380" s="138"/>
      <c r="AJ380" s="138"/>
      <c r="AK380" s="138"/>
      <c r="AL380" s="251" t="s">
        <v>3118</v>
      </c>
    </row>
    <row r="381" spans="1:43" s="200" customFormat="1" ht="39.75" customHeight="1" x14ac:dyDescent="0.25">
      <c r="A381" s="14">
        <v>45966</v>
      </c>
      <c r="B381" s="41" t="s">
        <v>3119</v>
      </c>
      <c r="C381" s="41" t="s">
        <v>3120</v>
      </c>
      <c r="D381" s="41"/>
      <c r="E381" s="42" t="s">
        <v>39</v>
      </c>
      <c r="F381" s="19">
        <v>2</v>
      </c>
      <c r="G381" s="43"/>
      <c r="H381" s="43"/>
      <c r="I381" s="245" t="s">
        <v>3121</v>
      </c>
      <c r="J381" s="45">
        <v>15</v>
      </c>
      <c r="K381" s="46" t="s">
        <v>3052</v>
      </c>
      <c r="L381" s="277" t="s">
        <v>63</v>
      </c>
      <c r="M381" s="73" t="s">
        <v>42</v>
      </c>
      <c r="N381" s="77" t="s">
        <v>240</v>
      </c>
      <c r="O381" s="278" t="s">
        <v>3099</v>
      </c>
      <c r="P381" s="278" t="s">
        <v>3122</v>
      </c>
      <c r="Q381" s="278" t="s">
        <v>3123</v>
      </c>
      <c r="R381" s="235">
        <v>8</v>
      </c>
      <c r="S381" s="235">
        <v>29</v>
      </c>
      <c r="T381" s="42" t="s">
        <v>47</v>
      </c>
      <c r="U381" s="42">
        <v>0</v>
      </c>
      <c r="V381" s="31">
        <f t="shared" si="13"/>
        <v>0</v>
      </c>
      <c r="W381" s="42" t="s">
        <v>350</v>
      </c>
      <c r="X381" s="271" t="s">
        <v>905</v>
      </c>
      <c r="Y381" s="199" t="s">
        <v>50</v>
      </c>
      <c r="Z381" s="169"/>
      <c r="AA381" s="170" t="s">
        <v>2899</v>
      </c>
      <c r="AB381" s="243" t="s">
        <v>2900</v>
      </c>
      <c r="AC381" s="172">
        <v>3584</v>
      </c>
      <c r="AE381" s="137" t="s">
        <v>3124</v>
      </c>
      <c r="AF381" s="138"/>
      <c r="AG381" s="138" t="s">
        <v>56</v>
      </c>
      <c r="AH381" s="138" t="s">
        <v>56</v>
      </c>
      <c r="AI381" s="138"/>
      <c r="AJ381" s="138" t="s">
        <v>56</v>
      </c>
      <c r="AK381" s="138" t="s">
        <v>2284</v>
      </c>
      <c r="AL381" s="203" t="s">
        <v>2865</v>
      </c>
    </row>
    <row r="382" spans="1:43" s="200" customFormat="1" ht="46.5" customHeight="1" x14ac:dyDescent="0.25">
      <c r="A382" s="14">
        <v>45966</v>
      </c>
      <c r="B382" s="41" t="s">
        <v>3125</v>
      </c>
      <c r="C382" s="41" t="s">
        <v>3126</v>
      </c>
      <c r="D382" s="41"/>
      <c r="E382" s="42" t="s">
        <v>39</v>
      </c>
      <c r="F382" s="19">
        <v>1</v>
      </c>
      <c r="G382" s="43"/>
      <c r="H382" s="43"/>
      <c r="I382" s="245" t="s">
        <v>3127</v>
      </c>
      <c r="J382" s="45">
        <v>15</v>
      </c>
      <c r="K382" s="46" t="s">
        <v>3128</v>
      </c>
      <c r="L382" s="47" t="s">
        <v>63</v>
      </c>
      <c r="M382" s="73" t="s">
        <v>42</v>
      </c>
      <c r="N382" s="77" t="s">
        <v>3129</v>
      </c>
      <c r="O382" s="49" t="s">
        <v>3130</v>
      </c>
      <c r="P382" s="49" t="s">
        <v>3131</v>
      </c>
      <c r="Q382" s="49" t="s">
        <v>3132</v>
      </c>
      <c r="R382" s="50">
        <v>42</v>
      </c>
      <c r="S382" s="50">
        <v>149</v>
      </c>
      <c r="T382" s="51" t="s">
        <v>47</v>
      </c>
      <c r="U382" s="51">
        <v>0</v>
      </c>
      <c r="V382" s="52">
        <f t="shared" si="13"/>
        <v>0</v>
      </c>
      <c r="W382" s="51" t="s">
        <v>350</v>
      </c>
      <c r="X382" s="271" t="s">
        <v>905</v>
      </c>
      <c r="Y382" s="199" t="s">
        <v>50</v>
      </c>
      <c r="Z382" s="169"/>
      <c r="AA382" s="170" t="s">
        <v>2899</v>
      </c>
      <c r="AB382" s="243" t="s">
        <v>2900</v>
      </c>
      <c r="AC382" s="172">
        <v>4863</v>
      </c>
      <c r="AE382" s="137" t="s">
        <v>2776</v>
      </c>
      <c r="AF382" s="138"/>
      <c r="AG382" s="138" t="s">
        <v>56</v>
      </c>
      <c r="AH382" s="138" t="s">
        <v>56</v>
      </c>
      <c r="AI382" s="138"/>
      <c r="AJ382" s="138" t="s">
        <v>56</v>
      </c>
      <c r="AK382" s="138" t="s">
        <v>2284</v>
      </c>
      <c r="AL382" s="251" t="s">
        <v>3133</v>
      </c>
    </row>
    <row r="383" spans="1:43" ht="236.25" customHeight="1" x14ac:dyDescent="0.25">
      <c r="A383" s="14">
        <v>45966</v>
      </c>
      <c r="B383" s="41" t="s">
        <v>3134</v>
      </c>
      <c r="C383" s="41" t="s">
        <v>3135</v>
      </c>
      <c r="D383" s="273" t="s">
        <v>3050</v>
      </c>
      <c r="E383" s="42" t="s">
        <v>39</v>
      </c>
      <c r="F383" s="43"/>
      <c r="G383" s="43"/>
      <c r="H383" s="19">
        <v>1</v>
      </c>
      <c r="I383" s="245" t="s">
        <v>3136</v>
      </c>
      <c r="J383" s="45">
        <v>45</v>
      </c>
      <c r="K383" s="46" t="s">
        <v>3128</v>
      </c>
      <c r="L383" s="47" t="s">
        <v>63</v>
      </c>
      <c r="M383" s="73" t="s">
        <v>42</v>
      </c>
      <c r="N383" s="77" t="s">
        <v>3137</v>
      </c>
      <c r="O383" s="49" t="s">
        <v>3138</v>
      </c>
      <c r="P383" s="49" t="s">
        <v>3139</v>
      </c>
      <c r="Q383" s="49" t="s">
        <v>2921</v>
      </c>
      <c r="R383" s="50">
        <v>51</v>
      </c>
      <c r="S383" s="50">
        <v>330</v>
      </c>
      <c r="T383" s="51" t="s">
        <v>47</v>
      </c>
      <c r="U383" s="51">
        <v>0</v>
      </c>
      <c r="V383" s="52">
        <f t="shared" si="13"/>
        <v>0</v>
      </c>
      <c r="W383" s="51" t="s">
        <v>350</v>
      </c>
      <c r="X383" s="198" t="s">
        <v>934</v>
      </c>
      <c r="Y383" s="168" t="s">
        <v>82</v>
      </c>
      <c r="Z383" s="169" t="s">
        <v>645</v>
      </c>
      <c r="AA383" s="170" t="s">
        <v>2925</v>
      </c>
      <c r="AB383" s="243" t="s">
        <v>2567</v>
      </c>
      <c r="AC383" s="172">
        <v>6430.5</v>
      </c>
      <c r="AE383" s="137" t="s">
        <v>148</v>
      </c>
      <c r="AF383" s="138" t="s">
        <v>354</v>
      </c>
      <c r="AG383" s="138" t="s">
        <v>56</v>
      </c>
      <c r="AH383" s="138" t="s">
        <v>56</v>
      </c>
      <c r="AI383" s="138"/>
      <c r="AJ383" s="138" t="s">
        <v>56</v>
      </c>
      <c r="AK383" s="137" t="s">
        <v>2963</v>
      </c>
      <c r="AL383" s="251" t="s">
        <v>3140</v>
      </c>
    </row>
    <row r="384" spans="1:43" s="279" customFormat="1" ht="270" customHeight="1" x14ac:dyDescent="0.25">
      <c r="A384" s="14">
        <v>45966</v>
      </c>
      <c r="B384" s="41" t="s">
        <v>3141</v>
      </c>
      <c r="C384" s="41" t="s">
        <v>3142</v>
      </c>
      <c r="D384" s="41" t="s">
        <v>3143</v>
      </c>
      <c r="E384" s="42" t="s">
        <v>39</v>
      </c>
      <c r="F384" s="43"/>
      <c r="G384" s="43"/>
      <c r="H384" s="19">
        <v>1</v>
      </c>
      <c r="I384" s="268" t="s">
        <v>3144</v>
      </c>
      <c r="J384" s="45">
        <v>10</v>
      </c>
      <c r="K384" s="46" t="s">
        <v>10007</v>
      </c>
      <c r="L384" s="47" t="s">
        <v>63</v>
      </c>
      <c r="M384" s="73" t="s">
        <v>42</v>
      </c>
      <c r="N384" s="120" t="s">
        <v>3145</v>
      </c>
      <c r="O384" s="49" t="s">
        <v>3146</v>
      </c>
      <c r="P384" s="49" t="s">
        <v>3147</v>
      </c>
      <c r="Q384" s="49" t="s">
        <v>3148</v>
      </c>
      <c r="R384" s="92">
        <v>137</v>
      </c>
      <c r="S384" s="92">
        <v>1577</v>
      </c>
      <c r="T384" s="51" t="s">
        <v>141</v>
      </c>
      <c r="U384" s="51">
        <v>20</v>
      </c>
      <c r="V384" s="52">
        <f t="shared" si="13"/>
        <v>200</v>
      </c>
      <c r="W384" s="51" t="s">
        <v>350</v>
      </c>
      <c r="X384" s="198" t="s">
        <v>3149</v>
      </c>
      <c r="Y384" s="199" t="s">
        <v>144</v>
      </c>
      <c r="Z384" s="169" t="s">
        <v>3150</v>
      </c>
      <c r="AA384" s="170" t="s">
        <v>3088</v>
      </c>
      <c r="AB384" s="243" t="s">
        <v>3151</v>
      </c>
      <c r="AC384" s="172">
        <v>10737</v>
      </c>
      <c r="AD384" s="200"/>
      <c r="AE384" s="137" t="s">
        <v>2776</v>
      </c>
      <c r="AF384" s="138"/>
      <c r="AG384" s="138" t="s">
        <v>56</v>
      </c>
      <c r="AH384" s="138" t="s">
        <v>56</v>
      </c>
      <c r="AI384" s="138"/>
      <c r="AJ384" s="138"/>
      <c r="AK384" s="138"/>
      <c r="AL384" s="138" t="s">
        <v>42</v>
      </c>
      <c r="AM384" s="200"/>
      <c r="AN384" s="200"/>
      <c r="AO384" s="200"/>
      <c r="AP384" s="200"/>
      <c r="AQ384" s="200"/>
    </row>
    <row r="385" spans="1:38" s="200" customFormat="1" ht="123.75" customHeight="1" x14ac:dyDescent="0.25">
      <c r="A385" s="14">
        <v>45966</v>
      </c>
      <c r="B385" s="41" t="s">
        <v>3101</v>
      </c>
      <c r="C385" s="41" t="s">
        <v>3152</v>
      </c>
      <c r="D385" s="41"/>
      <c r="E385" s="42" t="s">
        <v>39</v>
      </c>
      <c r="F385" s="19">
        <v>1</v>
      </c>
      <c r="G385" s="43"/>
      <c r="H385" s="43"/>
      <c r="I385" s="245" t="s">
        <v>3153</v>
      </c>
      <c r="J385" s="45">
        <v>5</v>
      </c>
      <c r="K385" s="46" t="s">
        <v>3128</v>
      </c>
      <c r="L385" s="47" t="s">
        <v>63</v>
      </c>
      <c r="M385" s="73" t="s">
        <v>42</v>
      </c>
      <c r="N385" s="77" t="s">
        <v>3154</v>
      </c>
      <c r="O385" s="49" t="s">
        <v>3155</v>
      </c>
      <c r="P385" s="49" t="s">
        <v>3123</v>
      </c>
      <c r="Q385" s="49" t="s">
        <v>2921</v>
      </c>
      <c r="R385" s="92">
        <v>140</v>
      </c>
      <c r="S385" s="92">
        <v>1093</v>
      </c>
      <c r="T385" s="51" t="s">
        <v>582</v>
      </c>
      <c r="U385" s="51">
        <v>46</v>
      </c>
      <c r="V385" s="52">
        <f t="shared" si="13"/>
        <v>230</v>
      </c>
      <c r="W385" s="51" t="s">
        <v>350</v>
      </c>
      <c r="X385" s="198" t="s">
        <v>1004</v>
      </c>
      <c r="Y385" s="199" t="s">
        <v>82</v>
      </c>
      <c r="Z385" s="169"/>
      <c r="AA385" s="170" t="s">
        <v>2984</v>
      </c>
      <c r="AB385" s="243" t="s">
        <v>2985</v>
      </c>
      <c r="AC385" s="35">
        <v>11027.5</v>
      </c>
      <c r="AE385" s="137" t="s">
        <v>148</v>
      </c>
      <c r="AF385" s="138"/>
      <c r="AG385" s="138" t="s">
        <v>56</v>
      </c>
      <c r="AH385" s="138" t="s">
        <v>56</v>
      </c>
      <c r="AI385" s="138"/>
      <c r="AJ385" s="138"/>
      <c r="AK385" s="138"/>
      <c r="AL385" s="138" t="s">
        <v>55</v>
      </c>
    </row>
    <row r="386" spans="1:38" s="200" customFormat="1" ht="61.5" customHeight="1" x14ac:dyDescent="0.25">
      <c r="A386" s="14">
        <v>45965</v>
      </c>
      <c r="B386" s="41" t="s">
        <v>3156</v>
      </c>
      <c r="C386" s="41" t="s">
        <v>3157</v>
      </c>
      <c r="D386" s="41"/>
      <c r="E386" s="42" t="s">
        <v>39</v>
      </c>
      <c r="F386" s="43"/>
      <c r="G386" s="43"/>
      <c r="H386" s="19">
        <v>1</v>
      </c>
      <c r="I386" s="245" t="s">
        <v>3158</v>
      </c>
      <c r="J386" s="45">
        <v>25</v>
      </c>
      <c r="K386" s="46" t="s">
        <v>3159</v>
      </c>
      <c r="L386" s="47" t="s">
        <v>63</v>
      </c>
      <c r="M386" s="73" t="s">
        <v>42</v>
      </c>
      <c r="N386" s="77" t="s">
        <v>3160</v>
      </c>
      <c r="O386" s="49" t="s">
        <v>3148</v>
      </c>
      <c r="P386" s="49" t="s">
        <v>3097</v>
      </c>
      <c r="Q386" s="49" t="s">
        <v>3123</v>
      </c>
      <c r="R386" s="50">
        <v>87</v>
      </c>
      <c r="S386" s="50">
        <v>505</v>
      </c>
      <c r="T386" s="51" t="s">
        <v>47</v>
      </c>
      <c r="U386" s="51">
        <v>0</v>
      </c>
      <c r="V386" s="52">
        <f t="shared" si="13"/>
        <v>0</v>
      </c>
      <c r="W386" s="51" t="s">
        <v>350</v>
      </c>
      <c r="X386" s="271" t="s">
        <v>905</v>
      </c>
      <c r="Y386" s="199" t="s">
        <v>50</v>
      </c>
      <c r="Z386" s="169"/>
      <c r="AA386" s="170" t="s">
        <v>2899</v>
      </c>
      <c r="AB386" s="243" t="s">
        <v>2473</v>
      </c>
      <c r="AC386" s="172">
        <v>8929.5</v>
      </c>
      <c r="AE386" s="137" t="s">
        <v>2776</v>
      </c>
      <c r="AF386" s="138"/>
      <c r="AG386" s="138" t="s">
        <v>56</v>
      </c>
      <c r="AH386" s="138" t="s">
        <v>56</v>
      </c>
      <c r="AI386" s="138"/>
      <c r="AJ386" s="138" t="s">
        <v>56</v>
      </c>
      <c r="AK386" s="138" t="s">
        <v>3161</v>
      </c>
      <c r="AL386" s="203" t="s">
        <v>2865</v>
      </c>
    </row>
    <row r="387" spans="1:38" s="200" customFormat="1" ht="90" x14ac:dyDescent="0.25">
      <c r="A387" s="14">
        <v>45965</v>
      </c>
      <c r="B387" s="41" t="s">
        <v>3162</v>
      </c>
      <c r="C387" s="41" t="s">
        <v>3163</v>
      </c>
      <c r="D387" s="41" t="s">
        <v>3164</v>
      </c>
      <c r="E387" s="42" t="s">
        <v>39</v>
      </c>
      <c r="F387" s="43"/>
      <c r="G387" s="19">
        <v>1</v>
      </c>
      <c r="H387" s="43"/>
      <c r="I387" s="245" t="s">
        <v>3165</v>
      </c>
      <c r="J387" s="45">
        <v>15</v>
      </c>
      <c r="K387" s="46" t="s">
        <v>3159</v>
      </c>
      <c r="L387" s="47" t="s">
        <v>63</v>
      </c>
      <c r="M387" s="73" t="s">
        <v>42</v>
      </c>
      <c r="N387" s="77" t="s">
        <v>3166</v>
      </c>
      <c r="O387" s="278" t="s">
        <v>3167</v>
      </c>
      <c r="P387" s="278" t="s">
        <v>3168</v>
      </c>
      <c r="Q387" s="278" t="s">
        <v>3147</v>
      </c>
      <c r="R387" s="235">
        <v>14</v>
      </c>
      <c r="S387" s="235">
        <v>27</v>
      </c>
      <c r="T387" s="42" t="s">
        <v>47</v>
      </c>
      <c r="U387" s="42">
        <v>0</v>
      </c>
      <c r="V387" s="31">
        <f t="shared" si="13"/>
        <v>0</v>
      </c>
      <c r="W387" s="42" t="s">
        <v>350</v>
      </c>
      <c r="X387" s="271" t="s">
        <v>905</v>
      </c>
      <c r="Y387" s="199" t="s">
        <v>50</v>
      </c>
      <c r="Z387" s="169"/>
      <c r="AA387" s="170" t="s">
        <v>2899</v>
      </c>
      <c r="AB387" s="243" t="s">
        <v>2900</v>
      </c>
      <c r="AC387" s="172">
        <v>3564.5</v>
      </c>
      <c r="AE387" s="137" t="s">
        <v>3169</v>
      </c>
      <c r="AF387" s="138"/>
      <c r="AG387" s="138" t="s">
        <v>56</v>
      </c>
      <c r="AH387" s="138" t="s">
        <v>56</v>
      </c>
      <c r="AI387" s="138"/>
      <c r="AJ387" s="138" t="s">
        <v>56</v>
      </c>
      <c r="AK387" s="138" t="s">
        <v>2284</v>
      </c>
      <c r="AL387" s="138" t="s">
        <v>55</v>
      </c>
    </row>
    <row r="388" spans="1:38" s="200" customFormat="1" ht="30" customHeight="1" x14ac:dyDescent="0.25">
      <c r="A388" s="14">
        <v>45965</v>
      </c>
      <c r="B388" s="41" t="s">
        <v>3170</v>
      </c>
      <c r="C388" s="41" t="s">
        <v>3171</v>
      </c>
      <c r="D388" s="41" t="s">
        <v>3172</v>
      </c>
      <c r="E388" s="42" t="s">
        <v>39</v>
      </c>
      <c r="F388" s="43"/>
      <c r="G388" s="43"/>
      <c r="H388" s="19">
        <v>2</v>
      </c>
      <c r="I388" s="245" t="s">
        <v>3173</v>
      </c>
      <c r="J388" s="45">
        <v>50</v>
      </c>
      <c r="K388" s="46" t="s">
        <v>3159</v>
      </c>
      <c r="L388" s="47" t="s">
        <v>63</v>
      </c>
      <c r="M388" s="73" t="s">
        <v>42</v>
      </c>
      <c r="N388" s="77" t="s">
        <v>3174</v>
      </c>
      <c r="O388" s="49" t="s">
        <v>3175</v>
      </c>
      <c r="P388" s="49" t="s">
        <v>3176</v>
      </c>
      <c r="Q388" s="49" t="s">
        <v>3177</v>
      </c>
      <c r="R388" s="50">
        <v>5</v>
      </c>
      <c r="S388" s="50">
        <v>21</v>
      </c>
      <c r="T388" s="51" t="s">
        <v>47</v>
      </c>
      <c r="U388" s="51">
        <v>0</v>
      </c>
      <c r="V388" s="52">
        <f t="shared" si="13"/>
        <v>0</v>
      </c>
      <c r="W388" s="51" t="s">
        <v>350</v>
      </c>
      <c r="X388" s="271" t="s">
        <v>905</v>
      </c>
      <c r="Y388" s="199" t="s">
        <v>50</v>
      </c>
      <c r="Z388" s="169"/>
      <c r="AA388" s="170" t="s">
        <v>2888</v>
      </c>
      <c r="AB388" s="243" t="s">
        <v>2889</v>
      </c>
      <c r="AC388" s="172">
        <v>4110</v>
      </c>
      <c r="AE388" s="137" t="s">
        <v>2776</v>
      </c>
      <c r="AF388" s="138"/>
      <c r="AG388" s="138" t="s">
        <v>56</v>
      </c>
      <c r="AH388" s="138" t="s">
        <v>56</v>
      </c>
      <c r="AI388" s="138"/>
      <c r="AJ388" s="138" t="s">
        <v>56</v>
      </c>
      <c r="AK388" s="138" t="s">
        <v>2284</v>
      </c>
      <c r="AL388" s="251" t="s">
        <v>3178</v>
      </c>
    </row>
    <row r="389" spans="1:38" s="200" customFormat="1" ht="30" customHeight="1" x14ac:dyDescent="0.25">
      <c r="A389" s="14">
        <v>45965</v>
      </c>
      <c r="B389" s="41" t="s">
        <v>3179</v>
      </c>
      <c r="C389" s="41" t="s">
        <v>3180</v>
      </c>
      <c r="D389" s="41" t="s">
        <v>3164</v>
      </c>
      <c r="E389" s="42" t="s">
        <v>39</v>
      </c>
      <c r="F389" s="43"/>
      <c r="G389" s="43"/>
      <c r="H389" s="19">
        <v>1</v>
      </c>
      <c r="I389" s="245" t="s">
        <v>3181</v>
      </c>
      <c r="J389" s="45">
        <v>25</v>
      </c>
      <c r="K389" s="46" t="s">
        <v>3159</v>
      </c>
      <c r="L389" s="47" t="s">
        <v>63</v>
      </c>
      <c r="M389" s="73" t="s">
        <v>42</v>
      </c>
      <c r="N389" s="77" t="s">
        <v>3182</v>
      </c>
      <c r="O389" s="49"/>
      <c r="P389" s="49" t="s">
        <v>3114</v>
      </c>
      <c r="Q389" s="49" t="s">
        <v>3183</v>
      </c>
      <c r="R389" s="50">
        <v>17</v>
      </c>
      <c r="S389" s="50">
        <v>36</v>
      </c>
      <c r="T389" s="51" t="s">
        <v>96</v>
      </c>
      <c r="U389" s="51">
        <v>1</v>
      </c>
      <c r="V389" s="52">
        <f t="shared" si="13"/>
        <v>25</v>
      </c>
      <c r="W389" s="51" t="s">
        <v>350</v>
      </c>
      <c r="X389" s="271" t="s">
        <v>905</v>
      </c>
      <c r="Y389" s="199" t="s">
        <v>50</v>
      </c>
      <c r="Z389" s="169"/>
      <c r="AA389" s="170" t="s">
        <v>2899</v>
      </c>
      <c r="AB389" s="243" t="s">
        <v>1623</v>
      </c>
      <c r="AC389" s="172">
        <v>3512.5</v>
      </c>
      <c r="AE389" s="137" t="s">
        <v>2776</v>
      </c>
      <c r="AF389" s="138"/>
      <c r="AG389" s="138" t="s">
        <v>56</v>
      </c>
      <c r="AH389" s="138" t="s">
        <v>56</v>
      </c>
      <c r="AI389" s="138"/>
      <c r="AJ389" s="138"/>
      <c r="AK389" s="138"/>
      <c r="AL389" s="138" t="s">
        <v>55</v>
      </c>
    </row>
    <row r="390" spans="1:38" s="200" customFormat="1" ht="180" x14ac:dyDescent="0.25">
      <c r="A390" s="14">
        <v>45965</v>
      </c>
      <c r="B390" s="41" t="s">
        <v>3184</v>
      </c>
      <c r="C390" s="41" t="s">
        <v>3185</v>
      </c>
      <c r="D390" s="41"/>
      <c r="E390" s="42" t="s">
        <v>39</v>
      </c>
      <c r="F390" s="19">
        <v>1</v>
      </c>
      <c r="G390" s="43"/>
      <c r="H390" s="43"/>
      <c r="I390" s="245" t="s">
        <v>3186</v>
      </c>
      <c r="J390" s="45">
        <v>85</v>
      </c>
      <c r="K390" s="46" t="s">
        <v>3159</v>
      </c>
      <c r="L390" s="50" t="s">
        <v>63</v>
      </c>
      <c r="M390" s="73" t="s">
        <v>42</v>
      </c>
      <c r="N390" s="77" t="s">
        <v>3187</v>
      </c>
      <c r="O390" s="49"/>
      <c r="P390" s="49" t="s">
        <v>3188</v>
      </c>
      <c r="Q390" s="49" t="s">
        <v>3189</v>
      </c>
      <c r="R390" s="50">
        <v>81</v>
      </c>
      <c r="S390" s="50">
        <v>277</v>
      </c>
      <c r="T390" s="51" t="s">
        <v>67</v>
      </c>
      <c r="U390" s="51">
        <v>55</v>
      </c>
      <c r="V390" s="75">
        <f t="shared" si="13"/>
        <v>4675</v>
      </c>
      <c r="W390" s="51" t="s">
        <v>350</v>
      </c>
      <c r="X390" s="198" t="s">
        <v>3190</v>
      </c>
      <c r="Y390" s="199" t="s">
        <v>82</v>
      </c>
      <c r="Z390" s="169"/>
      <c r="AA390" s="170" t="s">
        <v>3191</v>
      </c>
      <c r="AB390" s="243" t="s">
        <v>3117</v>
      </c>
      <c r="AC390" s="172">
        <v>14371.4</v>
      </c>
      <c r="AE390" s="137" t="s">
        <v>148</v>
      </c>
      <c r="AF390" s="138"/>
      <c r="AG390" s="138" t="s">
        <v>56</v>
      </c>
      <c r="AH390" s="138" t="s">
        <v>56</v>
      </c>
      <c r="AI390" s="138"/>
      <c r="AJ390" s="138"/>
      <c r="AK390" s="138"/>
      <c r="AL390" s="251" t="s">
        <v>3192</v>
      </c>
    </row>
    <row r="391" spans="1:38" s="200" customFormat="1" ht="113.25" customHeight="1" x14ac:dyDescent="0.25">
      <c r="A391" s="14">
        <v>45964</v>
      </c>
      <c r="B391" s="95" t="s">
        <v>3193</v>
      </c>
      <c r="C391" s="95" t="s">
        <v>3194</v>
      </c>
      <c r="D391" s="95" t="s">
        <v>3195</v>
      </c>
      <c r="E391" s="96" t="s">
        <v>39</v>
      </c>
      <c r="F391" s="19">
        <v>1</v>
      </c>
      <c r="G391" s="280"/>
      <c r="H391" s="97"/>
      <c r="I391" s="245" t="s">
        <v>3196</v>
      </c>
      <c r="J391" s="98">
        <v>8</v>
      </c>
      <c r="K391" s="270" t="s">
        <v>3197</v>
      </c>
      <c r="L391" s="103" t="s">
        <v>63</v>
      </c>
      <c r="M391" s="103" t="s">
        <v>55</v>
      </c>
      <c r="N391" s="101" t="s">
        <v>3198</v>
      </c>
      <c r="O391" s="102"/>
      <c r="P391" s="102" t="s">
        <v>3199</v>
      </c>
      <c r="Q391" s="102" t="s">
        <v>3098</v>
      </c>
      <c r="R391" s="103">
        <v>5</v>
      </c>
      <c r="S391" s="103">
        <v>8</v>
      </c>
      <c r="T391" s="96" t="s">
        <v>96</v>
      </c>
      <c r="U391" s="96">
        <v>11</v>
      </c>
      <c r="V391" s="104">
        <f t="shared" si="13"/>
        <v>88</v>
      </c>
      <c r="W391" s="96" t="s">
        <v>350</v>
      </c>
      <c r="X391" s="258" t="s">
        <v>1083</v>
      </c>
      <c r="Y391" s="199" t="s">
        <v>50</v>
      </c>
      <c r="Z391" s="169"/>
      <c r="AA391" s="170" t="s">
        <v>1701</v>
      </c>
      <c r="AB391" s="243" t="s">
        <v>2594</v>
      </c>
      <c r="AC391" s="172">
        <v>5190</v>
      </c>
      <c r="AE391" s="137" t="s">
        <v>2776</v>
      </c>
      <c r="AF391" s="138" t="s">
        <v>354</v>
      </c>
      <c r="AG391" s="138" t="s">
        <v>56</v>
      </c>
      <c r="AH391" s="138" t="s">
        <v>56</v>
      </c>
      <c r="AI391" s="138"/>
      <c r="AJ391" s="138"/>
      <c r="AK391" s="138"/>
      <c r="AL391" s="138" t="s">
        <v>55</v>
      </c>
    </row>
    <row r="392" spans="1:38" ht="150" x14ac:dyDescent="0.25">
      <c r="A392" s="14">
        <v>45964</v>
      </c>
      <c r="B392" s="41" t="s">
        <v>3200</v>
      </c>
      <c r="C392" s="41" t="s">
        <v>3201</v>
      </c>
      <c r="D392" s="281" t="s">
        <v>3202</v>
      </c>
      <c r="E392" s="42" t="s">
        <v>39</v>
      </c>
      <c r="F392" s="19">
        <v>1</v>
      </c>
      <c r="G392" s="43"/>
      <c r="H392" s="43"/>
      <c r="I392" s="268" t="s">
        <v>3203</v>
      </c>
      <c r="J392" s="45">
        <v>200</v>
      </c>
      <c r="K392" s="46" t="s">
        <v>3204</v>
      </c>
      <c r="L392" s="50" t="s">
        <v>63</v>
      </c>
      <c r="M392" s="73" t="s">
        <v>42</v>
      </c>
      <c r="N392" s="77" t="s">
        <v>3205</v>
      </c>
      <c r="O392" s="49" t="s">
        <v>3206</v>
      </c>
      <c r="P392" s="49" t="s">
        <v>3207</v>
      </c>
      <c r="Q392" s="49" t="s">
        <v>3208</v>
      </c>
      <c r="R392" s="50">
        <v>115</v>
      </c>
      <c r="S392" s="50">
        <v>382</v>
      </c>
      <c r="T392" s="51" t="s">
        <v>141</v>
      </c>
      <c r="U392" s="51">
        <v>0</v>
      </c>
      <c r="V392" s="52">
        <f t="shared" si="13"/>
        <v>0</v>
      </c>
      <c r="W392" s="51" t="s">
        <v>350</v>
      </c>
      <c r="X392" s="198" t="s">
        <v>2234</v>
      </c>
      <c r="Y392" s="168" t="s">
        <v>144</v>
      </c>
      <c r="Z392" s="169"/>
      <c r="AA392" s="170" t="s">
        <v>2566</v>
      </c>
      <c r="AB392" s="243" t="s">
        <v>3209</v>
      </c>
      <c r="AC392" s="35">
        <f>43930*J392/500</f>
        <v>17572</v>
      </c>
      <c r="AE392" s="137" t="s">
        <v>148</v>
      </c>
      <c r="AF392" s="138" t="s">
        <v>354</v>
      </c>
      <c r="AG392" s="138" t="s">
        <v>56</v>
      </c>
      <c r="AH392" s="138" t="s">
        <v>56</v>
      </c>
      <c r="AI392" s="138"/>
      <c r="AJ392" s="138" t="s">
        <v>56</v>
      </c>
      <c r="AK392" s="222" t="s">
        <v>74</v>
      </c>
      <c r="AL392" s="222" t="s">
        <v>55</v>
      </c>
    </row>
    <row r="393" spans="1:38" s="200" customFormat="1" ht="113.25" customHeight="1" x14ac:dyDescent="0.25">
      <c r="A393" s="14">
        <v>45964</v>
      </c>
      <c r="B393" s="41" t="s">
        <v>3210</v>
      </c>
      <c r="C393" s="41" t="s">
        <v>3211</v>
      </c>
      <c r="D393" s="41" t="s">
        <v>3212</v>
      </c>
      <c r="E393" s="42" t="s">
        <v>39</v>
      </c>
      <c r="F393" s="19">
        <v>1</v>
      </c>
      <c r="G393" s="43"/>
      <c r="H393" s="43"/>
      <c r="I393" s="245" t="s">
        <v>3213</v>
      </c>
      <c r="J393" s="45">
        <v>50</v>
      </c>
      <c r="K393" s="46" t="s">
        <v>3214</v>
      </c>
      <c r="L393" s="47" t="s">
        <v>63</v>
      </c>
      <c r="M393" s="73" t="s">
        <v>42</v>
      </c>
      <c r="N393" s="77" t="s">
        <v>3215</v>
      </c>
      <c r="O393" s="49" t="s">
        <v>3216</v>
      </c>
      <c r="P393" s="49" t="s">
        <v>3217</v>
      </c>
      <c r="Q393" s="49" t="s">
        <v>3168</v>
      </c>
      <c r="R393" s="50">
        <v>23</v>
      </c>
      <c r="S393" s="50">
        <v>54</v>
      </c>
      <c r="T393" s="51" t="s">
        <v>47</v>
      </c>
      <c r="U393" s="51">
        <v>0</v>
      </c>
      <c r="V393" s="52">
        <f t="shared" si="13"/>
        <v>0</v>
      </c>
      <c r="W393" s="51" t="s">
        <v>350</v>
      </c>
      <c r="X393" s="271" t="s">
        <v>905</v>
      </c>
      <c r="Y393" s="199" t="s">
        <v>50</v>
      </c>
      <c r="Z393" s="169"/>
      <c r="AA393" s="170" t="s">
        <v>2899</v>
      </c>
      <c r="AB393" s="243" t="s">
        <v>2900</v>
      </c>
      <c r="AC393" s="172">
        <v>5015</v>
      </c>
      <c r="AE393" s="137" t="s">
        <v>2776</v>
      </c>
      <c r="AF393" s="138"/>
      <c r="AG393" s="138" t="s">
        <v>56</v>
      </c>
      <c r="AH393" s="138" t="s">
        <v>56</v>
      </c>
      <c r="AI393" s="138"/>
      <c r="AJ393" s="138" t="s">
        <v>56</v>
      </c>
      <c r="AK393" s="138" t="s">
        <v>2284</v>
      </c>
      <c r="AL393" s="138" t="s">
        <v>55</v>
      </c>
    </row>
    <row r="394" spans="1:38" s="200" customFormat="1" ht="113.25" customHeight="1" x14ac:dyDescent="0.25">
      <c r="A394" s="14">
        <v>45964</v>
      </c>
      <c r="B394" s="41" t="s">
        <v>3218</v>
      </c>
      <c r="C394" s="41" t="s">
        <v>3219</v>
      </c>
      <c r="D394" s="41" t="s">
        <v>3220</v>
      </c>
      <c r="E394" s="42" t="s">
        <v>39</v>
      </c>
      <c r="F394" s="19">
        <v>1</v>
      </c>
      <c r="G394" s="43"/>
      <c r="H394" s="43"/>
      <c r="I394" s="245" t="s">
        <v>3221</v>
      </c>
      <c r="J394" s="45">
        <v>15</v>
      </c>
      <c r="K394" s="46" t="s">
        <v>3214</v>
      </c>
      <c r="L394" s="47" t="s">
        <v>63</v>
      </c>
      <c r="M394" s="73" t="s">
        <v>42</v>
      </c>
      <c r="N394" s="77" t="s">
        <v>240</v>
      </c>
      <c r="O394" s="49" t="s">
        <v>3222</v>
      </c>
      <c r="P394" s="49"/>
      <c r="Q394" s="49" t="s">
        <v>3216</v>
      </c>
      <c r="R394" s="50">
        <v>8</v>
      </c>
      <c r="S394" s="50">
        <v>11</v>
      </c>
      <c r="T394" s="51" t="s">
        <v>393</v>
      </c>
      <c r="U394" s="51">
        <v>1</v>
      </c>
      <c r="V394" s="52">
        <f t="shared" si="13"/>
        <v>15</v>
      </c>
      <c r="W394" s="51" t="s">
        <v>350</v>
      </c>
      <c r="X394" s="271" t="s">
        <v>905</v>
      </c>
      <c r="Y394" s="199" t="s">
        <v>50</v>
      </c>
      <c r="Z394" s="169"/>
      <c r="AA394" s="170" t="s">
        <v>2888</v>
      </c>
      <c r="AB394" s="243" t="s">
        <v>2889</v>
      </c>
      <c r="AC394" s="172">
        <v>3222</v>
      </c>
      <c r="AE394" s="137" t="s">
        <v>2776</v>
      </c>
      <c r="AF394" s="138"/>
      <c r="AG394" s="138" t="s">
        <v>56</v>
      </c>
      <c r="AH394" s="138" t="s">
        <v>56</v>
      </c>
      <c r="AI394" s="138"/>
      <c r="AJ394" s="138" t="s">
        <v>56</v>
      </c>
      <c r="AK394" s="138" t="s">
        <v>2284</v>
      </c>
      <c r="AL394" s="138" t="s">
        <v>55</v>
      </c>
    </row>
    <row r="395" spans="1:38" s="200" customFormat="1" ht="113.25" customHeight="1" x14ac:dyDescent="0.25">
      <c r="A395" s="14">
        <v>45964</v>
      </c>
      <c r="B395" s="41" t="s">
        <v>3223</v>
      </c>
      <c r="C395" s="41" t="s">
        <v>3224</v>
      </c>
      <c r="D395" s="41"/>
      <c r="E395" s="42" t="s">
        <v>39</v>
      </c>
      <c r="F395" s="19">
        <v>1</v>
      </c>
      <c r="G395" s="43"/>
      <c r="H395" s="43"/>
      <c r="I395" s="245" t="s">
        <v>3225</v>
      </c>
      <c r="J395" s="45">
        <v>15</v>
      </c>
      <c r="K395" s="46" t="s">
        <v>3214</v>
      </c>
      <c r="L395" s="47" t="s">
        <v>63</v>
      </c>
      <c r="M395" s="73" t="s">
        <v>42</v>
      </c>
      <c r="N395" s="77" t="s">
        <v>3226</v>
      </c>
      <c r="O395" s="49" t="s">
        <v>3115</v>
      </c>
      <c r="P395" s="49" t="s">
        <v>3227</v>
      </c>
      <c r="Q395" s="49" t="s">
        <v>3228</v>
      </c>
      <c r="R395" s="50">
        <v>35</v>
      </c>
      <c r="S395" s="50">
        <v>74</v>
      </c>
      <c r="T395" s="51" t="s">
        <v>47</v>
      </c>
      <c r="U395" s="51">
        <v>2</v>
      </c>
      <c r="V395" s="52">
        <f t="shared" si="13"/>
        <v>30</v>
      </c>
      <c r="W395" s="51" t="s">
        <v>350</v>
      </c>
      <c r="X395" s="271" t="s">
        <v>905</v>
      </c>
      <c r="Y395" s="199" t="s">
        <v>50</v>
      </c>
      <c r="Z395" s="169"/>
      <c r="AA395" s="170" t="s">
        <v>2472</v>
      </c>
      <c r="AB395" s="243" t="s">
        <v>2473</v>
      </c>
      <c r="AC395" s="172">
        <v>5770</v>
      </c>
      <c r="AE395" s="137" t="s">
        <v>2776</v>
      </c>
      <c r="AF395" s="138"/>
      <c r="AG395" s="138" t="s">
        <v>56</v>
      </c>
      <c r="AH395" s="138" t="s">
        <v>56</v>
      </c>
      <c r="AI395" s="138"/>
      <c r="AJ395" s="138" t="s">
        <v>56</v>
      </c>
      <c r="AK395" s="138" t="s">
        <v>2963</v>
      </c>
      <c r="AL395" s="203" t="s">
        <v>2865</v>
      </c>
    </row>
    <row r="396" spans="1:38" s="200" customFormat="1" ht="113.25" customHeight="1" x14ac:dyDescent="0.25">
      <c r="A396" s="14">
        <v>45964</v>
      </c>
      <c r="B396" s="95" t="s">
        <v>3229</v>
      </c>
      <c r="C396" s="95" t="s">
        <v>3230</v>
      </c>
      <c r="D396" s="95" t="s">
        <v>3231</v>
      </c>
      <c r="E396" s="96" t="s">
        <v>39</v>
      </c>
      <c r="F396" s="97"/>
      <c r="G396" s="97"/>
      <c r="H396" s="19">
        <v>1</v>
      </c>
      <c r="I396" s="245" t="s">
        <v>3232</v>
      </c>
      <c r="J396" s="98">
        <v>5</v>
      </c>
      <c r="K396" s="270" t="s">
        <v>3233</v>
      </c>
      <c r="L396" s="103" t="s">
        <v>63</v>
      </c>
      <c r="M396" s="103" t="s">
        <v>55</v>
      </c>
      <c r="N396" s="101" t="s">
        <v>3234</v>
      </c>
      <c r="O396" s="102" t="s">
        <v>3235</v>
      </c>
      <c r="P396" s="102" t="s">
        <v>3236</v>
      </c>
      <c r="Q396" s="102" t="s">
        <v>3228</v>
      </c>
      <c r="R396" s="92">
        <v>152</v>
      </c>
      <c r="S396" s="103">
        <v>692</v>
      </c>
      <c r="T396" s="96" t="s">
        <v>141</v>
      </c>
      <c r="U396" s="96">
        <v>11</v>
      </c>
      <c r="V396" s="104">
        <f t="shared" si="13"/>
        <v>55</v>
      </c>
      <c r="W396" s="96" t="s">
        <v>350</v>
      </c>
      <c r="X396" s="271" t="s">
        <v>905</v>
      </c>
      <c r="Y396" s="199" t="s">
        <v>50</v>
      </c>
      <c r="Z396" s="169"/>
      <c r="AA396" s="170" t="s">
        <v>3237</v>
      </c>
      <c r="AB396" s="243" t="s">
        <v>2889</v>
      </c>
      <c r="AC396" s="172">
        <f>12738+1120</f>
        <v>13858</v>
      </c>
      <c r="AE396" s="137" t="s">
        <v>2776</v>
      </c>
      <c r="AF396" s="138"/>
      <c r="AG396" s="138" t="s">
        <v>56</v>
      </c>
      <c r="AH396" s="138" t="s">
        <v>56</v>
      </c>
      <c r="AI396" s="138"/>
      <c r="AJ396" s="138"/>
      <c r="AK396" s="138"/>
      <c r="AL396" s="138" t="s">
        <v>55</v>
      </c>
    </row>
    <row r="397" spans="1:38" s="200" customFormat="1" ht="113.25" customHeight="1" x14ac:dyDescent="0.25">
      <c r="A397" s="14">
        <v>45964</v>
      </c>
      <c r="B397" s="95" t="s">
        <v>3238</v>
      </c>
      <c r="C397" s="95" t="s">
        <v>3239</v>
      </c>
      <c r="D397" s="95"/>
      <c r="E397" s="96" t="s">
        <v>39</v>
      </c>
      <c r="F397" s="19">
        <v>1</v>
      </c>
      <c r="G397" s="97"/>
      <c r="H397" s="97"/>
      <c r="I397" s="245" t="s">
        <v>3240</v>
      </c>
      <c r="J397" s="98">
        <v>30</v>
      </c>
      <c r="K397" s="99" t="s">
        <v>3197</v>
      </c>
      <c r="L397" s="103" t="s">
        <v>63</v>
      </c>
      <c r="M397" s="103" t="s">
        <v>55</v>
      </c>
      <c r="N397" s="101" t="s">
        <v>240</v>
      </c>
      <c r="O397" s="102" t="s">
        <v>3241</v>
      </c>
      <c r="P397" s="102" t="s">
        <v>3242</v>
      </c>
      <c r="Q397" s="102" t="s">
        <v>3199</v>
      </c>
      <c r="R397" s="103">
        <v>114</v>
      </c>
      <c r="S397" s="103">
        <v>512</v>
      </c>
      <c r="T397" s="96" t="s">
        <v>141</v>
      </c>
      <c r="U397" s="96">
        <v>3</v>
      </c>
      <c r="V397" s="104">
        <f t="shared" si="13"/>
        <v>90</v>
      </c>
      <c r="W397" s="96" t="s">
        <v>350</v>
      </c>
      <c r="X397" s="198" t="s">
        <v>881</v>
      </c>
      <c r="Y397" s="199" t="s">
        <v>50</v>
      </c>
      <c r="Z397" s="169"/>
      <c r="AA397" s="170" t="s">
        <v>2764</v>
      </c>
      <c r="AB397" s="243" t="s">
        <v>2765</v>
      </c>
      <c r="AC397" s="172">
        <v>10904</v>
      </c>
      <c r="AE397" s="137" t="s">
        <v>2776</v>
      </c>
      <c r="AF397" s="138"/>
      <c r="AG397" s="138" t="s">
        <v>56</v>
      </c>
      <c r="AH397" s="138" t="s">
        <v>86</v>
      </c>
      <c r="AI397" s="138"/>
      <c r="AJ397" s="138"/>
      <c r="AK397" s="138"/>
      <c r="AL397" s="138" t="s">
        <v>55</v>
      </c>
    </row>
    <row r="398" spans="1:38" s="200" customFormat="1" ht="113.25" customHeight="1" x14ac:dyDescent="0.25">
      <c r="A398" s="14">
        <v>45964</v>
      </c>
      <c r="B398" s="41" t="s">
        <v>3243</v>
      </c>
      <c r="C398" s="41" t="s">
        <v>3244</v>
      </c>
      <c r="D398" s="41" t="s">
        <v>3245</v>
      </c>
      <c r="E398" s="42" t="s">
        <v>39</v>
      </c>
      <c r="F398" s="19">
        <v>1</v>
      </c>
      <c r="G398" s="43"/>
      <c r="H398" s="43"/>
      <c r="I398" s="245" t="s">
        <v>3246</v>
      </c>
      <c r="J398" s="45">
        <v>50</v>
      </c>
      <c r="K398" s="46" t="s">
        <v>3247</v>
      </c>
      <c r="L398" s="47" t="s">
        <v>63</v>
      </c>
      <c r="M398" s="73" t="s">
        <v>42</v>
      </c>
      <c r="N398" s="77" t="s">
        <v>3248</v>
      </c>
      <c r="O398" s="49" t="s">
        <v>3249</v>
      </c>
      <c r="P398" s="49" t="s">
        <v>3250</v>
      </c>
      <c r="Q398" s="49" t="s">
        <v>3251</v>
      </c>
      <c r="R398" s="50">
        <v>34</v>
      </c>
      <c r="S398" s="50">
        <v>80</v>
      </c>
      <c r="T398" s="51" t="s">
        <v>47</v>
      </c>
      <c r="U398" s="51">
        <v>4</v>
      </c>
      <c r="V398" s="52">
        <f t="shared" si="13"/>
        <v>200</v>
      </c>
      <c r="W398" s="51" t="s">
        <v>350</v>
      </c>
      <c r="X398" s="198" t="s">
        <v>2384</v>
      </c>
      <c r="Y398" s="199" t="s">
        <v>50</v>
      </c>
      <c r="Z398" s="169" t="s">
        <v>3252</v>
      </c>
      <c r="AA398" s="170" t="s">
        <v>3253</v>
      </c>
      <c r="AB398" s="243" t="s">
        <v>3254</v>
      </c>
      <c r="AC398" s="172">
        <v>2562</v>
      </c>
      <c r="AE398" s="137" t="s">
        <v>3255</v>
      </c>
      <c r="AF398" s="138"/>
      <c r="AG398" s="138" t="s">
        <v>56</v>
      </c>
      <c r="AH398" s="138" t="s">
        <v>56</v>
      </c>
      <c r="AI398" s="138"/>
      <c r="AJ398" s="138" t="s">
        <v>56</v>
      </c>
      <c r="AK398" s="138" t="s">
        <v>74</v>
      </c>
      <c r="AL398" s="222" t="s">
        <v>55</v>
      </c>
    </row>
    <row r="399" spans="1:38" s="200" customFormat="1" ht="75" x14ac:dyDescent="0.25">
      <c r="A399" s="14">
        <v>45964</v>
      </c>
      <c r="B399" s="41" t="s">
        <v>3256</v>
      </c>
      <c r="C399" s="41" t="s">
        <v>3257</v>
      </c>
      <c r="D399" s="41" t="s">
        <v>3258</v>
      </c>
      <c r="E399" s="42" t="s">
        <v>39</v>
      </c>
      <c r="F399" s="43"/>
      <c r="G399" s="43"/>
      <c r="H399" s="19">
        <v>1</v>
      </c>
      <c r="I399" s="245" t="s">
        <v>3259</v>
      </c>
      <c r="J399" s="45">
        <v>40</v>
      </c>
      <c r="K399" s="46" t="s">
        <v>3204</v>
      </c>
      <c r="L399" s="47" t="s">
        <v>63</v>
      </c>
      <c r="M399" s="73" t="s">
        <v>42</v>
      </c>
      <c r="N399" s="282" t="s">
        <v>3260</v>
      </c>
      <c r="O399" s="49" t="s">
        <v>3261</v>
      </c>
      <c r="P399" s="49" t="s">
        <v>3262</v>
      </c>
      <c r="Q399" s="49" t="s">
        <v>3263</v>
      </c>
      <c r="R399" s="50">
        <v>94</v>
      </c>
      <c r="S399" s="50">
        <v>295</v>
      </c>
      <c r="T399" s="51" t="s">
        <v>180</v>
      </c>
      <c r="U399" s="51">
        <v>33</v>
      </c>
      <c r="V399" s="75">
        <f t="shared" si="13"/>
        <v>1320</v>
      </c>
      <c r="W399" s="51" t="s">
        <v>350</v>
      </c>
      <c r="X399" s="271" t="s">
        <v>905</v>
      </c>
      <c r="Y399" s="199" t="s">
        <v>50</v>
      </c>
      <c r="Z399" s="169"/>
      <c r="AA399" s="170" t="s">
        <v>2774</v>
      </c>
      <c r="AB399" s="243" t="s">
        <v>2775</v>
      </c>
      <c r="AC399" s="172">
        <v>9240.4</v>
      </c>
      <c r="AE399" s="137" t="s">
        <v>192</v>
      </c>
      <c r="AF399" s="138"/>
      <c r="AG399" s="138" t="s">
        <v>56</v>
      </c>
      <c r="AH399" s="138" t="s">
        <v>56</v>
      </c>
      <c r="AI399" s="138"/>
      <c r="AJ399" s="138"/>
      <c r="AK399" s="138"/>
      <c r="AL399" s="138" t="s">
        <v>55</v>
      </c>
    </row>
    <row r="400" spans="1:38" s="200" customFormat="1" ht="113.25" customHeight="1" x14ac:dyDescent="0.25">
      <c r="A400" s="283" t="s">
        <v>3264</v>
      </c>
      <c r="B400" s="164" t="s">
        <v>2994</v>
      </c>
      <c r="C400" s="164" t="s">
        <v>3265</v>
      </c>
      <c r="D400" s="264" t="s">
        <v>3266</v>
      </c>
      <c r="E400" s="284" t="s">
        <v>195</v>
      </c>
      <c r="F400" s="285"/>
      <c r="G400" s="285"/>
      <c r="H400" s="285"/>
      <c r="I400" s="286" t="s">
        <v>3267</v>
      </c>
      <c r="J400" s="287">
        <v>50</v>
      </c>
      <c r="K400" s="288" t="s">
        <v>2461</v>
      </c>
      <c r="L400" s="289" t="s">
        <v>63</v>
      </c>
      <c r="M400" s="290" t="s">
        <v>42</v>
      </c>
      <c r="N400" s="250" t="s">
        <v>3268</v>
      </c>
      <c r="O400" s="291"/>
      <c r="P400" s="291"/>
      <c r="Q400" s="291"/>
      <c r="R400" s="292">
        <v>17</v>
      </c>
      <c r="S400" s="292">
        <v>51</v>
      </c>
      <c r="T400" s="293" t="s">
        <v>96</v>
      </c>
      <c r="U400" s="293">
        <v>6</v>
      </c>
      <c r="V400" s="294">
        <f t="shared" si="13"/>
        <v>300</v>
      </c>
      <c r="W400" s="293" t="s">
        <v>142</v>
      </c>
      <c r="X400" s="295" t="s">
        <v>2763</v>
      </c>
      <c r="Y400" s="296" t="s">
        <v>82</v>
      </c>
      <c r="Z400" s="297" t="s">
        <v>51</v>
      </c>
      <c r="AA400" s="298" t="s">
        <v>3269</v>
      </c>
      <c r="AB400" s="299" t="s">
        <v>2862</v>
      </c>
      <c r="AC400" s="300">
        <v>0</v>
      </c>
      <c r="AD400" s="301"/>
      <c r="AE400" s="302" t="s">
        <v>1191</v>
      </c>
      <c r="AF400" s="303"/>
      <c r="AG400" s="303" t="s">
        <v>56</v>
      </c>
      <c r="AH400" s="138" t="s">
        <v>86</v>
      </c>
      <c r="AI400" s="138"/>
      <c r="AJ400" s="138"/>
      <c r="AK400" s="138"/>
      <c r="AL400" s="138" t="s">
        <v>55</v>
      </c>
    </row>
    <row r="401" spans="1:38" s="200" customFormat="1" ht="128.25" customHeight="1" x14ac:dyDescent="0.25">
      <c r="A401" s="14">
        <v>45961</v>
      </c>
      <c r="B401" s="41" t="s">
        <v>3270</v>
      </c>
      <c r="C401" s="41" t="s">
        <v>3271</v>
      </c>
      <c r="D401" s="41" t="s">
        <v>3272</v>
      </c>
      <c r="E401" s="42" t="s">
        <v>39</v>
      </c>
      <c r="F401" s="19">
        <v>1</v>
      </c>
      <c r="G401" s="43"/>
      <c r="H401" s="43"/>
      <c r="I401" s="245" t="s">
        <v>3273</v>
      </c>
      <c r="J401" s="45">
        <v>180</v>
      </c>
      <c r="K401" s="46" t="s">
        <v>3274</v>
      </c>
      <c r="L401" s="47" t="s">
        <v>63</v>
      </c>
      <c r="M401" s="73" t="s">
        <v>42</v>
      </c>
      <c r="N401" s="77" t="s">
        <v>3275</v>
      </c>
      <c r="O401" s="49"/>
      <c r="P401" s="49" t="s">
        <v>3276</v>
      </c>
      <c r="Q401" s="49" t="s">
        <v>3277</v>
      </c>
      <c r="R401" s="50">
        <v>101</v>
      </c>
      <c r="S401" s="50">
        <v>173</v>
      </c>
      <c r="T401" s="51" t="s">
        <v>67</v>
      </c>
      <c r="U401" s="51">
        <v>0</v>
      </c>
      <c r="V401" s="52">
        <f t="shared" si="13"/>
        <v>0</v>
      </c>
      <c r="W401" s="51" t="s">
        <v>350</v>
      </c>
      <c r="X401" s="198" t="s">
        <v>3278</v>
      </c>
      <c r="Y401" s="199" t="s">
        <v>82</v>
      </c>
      <c r="Z401" s="169" t="s">
        <v>3279</v>
      </c>
      <c r="AA401" s="170" t="s">
        <v>3280</v>
      </c>
      <c r="AB401" s="243" t="s">
        <v>2594</v>
      </c>
      <c r="AC401" s="35">
        <f>7274*J401/200</f>
        <v>6546.6</v>
      </c>
      <c r="AE401" s="137" t="s">
        <v>3281</v>
      </c>
      <c r="AF401" s="138"/>
      <c r="AG401" s="138" t="s">
        <v>56</v>
      </c>
      <c r="AH401" s="138" t="s">
        <v>56</v>
      </c>
      <c r="AI401" s="138"/>
      <c r="AJ401" s="138" t="s">
        <v>56</v>
      </c>
      <c r="AK401" s="138" t="s">
        <v>2284</v>
      </c>
      <c r="AL401" s="203" t="s">
        <v>3282</v>
      </c>
    </row>
    <row r="402" spans="1:38" s="200" customFormat="1" ht="165" x14ac:dyDescent="0.25">
      <c r="A402" s="14">
        <v>45961</v>
      </c>
      <c r="B402" s="41" t="s">
        <v>3283</v>
      </c>
      <c r="C402" s="41" t="s">
        <v>3284</v>
      </c>
      <c r="D402" s="41"/>
      <c r="E402" s="42" t="s">
        <v>39</v>
      </c>
      <c r="F402" s="19">
        <v>1</v>
      </c>
      <c r="G402" s="43"/>
      <c r="H402" s="43"/>
      <c r="I402" s="245" t="s">
        <v>3285</v>
      </c>
      <c r="J402" s="45">
        <v>60</v>
      </c>
      <c r="K402" s="46" t="s">
        <v>3274</v>
      </c>
      <c r="L402" s="47" t="s">
        <v>63</v>
      </c>
      <c r="M402" s="73" t="s">
        <v>42</v>
      </c>
      <c r="N402" s="77" t="s">
        <v>3286</v>
      </c>
      <c r="O402" s="49" t="s">
        <v>3287</v>
      </c>
      <c r="P402" s="49" t="s">
        <v>3288</v>
      </c>
      <c r="Q402" s="49" t="s">
        <v>3289</v>
      </c>
      <c r="R402" s="50">
        <v>38</v>
      </c>
      <c r="S402" s="50">
        <v>71</v>
      </c>
      <c r="T402" s="51" t="s">
        <v>47</v>
      </c>
      <c r="U402" s="51">
        <v>31</v>
      </c>
      <c r="V402" s="75">
        <f t="shared" si="13"/>
        <v>1860</v>
      </c>
      <c r="W402" s="51" t="s">
        <v>510</v>
      </c>
      <c r="X402" s="202" t="s">
        <v>538</v>
      </c>
      <c r="Y402" s="199" t="s">
        <v>70</v>
      </c>
      <c r="Z402" s="169"/>
      <c r="AA402" s="170" t="s">
        <v>3191</v>
      </c>
      <c r="AB402" s="243" t="s">
        <v>3073</v>
      </c>
      <c r="AC402" s="172">
        <v>4617</v>
      </c>
      <c r="AE402" s="137" t="s">
        <v>148</v>
      </c>
      <c r="AF402" s="138"/>
      <c r="AG402" s="138" t="s">
        <v>56</v>
      </c>
      <c r="AH402" s="138" t="s">
        <v>56</v>
      </c>
      <c r="AI402" s="138"/>
      <c r="AJ402" s="138"/>
      <c r="AK402" s="138"/>
      <c r="AL402" s="251" t="s">
        <v>3290</v>
      </c>
    </row>
    <row r="403" spans="1:38" s="200" customFormat="1" ht="63" customHeight="1" x14ac:dyDescent="0.25">
      <c r="A403" s="14">
        <v>45961</v>
      </c>
      <c r="B403" s="95" t="s">
        <v>3170</v>
      </c>
      <c r="C403" s="95" t="s">
        <v>3291</v>
      </c>
      <c r="D403" s="95"/>
      <c r="E403" s="96" t="s">
        <v>39</v>
      </c>
      <c r="F403" s="97"/>
      <c r="G403" s="97"/>
      <c r="H403" s="19">
        <v>1</v>
      </c>
      <c r="I403" s="245" t="s">
        <v>3292</v>
      </c>
      <c r="J403" s="98">
        <v>30</v>
      </c>
      <c r="K403" s="270" t="s">
        <v>3293</v>
      </c>
      <c r="L403" s="100" t="s">
        <v>63</v>
      </c>
      <c r="M403" s="100" t="s">
        <v>42</v>
      </c>
      <c r="N403" s="1426" t="s">
        <v>3294</v>
      </c>
      <c r="O403" s="102" t="s">
        <v>3295</v>
      </c>
      <c r="P403" s="304" t="s">
        <v>3222</v>
      </c>
      <c r="Q403" s="102" t="s">
        <v>3235</v>
      </c>
      <c r="R403" s="103">
        <v>28</v>
      </c>
      <c r="S403" s="103">
        <v>92</v>
      </c>
      <c r="T403" s="96" t="s">
        <v>47</v>
      </c>
      <c r="U403" s="96">
        <v>8</v>
      </c>
      <c r="V403" s="104">
        <f t="shared" si="13"/>
        <v>240</v>
      </c>
      <c r="W403" s="96" t="s">
        <v>350</v>
      </c>
      <c r="X403" s="271" t="s">
        <v>905</v>
      </c>
      <c r="Y403" s="199" t="s">
        <v>50</v>
      </c>
      <c r="Z403" s="169"/>
      <c r="AA403" s="170" t="s">
        <v>2888</v>
      </c>
      <c r="AB403" s="243" t="s">
        <v>2889</v>
      </c>
      <c r="AC403" s="35">
        <f>5274.9+810</f>
        <v>6084.9</v>
      </c>
      <c r="AE403" s="137" t="s">
        <v>2776</v>
      </c>
      <c r="AF403" s="138"/>
      <c r="AG403" s="138" t="s">
        <v>56</v>
      </c>
      <c r="AH403" s="138" t="s">
        <v>56</v>
      </c>
      <c r="AI403" s="138"/>
      <c r="AJ403" s="138" t="s">
        <v>56</v>
      </c>
      <c r="AK403" s="138" t="s">
        <v>2284</v>
      </c>
      <c r="AL403" s="203" t="s">
        <v>3296</v>
      </c>
    </row>
    <row r="404" spans="1:38" s="200" customFormat="1" ht="36.75" customHeight="1" x14ac:dyDescent="0.25">
      <c r="A404" s="14">
        <v>45960</v>
      </c>
      <c r="B404" s="41" t="s">
        <v>3297</v>
      </c>
      <c r="C404" s="41" t="s">
        <v>3298</v>
      </c>
      <c r="D404" s="41"/>
      <c r="E404" s="42" t="s">
        <v>39</v>
      </c>
      <c r="F404" s="43"/>
      <c r="G404" s="19">
        <v>1</v>
      </c>
      <c r="H404" s="43"/>
      <c r="I404" s="245" t="s">
        <v>3299</v>
      </c>
      <c r="J404" s="45">
        <v>20</v>
      </c>
      <c r="K404" s="46" t="s">
        <v>3300</v>
      </c>
      <c r="L404" s="47" t="s">
        <v>63</v>
      </c>
      <c r="M404" s="73" t="s">
        <v>42</v>
      </c>
      <c r="N404" s="77" t="s">
        <v>240</v>
      </c>
      <c r="O404" s="49" t="s">
        <v>3301</v>
      </c>
      <c r="P404" s="49" t="s">
        <v>3302</v>
      </c>
      <c r="Q404" s="49" t="s">
        <v>3295</v>
      </c>
      <c r="R404" s="50">
        <v>15</v>
      </c>
      <c r="S404" s="50">
        <v>23</v>
      </c>
      <c r="T404" s="51" t="s">
        <v>47</v>
      </c>
      <c r="U404" s="51">
        <v>0</v>
      </c>
      <c r="V404" s="52">
        <f t="shared" si="13"/>
        <v>0</v>
      </c>
      <c r="W404" s="51" t="s">
        <v>350</v>
      </c>
      <c r="X404" s="271" t="s">
        <v>905</v>
      </c>
      <c r="Y404" s="199" t="s">
        <v>50</v>
      </c>
      <c r="Z404" s="169"/>
      <c r="AA404" s="170" t="s">
        <v>2888</v>
      </c>
      <c r="AB404" s="243" t="s">
        <v>2889</v>
      </c>
      <c r="AC404" s="172">
        <v>3714</v>
      </c>
      <c r="AE404" s="137" t="s">
        <v>3169</v>
      </c>
      <c r="AF404" s="138"/>
      <c r="AG404" s="138" t="s">
        <v>56</v>
      </c>
      <c r="AH404" s="138" t="s">
        <v>56</v>
      </c>
      <c r="AI404" s="138"/>
      <c r="AJ404" s="138"/>
      <c r="AK404" s="138"/>
      <c r="AL404" s="138" t="s">
        <v>55</v>
      </c>
    </row>
    <row r="405" spans="1:38" ht="30" customHeight="1" x14ac:dyDescent="0.25">
      <c r="A405" s="14">
        <v>45960</v>
      </c>
      <c r="B405" s="41" t="s">
        <v>3297</v>
      </c>
      <c r="C405" s="41" t="s">
        <v>3303</v>
      </c>
      <c r="D405" s="41" t="s">
        <v>3304</v>
      </c>
      <c r="E405" s="42" t="s">
        <v>39</v>
      </c>
      <c r="F405" s="43"/>
      <c r="G405" s="19">
        <v>2</v>
      </c>
      <c r="H405" s="43"/>
      <c r="I405" s="245" t="s">
        <v>3305</v>
      </c>
      <c r="J405" s="45">
        <v>25</v>
      </c>
      <c r="K405" s="46" t="s">
        <v>3300</v>
      </c>
      <c r="L405" s="47" t="s">
        <v>63</v>
      </c>
      <c r="M405" s="73" t="s">
        <v>42</v>
      </c>
      <c r="N405" s="77" t="s">
        <v>240</v>
      </c>
      <c r="O405" s="49" t="s">
        <v>3306</v>
      </c>
      <c r="P405" s="49" t="s">
        <v>3307</v>
      </c>
      <c r="Q405" s="49" t="s">
        <v>3235</v>
      </c>
      <c r="R405" s="50">
        <v>12</v>
      </c>
      <c r="S405" s="50">
        <v>13</v>
      </c>
      <c r="T405" s="51" t="s">
        <v>47</v>
      </c>
      <c r="U405" s="51">
        <v>0</v>
      </c>
      <c r="V405" s="52">
        <f t="shared" si="13"/>
        <v>0</v>
      </c>
      <c r="W405" s="51" t="s">
        <v>350</v>
      </c>
      <c r="X405" s="271" t="s">
        <v>905</v>
      </c>
      <c r="Y405" s="168" t="s">
        <v>50</v>
      </c>
      <c r="Z405" s="169"/>
      <c r="AA405" s="170" t="s">
        <v>2899</v>
      </c>
      <c r="AB405" s="243" t="s">
        <v>2900</v>
      </c>
      <c r="AC405" s="172">
        <v>3446.25</v>
      </c>
      <c r="AE405" s="137" t="s">
        <v>3169</v>
      </c>
      <c r="AF405" s="138"/>
      <c r="AG405" s="138" t="s">
        <v>56</v>
      </c>
      <c r="AH405" s="138" t="s">
        <v>56</v>
      </c>
      <c r="AI405" s="138"/>
      <c r="AJ405" s="138" t="s">
        <v>56</v>
      </c>
      <c r="AK405" s="138" t="s">
        <v>2284</v>
      </c>
      <c r="AL405" s="222" t="s">
        <v>55</v>
      </c>
    </row>
    <row r="406" spans="1:38" s="200" customFormat="1" ht="31.5" customHeight="1" x14ac:dyDescent="0.25">
      <c r="A406" s="14">
        <v>45960</v>
      </c>
      <c r="B406" s="41" t="s">
        <v>3308</v>
      </c>
      <c r="C406" s="41" t="s">
        <v>3309</v>
      </c>
      <c r="D406" s="41" t="s">
        <v>3310</v>
      </c>
      <c r="E406" s="42" t="s">
        <v>39</v>
      </c>
      <c r="F406" s="43"/>
      <c r="G406" s="43"/>
      <c r="H406" s="19">
        <v>2</v>
      </c>
      <c r="I406" s="245" t="s">
        <v>3311</v>
      </c>
      <c r="J406" s="45">
        <v>50</v>
      </c>
      <c r="K406" s="46" t="s">
        <v>3312</v>
      </c>
      <c r="L406" s="47" t="s">
        <v>63</v>
      </c>
      <c r="M406" s="73" t="s">
        <v>42</v>
      </c>
      <c r="N406" s="77" t="s">
        <v>3313</v>
      </c>
      <c r="O406" s="49" t="s">
        <v>3314</v>
      </c>
      <c r="P406" s="49" t="s">
        <v>3315</v>
      </c>
      <c r="Q406" s="49" t="s">
        <v>3316</v>
      </c>
      <c r="R406" s="50">
        <v>31</v>
      </c>
      <c r="S406" s="50">
        <v>60</v>
      </c>
      <c r="T406" s="51" t="s">
        <v>47</v>
      </c>
      <c r="U406" s="51">
        <v>6</v>
      </c>
      <c r="V406" s="52">
        <f t="shared" si="13"/>
        <v>300</v>
      </c>
      <c r="W406" s="51" t="s">
        <v>350</v>
      </c>
      <c r="X406" s="271" t="s">
        <v>905</v>
      </c>
      <c r="Y406" s="199" t="s">
        <v>50</v>
      </c>
      <c r="Z406" s="169"/>
      <c r="AA406" s="170" t="s">
        <v>2899</v>
      </c>
      <c r="AB406" s="243" t="s">
        <v>2900</v>
      </c>
      <c r="AC406" s="172">
        <v>5765</v>
      </c>
      <c r="AE406" s="137" t="s">
        <v>2776</v>
      </c>
      <c r="AF406" s="138"/>
      <c r="AG406" s="138" t="s">
        <v>56</v>
      </c>
      <c r="AH406" s="138" t="s">
        <v>56</v>
      </c>
      <c r="AI406" s="138"/>
      <c r="AJ406" s="138" t="s">
        <v>56</v>
      </c>
      <c r="AK406" s="138" t="s">
        <v>2284</v>
      </c>
      <c r="AL406" s="138" t="s">
        <v>55</v>
      </c>
    </row>
    <row r="407" spans="1:38" s="200" customFormat="1" ht="30" customHeight="1" x14ac:dyDescent="0.25">
      <c r="A407" s="14">
        <v>45959</v>
      </c>
      <c r="B407" s="41" t="s">
        <v>3297</v>
      </c>
      <c r="C407" s="41" t="s">
        <v>3298</v>
      </c>
      <c r="D407" s="41" t="s">
        <v>3164</v>
      </c>
      <c r="E407" s="42" t="s">
        <v>39</v>
      </c>
      <c r="F407" s="19">
        <v>1</v>
      </c>
      <c r="G407" s="43"/>
      <c r="H407" s="43"/>
      <c r="I407" s="245" t="s">
        <v>3317</v>
      </c>
      <c r="J407" s="45">
        <v>15</v>
      </c>
      <c r="K407" s="46" t="s">
        <v>3300</v>
      </c>
      <c r="L407" s="47" t="s">
        <v>63</v>
      </c>
      <c r="M407" s="73" t="s">
        <v>42</v>
      </c>
      <c r="N407" s="77" t="s">
        <v>240</v>
      </c>
      <c r="O407" s="49" t="s">
        <v>3318</v>
      </c>
      <c r="P407" s="49" t="s">
        <v>3319</v>
      </c>
      <c r="Q407" s="49" t="s">
        <v>3320</v>
      </c>
      <c r="R407" s="50">
        <v>2</v>
      </c>
      <c r="S407" s="50">
        <v>4</v>
      </c>
      <c r="T407" s="51" t="s">
        <v>47</v>
      </c>
      <c r="U407" s="51">
        <v>0</v>
      </c>
      <c r="V407" s="52">
        <f t="shared" ref="V407:V465" si="14">U407*J407</f>
        <v>0</v>
      </c>
      <c r="W407" s="51" t="s">
        <v>350</v>
      </c>
      <c r="X407" s="271" t="s">
        <v>905</v>
      </c>
      <c r="Y407" s="199" t="s">
        <v>50</v>
      </c>
      <c r="Z407" s="169"/>
      <c r="AA407" s="170" t="s">
        <v>2888</v>
      </c>
      <c r="AB407" s="243" t="s">
        <v>2889</v>
      </c>
      <c r="AC407" s="172">
        <v>2430</v>
      </c>
      <c r="AE407" s="137" t="s">
        <v>2776</v>
      </c>
      <c r="AF407" s="138"/>
      <c r="AG407" s="138" t="s">
        <v>56</v>
      </c>
      <c r="AH407" s="138" t="s">
        <v>56</v>
      </c>
      <c r="AI407" s="138"/>
      <c r="AJ407" s="138"/>
      <c r="AK407" s="138"/>
      <c r="AL407" s="138" t="s">
        <v>55</v>
      </c>
    </row>
    <row r="408" spans="1:38" s="200" customFormat="1" ht="45.75" customHeight="1" x14ac:dyDescent="0.25">
      <c r="A408" s="14">
        <v>45959</v>
      </c>
      <c r="B408" s="41" t="s">
        <v>3321</v>
      </c>
      <c r="C408" s="41" t="s">
        <v>3322</v>
      </c>
      <c r="D408" s="41" t="s">
        <v>3323</v>
      </c>
      <c r="E408" s="42" t="s">
        <v>39</v>
      </c>
      <c r="F408" s="19">
        <v>1</v>
      </c>
      <c r="G408" s="43"/>
      <c r="H408" s="43"/>
      <c r="I408" s="245" t="s">
        <v>3324</v>
      </c>
      <c r="J408" s="45">
        <v>50</v>
      </c>
      <c r="K408" s="46" t="s">
        <v>3325</v>
      </c>
      <c r="L408" s="47" t="s">
        <v>63</v>
      </c>
      <c r="M408" s="73" t="s">
        <v>42</v>
      </c>
      <c r="N408" s="77" t="s">
        <v>3326</v>
      </c>
      <c r="O408" s="49" t="s">
        <v>3249</v>
      </c>
      <c r="P408" s="49" t="s">
        <v>3250</v>
      </c>
      <c r="Q408" s="49" t="s">
        <v>3327</v>
      </c>
      <c r="R408" s="50">
        <v>34</v>
      </c>
      <c r="S408" s="50">
        <v>80</v>
      </c>
      <c r="T408" s="51" t="s">
        <v>47</v>
      </c>
      <c r="U408" s="51">
        <v>4</v>
      </c>
      <c r="V408" s="52">
        <f t="shared" si="14"/>
        <v>200</v>
      </c>
      <c r="W408" s="51" t="s">
        <v>350</v>
      </c>
      <c r="X408" s="198" t="s">
        <v>2384</v>
      </c>
      <c r="Y408" s="199" t="s">
        <v>50</v>
      </c>
      <c r="Z408" s="169" t="s">
        <v>3252</v>
      </c>
      <c r="AA408" s="170" t="s">
        <v>1701</v>
      </c>
      <c r="AB408" s="243" t="s">
        <v>2594</v>
      </c>
      <c r="AC408" s="35">
        <v>3147</v>
      </c>
      <c r="AE408" s="137" t="s">
        <v>3328</v>
      </c>
      <c r="AF408" s="138"/>
      <c r="AG408" s="138" t="s">
        <v>56</v>
      </c>
      <c r="AH408" s="138" t="s">
        <v>56</v>
      </c>
      <c r="AI408" s="138"/>
      <c r="AJ408" s="138" t="s">
        <v>56</v>
      </c>
      <c r="AK408" s="138" t="s">
        <v>74</v>
      </c>
      <c r="AL408" s="138"/>
    </row>
    <row r="409" spans="1:38" ht="195" x14ac:dyDescent="0.25">
      <c r="A409" s="14">
        <v>45959</v>
      </c>
      <c r="B409" s="41" t="s">
        <v>3329</v>
      </c>
      <c r="C409" s="41" t="s">
        <v>3330</v>
      </c>
      <c r="D409" s="41"/>
      <c r="E409" s="42" t="s">
        <v>39</v>
      </c>
      <c r="F409" s="19">
        <v>1</v>
      </c>
      <c r="G409" s="43"/>
      <c r="H409" s="43"/>
      <c r="I409" s="245" t="s">
        <v>3331</v>
      </c>
      <c r="J409" s="45">
        <v>75</v>
      </c>
      <c r="K409" s="46" t="s">
        <v>3332</v>
      </c>
      <c r="L409" s="47" t="s">
        <v>63</v>
      </c>
      <c r="M409" s="73" t="s">
        <v>42</v>
      </c>
      <c r="N409" s="77" t="s">
        <v>3333</v>
      </c>
      <c r="O409" s="49" t="s">
        <v>3334</v>
      </c>
      <c r="P409" s="49" t="s">
        <v>3335</v>
      </c>
      <c r="Q409" s="49" t="s">
        <v>3276</v>
      </c>
      <c r="R409" s="50">
        <v>118</v>
      </c>
      <c r="S409" s="50">
        <v>455</v>
      </c>
      <c r="T409" s="51" t="s">
        <v>180</v>
      </c>
      <c r="U409" s="51">
        <v>28</v>
      </c>
      <c r="V409" s="75">
        <f t="shared" si="14"/>
        <v>2100</v>
      </c>
      <c r="W409" s="51" t="s">
        <v>350</v>
      </c>
      <c r="X409" s="202" t="s">
        <v>538</v>
      </c>
      <c r="Y409" s="168" t="s">
        <v>324</v>
      </c>
      <c r="Z409" s="169"/>
      <c r="AA409" s="170" t="s">
        <v>3336</v>
      </c>
      <c r="AB409" s="243" t="s">
        <v>3337</v>
      </c>
      <c r="AC409" s="172">
        <v>14552</v>
      </c>
      <c r="AE409" s="137" t="s">
        <v>148</v>
      </c>
      <c r="AF409" s="138"/>
      <c r="AG409" s="138" t="s">
        <v>56</v>
      </c>
      <c r="AH409" s="138" t="s">
        <v>56</v>
      </c>
      <c r="AI409" s="138"/>
      <c r="AJ409" s="138"/>
      <c r="AK409" s="138"/>
      <c r="AL409" s="138" t="s">
        <v>55</v>
      </c>
    </row>
    <row r="410" spans="1:38" s="200" customFormat="1" ht="90" x14ac:dyDescent="0.25">
      <c r="A410" s="14">
        <v>45958</v>
      </c>
      <c r="B410" s="41" t="s">
        <v>3338</v>
      </c>
      <c r="C410" s="41" t="s">
        <v>3339</v>
      </c>
      <c r="D410" s="41"/>
      <c r="E410" s="42" t="s">
        <v>39</v>
      </c>
      <c r="F410" s="19">
        <v>2</v>
      </c>
      <c r="G410" s="43"/>
      <c r="H410" s="43"/>
      <c r="I410" s="245" t="s">
        <v>3340</v>
      </c>
      <c r="J410" s="45">
        <v>24</v>
      </c>
      <c r="K410" s="46" t="s">
        <v>3332</v>
      </c>
      <c r="L410" s="47" t="s">
        <v>63</v>
      </c>
      <c r="M410" s="73" t="s">
        <v>42</v>
      </c>
      <c r="N410" s="77" t="s">
        <v>3341</v>
      </c>
      <c r="O410" s="49" t="s">
        <v>3342</v>
      </c>
      <c r="P410" s="49"/>
      <c r="Q410" s="49" t="s">
        <v>3343</v>
      </c>
      <c r="R410" s="50">
        <v>1</v>
      </c>
      <c r="S410" s="50">
        <v>1</v>
      </c>
      <c r="T410" s="51" t="s">
        <v>393</v>
      </c>
      <c r="U410" s="51">
        <v>29</v>
      </c>
      <c r="V410" s="75">
        <f t="shared" si="14"/>
        <v>696</v>
      </c>
      <c r="W410" s="51" t="s">
        <v>510</v>
      </c>
      <c r="X410" s="198" t="s">
        <v>2449</v>
      </c>
      <c r="Y410" s="199" t="s">
        <v>82</v>
      </c>
      <c r="Z410" s="169" t="s">
        <v>3344</v>
      </c>
      <c r="AA410" s="170" t="s">
        <v>3345</v>
      </c>
      <c r="AB410" s="243" t="s">
        <v>3346</v>
      </c>
      <c r="AC410" s="172">
        <v>1188</v>
      </c>
      <c r="AE410" s="137" t="s">
        <v>2776</v>
      </c>
      <c r="AF410" s="138"/>
      <c r="AG410" s="138" t="s">
        <v>56</v>
      </c>
      <c r="AH410" s="138" t="s">
        <v>56</v>
      </c>
      <c r="AI410" s="138"/>
      <c r="AJ410" s="138" t="s">
        <v>3347</v>
      </c>
      <c r="AK410" s="138" t="s">
        <v>74</v>
      </c>
      <c r="AL410" s="251" t="s">
        <v>3348</v>
      </c>
    </row>
    <row r="411" spans="1:38" s="200" customFormat="1" ht="44.25" customHeight="1" x14ac:dyDescent="0.25">
      <c r="A411" s="14">
        <v>45958</v>
      </c>
      <c r="B411" s="41" t="s">
        <v>3349</v>
      </c>
      <c r="C411" s="41" t="s">
        <v>3350</v>
      </c>
      <c r="D411" s="41"/>
      <c r="E411" s="42" t="s">
        <v>39</v>
      </c>
      <c r="F411" s="43"/>
      <c r="G411" s="43"/>
      <c r="H411" s="19">
        <v>1</v>
      </c>
      <c r="I411" s="245" t="s">
        <v>3351</v>
      </c>
      <c r="J411" s="45">
        <v>5</v>
      </c>
      <c r="K411" s="46" t="s">
        <v>3352</v>
      </c>
      <c r="L411" s="50" t="s">
        <v>63</v>
      </c>
      <c r="M411" s="73" t="s">
        <v>42</v>
      </c>
      <c r="N411" s="77" t="s">
        <v>2070</v>
      </c>
      <c r="O411" s="49" t="s">
        <v>3353</v>
      </c>
      <c r="P411" s="49" t="s">
        <v>3354</v>
      </c>
      <c r="Q411" s="49" t="s">
        <v>3355</v>
      </c>
      <c r="R411" s="92">
        <v>136</v>
      </c>
      <c r="S411" s="50">
        <v>1133</v>
      </c>
      <c r="T411" s="51" t="s">
        <v>180</v>
      </c>
      <c r="U411" s="51">
        <v>10</v>
      </c>
      <c r="V411" s="52">
        <f t="shared" si="14"/>
        <v>50</v>
      </c>
      <c r="W411" s="51" t="s">
        <v>350</v>
      </c>
      <c r="X411" s="271" t="s">
        <v>905</v>
      </c>
      <c r="Y411" s="199" t="s">
        <v>50</v>
      </c>
      <c r="Z411" s="169"/>
      <c r="AA411" s="170" t="s">
        <v>3253</v>
      </c>
      <c r="AB411" s="243" t="s">
        <v>3254</v>
      </c>
      <c r="AC411" s="172">
        <v>7796.15</v>
      </c>
      <c r="AE411" s="255" t="s">
        <v>3356</v>
      </c>
      <c r="AF411" s="138"/>
      <c r="AG411" s="138" t="s">
        <v>56</v>
      </c>
      <c r="AH411" s="138" t="s">
        <v>56</v>
      </c>
      <c r="AI411" s="138"/>
      <c r="AJ411" s="138"/>
      <c r="AK411" s="138"/>
      <c r="AL411" s="138" t="s">
        <v>55</v>
      </c>
    </row>
    <row r="412" spans="1:38" s="200" customFormat="1" ht="73.5" customHeight="1" x14ac:dyDescent="0.25">
      <c r="A412" s="14">
        <v>45958</v>
      </c>
      <c r="B412" s="41" t="s">
        <v>2933</v>
      </c>
      <c r="C412" s="41" t="s">
        <v>3357</v>
      </c>
      <c r="D412" s="41"/>
      <c r="E412" s="42" t="s">
        <v>39</v>
      </c>
      <c r="F412" s="43"/>
      <c r="G412" s="43"/>
      <c r="H412" s="19">
        <v>1</v>
      </c>
      <c r="I412" s="245" t="s">
        <v>3358</v>
      </c>
      <c r="J412" s="45">
        <v>5</v>
      </c>
      <c r="K412" s="46" t="s">
        <v>3359</v>
      </c>
      <c r="L412" s="47" t="s">
        <v>63</v>
      </c>
      <c r="M412" s="73" t="s">
        <v>42</v>
      </c>
      <c r="N412" s="77" t="s">
        <v>3360</v>
      </c>
      <c r="O412" s="49"/>
      <c r="P412" s="49" t="s">
        <v>3355</v>
      </c>
      <c r="Q412" s="49" t="s">
        <v>3250</v>
      </c>
      <c r="R412" s="50">
        <v>106</v>
      </c>
      <c r="S412" s="50">
        <v>570</v>
      </c>
      <c r="T412" s="51" t="s">
        <v>67</v>
      </c>
      <c r="U412" s="51">
        <v>18</v>
      </c>
      <c r="V412" s="52">
        <f t="shared" si="14"/>
        <v>90</v>
      </c>
      <c r="W412" s="51" t="s">
        <v>350</v>
      </c>
      <c r="X412" s="198" t="s">
        <v>1004</v>
      </c>
      <c r="Y412" s="199" t="s">
        <v>82</v>
      </c>
      <c r="Z412" s="169"/>
      <c r="AA412" s="170" t="s">
        <v>2774</v>
      </c>
      <c r="AB412" s="243" t="s">
        <v>2775</v>
      </c>
      <c r="AC412" s="172">
        <v>8250</v>
      </c>
      <c r="AE412" s="255" t="s">
        <v>1191</v>
      </c>
      <c r="AF412" s="138"/>
      <c r="AG412" s="138" t="s">
        <v>56</v>
      </c>
      <c r="AH412" s="138" t="s">
        <v>56</v>
      </c>
      <c r="AI412" s="138"/>
      <c r="AJ412" s="138" t="s">
        <v>56</v>
      </c>
      <c r="AK412" s="138" t="s">
        <v>74</v>
      </c>
      <c r="AL412" s="138" t="s">
        <v>55</v>
      </c>
    </row>
    <row r="413" spans="1:38" s="200" customFormat="1" ht="37.5" customHeight="1" x14ac:dyDescent="0.25">
      <c r="A413" s="14">
        <v>45958</v>
      </c>
      <c r="B413" s="41" t="s">
        <v>3361</v>
      </c>
      <c r="C413" s="41" t="s">
        <v>3362</v>
      </c>
      <c r="D413" s="41"/>
      <c r="E413" s="42" t="s">
        <v>39</v>
      </c>
      <c r="F413" s="19">
        <v>1</v>
      </c>
      <c r="G413" s="43"/>
      <c r="H413" s="43"/>
      <c r="I413" s="268" t="s">
        <v>3363</v>
      </c>
      <c r="J413" s="45">
        <v>100</v>
      </c>
      <c r="K413" s="46" t="s">
        <v>3364</v>
      </c>
      <c r="L413" s="47" t="s">
        <v>63</v>
      </c>
      <c r="M413" s="73" t="s">
        <v>42</v>
      </c>
      <c r="N413" s="77" t="s">
        <v>3365</v>
      </c>
      <c r="O413" s="49"/>
      <c r="P413" s="49" t="s">
        <v>3366</v>
      </c>
      <c r="Q413" s="49" t="s">
        <v>3367</v>
      </c>
      <c r="R413" s="50">
        <v>18</v>
      </c>
      <c r="S413" s="50">
        <v>33</v>
      </c>
      <c r="T413" s="51" t="s">
        <v>96</v>
      </c>
      <c r="U413" s="51">
        <v>9</v>
      </c>
      <c r="V413" s="75">
        <f t="shared" si="14"/>
        <v>900</v>
      </c>
      <c r="W413" s="51" t="s">
        <v>350</v>
      </c>
      <c r="X413" s="198" t="s">
        <v>2952</v>
      </c>
      <c r="Y413" s="199" t="s">
        <v>82</v>
      </c>
      <c r="Z413" s="169"/>
      <c r="AA413" s="170" t="s">
        <v>3368</v>
      </c>
      <c r="AB413" s="243" t="s">
        <v>3209</v>
      </c>
      <c r="AC413" s="172">
        <v>4557</v>
      </c>
      <c r="AE413" s="137" t="s">
        <v>2776</v>
      </c>
      <c r="AF413" s="138"/>
      <c r="AG413" s="138" t="s">
        <v>56</v>
      </c>
      <c r="AH413" s="138" t="s">
        <v>86</v>
      </c>
      <c r="AI413" s="138"/>
      <c r="AJ413" s="138"/>
      <c r="AK413" s="138"/>
      <c r="AL413" s="222" t="s">
        <v>55</v>
      </c>
    </row>
    <row r="414" spans="1:38" s="200" customFormat="1" ht="77.25" x14ac:dyDescent="0.25">
      <c r="A414" s="14">
        <v>45957</v>
      </c>
      <c r="B414" s="95" t="s">
        <v>3256</v>
      </c>
      <c r="C414" s="95" t="s">
        <v>3369</v>
      </c>
      <c r="D414" s="95" t="s">
        <v>3370</v>
      </c>
      <c r="E414" s="96" t="s">
        <v>195</v>
      </c>
      <c r="F414" s="97"/>
      <c r="G414" s="97"/>
      <c r="H414" s="97"/>
      <c r="I414" s="245" t="s">
        <v>3371</v>
      </c>
      <c r="J414" s="98">
        <v>1</v>
      </c>
      <c r="K414" s="99" t="s">
        <v>3372</v>
      </c>
      <c r="L414" s="253" t="s">
        <v>42</v>
      </c>
      <c r="M414" s="259" t="s">
        <v>55</v>
      </c>
      <c r="N414" s="101" t="s">
        <v>3373</v>
      </c>
      <c r="O414" s="102"/>
      <c r="P414" s="102"/>
      <c r="Q414" s="102"/>
      <c r="R414" s="103">
        <v>0</v>
      </c>
      <c r="S414" s="103">
        <v>0</v>
      </c>
      <c r="T414" s="96">
        <v>0</v>
      </c>
      <c r="U414" s="96">
        <v>90</v>
      </c>
      <c r="V414" s="104">
        <f t="shared" si="14"/>
        <v>90</v>
      </c>
      <c r="W414" s="96" t="s">
        <v>350</v>
      </c>
      <c r="X414" s="198" t="s">
        <v>3374</v>
      </c>
      <c r="Y414" s="199" t="s">
        <v>70</v>
      </c>
      <c r="Z414" s="169"/>
      <c r="AA414" s="170" t="s">
        <v>3253</v>
      </c>
      <c r="AB414" s="243" t="s">
        <v>3375</v>
      </c>
      <c r="AC414" s="172">
        <v>2078</v>
      </c>
      <c r="AE414" s="137" t="s">
        <v>2776</v>
      </c>
      <c r="AF414" s="138" t="s">
        <v>354</v>
      </c>
      <c r="AG414" s="138" t="s">
        <v>56</v>
      </c>
      <c r="AH414" s="138" t="s">
        <v>56</v>
      </c>
      <c r="AI414" s="138"/>
      <c r="AJ414" s="138"/>
      <c r="AK414" s="138"/>
      <c r="AL414" s="251" t="s">
        <v>3376</v>
      </c>
    </row>
    <row r="415" spans="1:38" s="200" customFormat="1" ht="154.5" x14ac:dyDescent="0.25">
      <c r="A415" s="14">
        <v>45957</v>
      </c>
      <c r="B415" s="41" t="s">
        <v>3270</v>
      </c>
      <c r="C415" s="41" t="s">
        <v>3271</v>
      </c>
      <c r="D415" s="41" t="s">
        <v>3377</v>
      </c>
      <c r="E415" s="42" t="s">
        <v>39</v>
      </c>
      <c r="F415" s="19">
        <v>3</v>
      </c>
      <c r="G415" s="43"/>
      <c r="H415" s="43"/>
      <c r="I415" s="245" t="s">
        <v>3378</v>
      </c>
      <c r="J415" s="45">
        <v>20</v>
      </c>
      <c r="K415" s="46" t="s">
        <v>3379</v>
      </c>
      <c r="L415" s="47" t="s">
        <v>63</v>
      </c>
      <c r="M415" s="73" t="s">
        <v>42</v>
      </c>
      <c r="N415" s="77" t="s">
        <v>3380</v>
      </c>
      <c r="O415" s="49"/>
      <c r="P415" s="49" t="s">
        <v>3276</v>
      </c>
      <c r="Q415" s="49" t="s">
        <v>3381</v>
      </c>
      <c r="R415" s="50">
        <v>101</v>
      </c>
      <c r="S415" s="50">
        <v>173</v>
      </c>
      <c r="T415" s="51" t="s">
        <v>67</v>
      </c>
      <c r="U415" s="51">
        <v>0</v>
      </c>
      <c r="V415" s="52">
        <f t="shared" si="14"/>
        <v>0</v>
      </c>
      <c r="W415" s="51" t="s">
        <v>350</v>
      </c>
      <c r="X415" s="198" t="s">
        <v>3278</v>
      </c>
      <c r="Y415" s="199" t="s">
        <v>82</v>
      </c>
      <c r="Z415" s="169" t="s">
        <v>3382</v>
      </c>
      <c r="AA415" s="170" t="s">
        <v>3280</v>
      </c>
      <c r="AB415" s="243" t="s">
        <v>2594</v>
      </c>
      <c r="AC415" s="35">
        <f>7274*J415/200</f>
        <v>727.4</v>
      </c>
      <c r="AE415" s="137" t="s">
        <v>3383</v>
      </c>
      <c r="AF415" s="138"/>
      <c r="AG415" s="138" t="s">
        <v>56</v>
      </c>
      <c r="AH415" s="138" t="s">
        <v>56</v>
      </c>
      <c r="AI415" s="138"/>
      <c r="AJ415" s="138" t="s">
        <v>56</v>
      </c>
      <c r="AK415" s="138" t="s">
        <v>2284</v>
      </c>
      <c r="AL415" s="203" t="s">
        <v>3282</v>
      </c>
    </row>
    <row r="416" spans="1:38" ht="138.75" x14ac:dyDescent="0.25">
      <c r="A416" s="14">
        <v>45957</v>
      </c>
      <c r="B416" s="95" t="s">
        <v>3384</v>
      </c>
      <c r="C416" s="95" t="s">
        <v>3385</v>
      </c>
      <c r="D416" s="95" t="s">
        <v>3386</v>
      </c>
      <c r="E416" s="96" t="s">
        <v>39</v>
      </c>
      <c r="F416" s="19">
        <v>1</v>
      </c>
      <c r="G416" s="97"/>
      <c r="H416" s="97"/>
      <c r="I416" s="245" t="s">
        <v>3387</v>
      </c>
      <c r="J416" s="98">
        <v>200</v>
      </c>
      <c r="K416" s="270" t="s">
        <v>3372</v>
      </c>
      <c r="L416" s="103" t="s">
        <v>63</v>
      </c>
      <c r="M416" s="100" t="s">
        <v>55</v>
      </c>
      <c r="N416" s="305" t="s">
        <v>3388</v>
      </c>
      <c r="O416" s="102" t="s">
        <v>3389</v>
      </c>
      <c r="P416" s="102" t="s">
        <v>3390</v>
      </c>
      <c r="Q416" s="102" t="s">
        <v>3391</v>
      </c>
      <c r="R416" s="103">
        <v>9</v>
      </c>
      <c r="S416" s="103">
        <v>14</v>
      </c>
      <c r="T416" s="96" t="s">
        <v>47</v>
      </c>
      <c r="U416" s="96">
        <v>0</v>
      </c>
      <c r="V416" s="104">
        <f t="shared" si="14"/>
        <v>0</v>
      </c>
      <c r="W416" s="96" t="s">
        <v>350</v>
      </c>
      <c r="X416" s="198" t="s">
        <v>773</v>
      </c>
      <c r="Y416" s="199" t="s">
        <v>70</v>
      </c>
      <c r="Z416" s="169"/>
      <c r="AA416" s="170" t="s">
        <v>3237</v>
      </c>
      <c r="AB416" s="243" t="s">
        <v>2775</v>
      </c>
      <c r="AC416" s="172">
        <v>4940</v>
      </c>
      <c r="AE416" s="137" t="s">
        <v>2776</v>
      </c>
      <c r="AF416" s="138"/>
      <c r="AG416" s="138" t="s">
        <v>56</v>
      </c>
      <c r="AH416" s="138" t="s">
        <v>56</v>
      </c>
      <c r="AI416" s="138"/>
      <c r="AJ416" s="138"/>
      <c r="AK416" s="138"/>
      <c r="AL416" s="222" t="s">
        <v>55</v>
      </c>
    </row>
    <row r="417" spans="1:51" s="307" customFormat="1" ht="90" customHeight="1" x14ac:dyDescent="0.25">
      <c r="A417" s="14">
        <v>45957</v>
      </c>
      <c r="B417" s="41" t="s">
        <v>3392</v>
      </c>
      <c r="C417" s="41" t="s">
        <v>3393</v>
      </c>
      <c r="D417" s="41"/>
      <c r="E417" s="42" t="s">
        <v>39</v>
      </c>
      <c r="F417" s="43"/>
      <c r="G417" s="43"/>
      <c r="H417" s="19">
        <v>1</v>
      </c>
      <c r="I417" s="245" t="s">
        <v>3394</v>
      </c>
      <c r="J417" s="45">
        <v>35</v>
      </c>
      <c r="K417" s="46" t="s">
        <v>3395</v>
      </c>
      <c r="L417" s="50" t="s">
        <v>63</v>
      </c>
      <c r="M417" s="73" t="s">
        <v>42</v>
      </c>
      <c r="N417" s="77" t="s">
        <v>3396</v>
      </c>
      <c r="O417" s="49" t="s">
        <v>3397</v>
      </c>
      <c r="P417" s="49" t="s">
        <v>3288</v>
      </c>
      <c r="Q417" s="49" t="s">
        <v>3398</v>
      </c>
      <c r="R417" s="92">
        <v>166</v>
      </c>
      <c r="S417" s="50">
        <v>380</v>
      </c>
      <c r="T417" s="51" t="s">
        <v>180</v>
      </c>
      <c r="U417" s="51">
        <v>12</v>
      </c>
      <c r="V417" s="52">
        <f t="shared" si="14"/>
        <v>420</v>
      </c>
      <c r="W417" s="51" t="s">
        <v>142</v>
      </c>
      <c r="X417" s="306" t="s">
        <v>3399</v>
      </c>
      <c r="Y417" s="199" t="s">
        <v>82</v>
      </c>
      <c r="Z417" s="169"/>
      <c r="AA417" s="170" t="s">
        <v>3400</v>
      </c>
      <c r="AB417" s="243" t="s">
        <v>2567</v>
      </c>
      <c r="AC417" s="243" t="s">
        <v>3401</v>
      </c>
      <c r="AD417" s="200"/>
      <c r="AE417" s="137" t="s">
        <v>148</v>
      </c>
      <c r="AF417" s="138"/>
      <c r="AG417" s="138" t="s">
        <v>56</v>
      </c>
      <c r="AH417" s="138" t="s">
        <v>56</v>
      </c>
      <c r="AI417" s="138"/>
      <c r="AJ417" s="138"/>
      <c r="AK417" s="138"/>
      <c r="AL417" s="138" t="s">
        <v>55</v>
      </c>
      <c r="AM417" s="200"/>
      <c r="AN417" s="200"/>
      <c r="AO417" s="200"/>
      <c r="AP417" s="200"/>
      <c r="AQ417" s="200"/>
      <c r="AR417" s="200"/>
      <c r="AS417" s="200"/>
      <c r="AT417" s="200"/>
      <c r="AU417" s="200"/>
      <c r="AV417" s="200"/>
      <c r="AW417" s="200"/>
      <c r="AX417" s="200"/>
      <c r="AY417" s="200"/>
    </row>
    <row r="418" spans="1:51" s="200" customFormat="1" ht="135" x14ac:dyDescent="0.25">
      <c r="A418" s="14">
        <v>45957</v>
      </c>
      <c r="B418" s="41" t="s">
        <v>3402</v>
      </c>
      <c r="C418" s="41" t="s">
        <v>3403</v>
      </c>
      <c r="D418" s="41"/>
      <c r="E418" s="42" t="s">
        <v>39</v>
      </c>
      <c r="F418" s="43"/>
      <c r="G418" s="43"/>
      <c r="H418" s="19">
        <v>1</v>
      </c>
      <c r="I418" s="245" t="s">
        <v>3404</v>
      </c>
      <c r="J418" s="45">
        <v>25</v>
      </c>
      <c r="K418" s="46" t="s">
        <v>3405</v>
      </c>
      <c r="L418" s="47" t="s">
        <v>63</v>
      </c>
      <c r="M418" s="73" t="s">
        <v>42</v>
      </c>
      <c r="N418" s="77" t="s">
        <v>3406</v>
      </c>
      <c r="O418" s="49" t="s">
        <v>3276</v>
      </c>
      <c r="P418" s="49" t="s">
        <v>3407</v>
      </c>
      <c r="Q418" s="49" t="s">
        <v>3354</v>
      </c>
      <c r="R418" s="50">
        <v>53</v>
      </c>
      <c r="S418" s="50">
        <v>237</v>
      </c>
      <c r="T418" s="51" t="s">
        <v>47</v>
      </c>
      <c r="U418" s="51">
        <v>29</v>
      </c>
      <c r="V418" s="75">
        <f t="shared" si="14"/>
        <v>725</v>
      </c>
      <c r="W418" s="51" t="s">
        <v>68</v>
      </c>
      <c r="X418" s="198" t="s">
        <v>3408</v>
      </c>
      <c r="Y418" s="199" t="s">
        <v>82</v>
      </c>
      <c r="Z418" s="169" t="s">
        <v>3409</v>
      </c>
      <c r="AA418" s="170" t="s">
        <v>3280</v>
      </c>
      <c r="AB418" s="243" t="s">
        <v>3410</v>
      </c>
      <c r="AC418" s="35">
        <v>5014.5</v>
      </c>
      <c r="AE418" s="137" t="s">
        <v>148</v>
      </c>
      <c r="AF418" s="138"/>
      <c r="AG418" s="138" t="s">
        <v>56</v>
      </c>
      <c r="AH418" s="138" t="s">
        <v>56</v>
      </c>
      <c r="AI418" s="138"/>
      <c r="AJ418" s="138"/>
      <c r="AK418" s="138"/>
      <c r="AL418" s="138" t="s">
        <v>55</v>
      </c>
    </row>
    <row r="419" spans="1:51" s="200" customFormat="1" ht="105" x14ac:dyDescent="0.25">
      <c r="A419" s="14">
        <v>45954</v>
      </c>
      <c r="B419" s="41" t="s">
        <v>3270</v>
      </c>
      <c r="C419" s="41" t="s">
        <v>3411</v>
      </c>
      <c r="D419" s="41"/>
      <c r="E419" s="42" t="s">
        <v>39</v>
      </c>
      <c r="F419" s="19">
        <v>1</v>
      </c>
      <c r="G419" s="43"/>
      <c r="H419" s="43"/>
      <c r="I419" s="245" t="s">
        <v>3412</v>
      </c>
      <c r="J419" s="45">
        <v>20</v>
      </c>
      <c r="K419" s="46" t="s">
        <v>3413</v>
      </c>
      <c r="L419" s="47" t="s">
        <v>63</v>
      </c>
      <c r="M419" s="73" t="s">
        <v>42</v>
      </c>
      <c r="N419" s="77" t="s">
        <v>1163</v>
      </c>
      <c r="O419" s="49"/>
      <c r="P419" s="49" t="s">
        <v>3414</v>
      </c>
      <c r="Q419" s="49" t="s">
        <v>3415</v>
      </c>
      <c r="R419" s="50">
        <v>29</v>
      </c>
      <c r="S419" s="50">
        <v>238</v>
      </c>
      <c r="T419" s="51" t="s">
        <v>96</v>
      </c>
      <c r="U419" s="51">
        <v>37</v>
      </c>
      <c r="V419" s="52">
        <f t="shared" si="14"/>
        <v>740</v>
      </c>
      <c r="W419" s="51" t="s">
        <v>510</v>
      </c>
      <c r="X419" s="198" t="s">
        <v>1166</v>
      </c>
      <c r="Y419" s="199" t="s">
        <v>82</v>
      </c>
      <c r="Z419" s="169"/>
      <c r="AA419" s="170" t="s">
        <v>1701</v>
      </c>
      <c r="AB419" s="243" t="s">
        <v>2775</v>
      </c>
      <c r="AC419" s="35">
        <v>5076</v>
      </c>
      <c r="AE419" s="137" t="s">
        <v>148</v>
      </c>
      <c r="AF419" s="138"/>
      <c r="AG419" s="138" t="s">
        <v>56</v>
      </c>
      <c r="AH419" s="138" t="s">
        <v>56</v>
      </c>
      <c r="AI419" s="138"/>
      <c r="AJ419" s="138"/>
      <c r="AK419" s="138" t="s">
        <v>2284</v>
      </c>
      <c r="AL419" s="138" t="s">
        <v>55</v>
      </c>
    </row>
    <row r="420" spans="1:51" s="200" customFormat="1" ht="137.25" x14ac:dyDescent="0.25">
      <c r="A420" s="14">
        <v>45954</v>
      </c>
      <c r="B420" s="41" t="s">
        <v>3416</v>
      </c>
      <c r="C420" s="41" t="s">
        <v>3417</v>
      </c>
      <c r="D420" s="41" t="s">
        <v>3418</v>
      </c>
      <c r="E420" s="42" t="s">
        <v>39</v>
      </c>
      <c r="F420" s="19">
        <v>1</v>
      </c>
      <c r="G420" s="43"/>
      <c r="H420" s="43"/>
      <c r="I420" s="245" t="s">
        <v>3419</v>
      </c>
      <c r="J420" s="45">
        <v>25</v>
      </c>
      <c r="K420" s="46" t="s">
        <v>3413</v>
      </c>
      <c r="L420" s="47" t="s">
        <v>63</v>
      </c>
      <c r="M420" s="73" t="s">
        <v>42</v>
      </c>
      <c r="N420" s="77" t="s">
        <v>3420</v>
      </c>
      <c r="O420" s="49" t="s">
        <v>3189</v>
      </c>
      <c r="P420" s="49" t="s">
        <v>3421</v>
      </c>
      <c r="Q420" s="49" t="s">
        <v>3414</v>
      </c>
      <c r="R420" s="50">
        <v>70</v>
      </c>
      <c r="S420" s="50">
        <v>299</v>
      </c>
      <c r="T420" s="51" t="s">
        <v>47</v>
      </c>
      <c r="U420" s="51">
        <v>77</v>
      </c>
      <c r="V420" s="75">
        <f t="shared" si="14"/>
        <v>1925</v>
      </c>
      <c r="W420" s="51" t="s">
        <v>350</v>
      </c>
      <c r="X420" s="198" t="s">
        <v>265</v>
      </c>
      <c r="Y420" s="199" t="s">
        <v>82</v>
      </c>
      <c r="Z420" s="169"/>
      <c r="AA420" s="170" t="s">
        <v>2925</v>
      </c>
      <c r="AB420" s="243" t="s">
        <v>3254</v>
      </c>
      <c r="AC420" s="172">
        <v>6112.5</v>
      </c>
      <c r="AE420" s="137" t="s">
        <v>148</v>
      </c>
      <c r="AF420" s="138"/>
      <c r="AG420" s="138" t="s">
        <v>56</v>
      </c>
      <c r="AH420" s="138" t="s">
        <v>56</v>
      </c>
      <c r="AI420" s="138"/>
      <c r="AJ420" s="138"/>
      <c r="AK420" s="138"/>
      <c r="AL420" s="222" t="s">
        <v>55</v>
      </c>
    </row>
    <row r="421" spans="1:51" s="200" customFormat="1" ht="60" customHeight="1" x14ac:dyDescent="0.25">
      <c r="A421" s="14">
        <v>45954</v>
      </c>
      <c r="B421" s="41" t="s">
        <v>3422</v>
      </c>
      <c r="C421" s="41" t="s">
        <v>3423</v>
      </c>
      <c r="D421" s="41" t="s">
        <v>3424</v>
      </c>
      <c r="E421" s="42" t="s">
        <v>39</v>
      </c>
      <c r="F421" s="19">
        <v>1</v>
      </c>
      <c r="G421" s="43"/>
      <c r="H421" s="43"/>
      <c r="I421" s="268" t="s">
        <v>3425</v>
      </c>
      <c r="J421" s="45">
        <v>87</v>
      </c>
      <c r="K421" s="46" t="s">
        <v>3426</v>
      </c>
      <c r="L421" s="47" t="s">
        <v>63</v>
      </c>
      <c r="M421" s="73" t="s">
        <v>42</v>
      </c>
      <c r="N421" s="77" t="s">
        <v>3427</v>
      </c>
      <c r="O421" s="49" t="s">
        <v>3428</v>
      </c>
      <c r="P421" s="49" t="s">
        <v>3429</v>
      </c>
      <c r="Q421" s="49" t="s">
        <v>3366</v>
      </c>
      <c r="R421" s="50">
        <v>53</v>
      </c>
      <c r="S421" s="50">
        <v>189</v>
      </c>
      <c r="T421" s="51" t="s">
        <v>47</v>
      </c>
      <c r="U421" s="51">
        <v>61</v>
      </c>
      <c r="V421" s="75">
        <f t="shared" si="14"/>
        <v>5307</v>
      </c>
      <c r="W421" s="51" t="s">
        <v>221</v>
      </c>
      <c r="X421" s="198" t="s">
        <v>1234</v>
      </c>
      <c r="Y421" s="199" t="s">
        <v>1862</v>
      </c>
      <c r="Z421" s="169"/>
      <c r="AA421" s="170" t="s">
        <v>1863</v>
      </c>
      <c r="AB421" s="243" t="s">
        <v>2090</v>
      </c>
      <c r="AC421" s="35">
        <f>850 + (25021.54 * J421/254)</f>
        <v>9420.3700000000008</v>
      </c>
      <c r="AE421" s="137" t="s">
        <v>2776</v>
      </c>
      <c r="AF421" s="138" t="s">
        <v>354</v>
      </c>
      <c r="AG421" s="138" t="s">
        <v>56</v>
      </c>
      <c r="AH421" s="138" t="s">
        <v>56</v>
      </c>
      <c r="AI421" s="138"/>
      <c r="AJ421" s="138"/>
      <c r="AK421" s="138"/>
      <c r="AL421" s="222" t="s">
        <v>55</v>
      </c>
    </row>
    <row r="422" spans="1:51" s="200" customFormat="1" ht="138" customHeight="1" x14ac:dyDescent="0.25">
      <c r="A422" s="14">
        <v>45953</v>
      </c>
      <c r="B422" s="95" t="s">
        <v>3430</v>
      </c>
      <c r="C422" s="95" t="s">
        <v>3431</v>
      </c>
      <c r="D422" s="95" t="s">
        <v>3432</v>
      </c>
      <c r="E422" s="96" t="s">
        <v>39</v>
      </c>
      <c r="F422" s="97"/>
      <c r="G422" s="97"/>
      <c r="H422" s="19">
        <v>1</v>
      </c>
      <c r="I422" s="268" t="s">
        <v>3433</v>
      </c>
      <c r="J422" s="98">
        <v>70</v>
      </c>
      <c r="K422" s="99" t="s">
        <v>10006</v>
      </c>
      <c r="L422" s="100" t="s">
        <v>63</v>
      </c>
      <c r="M422" s="246" t="s">
        <v>42</v>
      </c>
      <c r="N422" s="305" t="s">
        <v>3434</v>
      </c>
      <c r="O422" s="102" t="s">
        <v>3421</v>
      </c>
      <c r="P422" s="102" t="s">
        <v>3435</v>
      </c>
      <c r="Q422" s="102" t="s">
        <v>3276</v>
      </c>
      <c r="R422" s="103">
        <v>66</v>
      </c>
      <c r="S422" s="103">
        <v>188</v>
      </c>
      <c r="T422" s="96" t="s">
        <v>47</v>
      </c>
      <c r="U422" s="96">
        <v>4</v>
      </c>
      <c r="V422" s="104">
        <f t="shared" si="14"/>
        <v>280</v>
      </c>
      <c r="W422" s="96" t="s">
        <v>350</v>
      </c>
      <c r="X422" s="198" t="s">
        <v>3436</v>
      </c>
      <c r="Y422" s="199" t="s">
        <v>50</v>
      </c>
      <c r="Z422" s="169" t="s">
        <v>483</v>
      </c>
      <c r="AA422" s="170" t="s">
        <v>3437</v>
      </c>
      <c r="AB422" s="243" t="s">
        <v>3438</v>
      </c>
      <c r="AC422" s="35">
        <f>4646*J422/100</f>
        <v>3252.2</v>
      </c>
      <c r="AE422" s="137" t="s">
        <v>2776</v>
      </c>
      <c r="AF422" s="138"/>
      <c r="AG422" s="138" t="s">
        <v>56</v>
      </c>
      <c r="AH422" s="138" t="s">
        <v>56</v>
      </c>
      <c r="AI422" s="138"/>
      <c r="AJ422" s="138" t="s">
        <v>56</v>
      </c>
      <c r="AK422" s="138" t="s">
        <v>3439</v>
      </c>
      <c r="AL422" s="251" t="s">
        <v>3440</v>
      </c>
    </row>
    <row r="423" spans="1:51" s="200" customFormat="1" ht="105" x14ac:dyDescent="0.25">
      <c r="A423" s="14">
        <v>45953</v>
      </c>
      <c r="B423" s="95" t="s">
        <v>3441</v>
      </c>
      <c r="C423" s="95" t="s">
        <v>3442</v>
      </c>
      <c r="D423" s="95" t="s">
        <v>3443</v>
      </c>
      <c r="E423" s="96" t="s">
        <v>39</v>
      </c>
      <c r="F423" s="19">
        <v>1</v>
      </c>
      <c r="G423" s="97"/>
      <c r="H423" s="97"/>
      <c r="I423" s="245" t="s">
        <v>3444</v>
      </c>
      <c r="J423" s="98">
        <v>200</v>
      </c>
      <c r="K423" s="99" t="s">
        <v>3445</v>
      </c>
      <c r="L423" s="100" t="s">
        <v>63</v>
      </c>
      <c r="M423" s="246" t="s">
        <v>42</v>
      </c>
      <c r="N423" s="101" t="s">
        <v>240</v>
      </c>
      <c r="O423" s="102" t="s">
        <v>3446</v>
      </c>
      <c r="P423" s="102" t="s">
        <v>3447</v>
      </c>
      <c r="Q423" s="102" t="s">
        <v>3288</v>
      </c>
      <c r="R423" s="103">
        <v>3</v>
      </c>
      <c r="S423" s="103">
        <v>4</v>
      </c>
      <c r="T423" s="96" t="s">
        <v>47</v>
      </c>
      <c r="U423" s="96">
        <v>1</v>
      </c>
      <c r="V423" s="104">
        <f t="shared" si="14"/>
        <v>200</v>
      </c>
      <c r="W423" s="96" t="s">
        <v>350</v>
      </c>
      <c r="X423" s="198" t="s">
        <v>773</v>
      </c>
      <c r="Y423" s="199" t="s">
        <v>70</v>
      </c>
      <c r="Z423" s="169"/>
      <c r="AA423" s="170" t="s">
        <v>2925</v>
      </c>
      <c r="AB423" s="243" t="s">
        <v>2594</v>
      </c>
      <c r="AC423" s="172">
        <v>4210</v>
      </c>
      <c r="AE423" s="137" t="s">
        <v>3383</v>
      </c>
      <c r="AF423" s="138"/>
      <c r="AG423" s="138" t="s">
        <v>56</v>
      </c>
      <c r="AH423" s="138" t="s">
        <v>626</v>
      </c>
      <c r="AI423" s="138"/>
      <c r="AJ423" s="138"/>
      <c r="AK423" s="138"/>
      <c r="AL423" s="138" t="s">
        <v>55</v>
      </c>
    </row>
    <row r="424" spans="1:51" s="200" customFormat="1" ht="39" customHeight="1" x14ac:dyDescent="0.25">
      <c r="A424" s="14">
        <v>45953</v>
      </c>
      <c r="B424" s="41" t="s">
        <v>3448</v>
      </c>
      <c r="C424" s="41" t="s">
        <v>3449</v>
      </c>
      <c r="D424" s="41"/>
      <c r="E424" s="42" t="s">
        <v>39</v>
      </c>
      <c r="F424" s="19">
        <v>1</v>
      </c>
      <c r="G424" s="43"/>
      <c r="H424" s="43"/>
      <c r="I424" s="245" t="s">
        <v>3450</v>
      </c>
      <c r="J424" s="45">
        <v>100</v>
      </c>
      <c r="K424" s="46" t="s">
        <v>3451</v>
      </c>
      <c r="L424" s="47" t="s">
        <v>63</v>
      </c>
      <c r="M424" s="73" t="s">
        <v>42</v>
      </c>
      <c r="N424" s="77" t="s">
        <v>3452</v>
      </c>
      <c r="O424" s="49"/>
      <c r="P424" s="49" t="s">
        <v>3453</v>
      </c>
      <c r="Q424" s="194" t="s">
        <v>3454</v>
      </c>
      <c r="R424" s="50">
        <v>29</v>
      </c>
      <c r="S424" s="50">
        <v>50</v>
      </c>
      <c r="T424" s="51" t="s">
        <v>96</v>
      </c>
      <c r="U424" s="51">
        <v>6</v>
      </c>
      <c r="V424" s="52">
        <f t="shared" si="14"/>
        <v>600</v>
      </c>
      <c r="W424" s="51" t="s">
        <v>142</v>
      </c>
      <c r="X424" s="198" t="s">
        <v>3455</v>
      </c>
      <c r="Y424" s="199" t="s">
        <v>324</v>
      </c>
      <c r="Z424" s="269"/>
      <c r="AA424" s="170" t="s">
        <v>3280</v>
      </c>
      <c r="AB424" s="243" t="s">
        <v>3346</v>
      </c>
      <c r="AC424" s="172">
        <v>2965</v>
      </c>
      <c r="AE424" s="137" t="s">
        <v>2776</v>
      </c>
      <c r="AF424" s="138"/>
      <c r="AG424" s="138" t="s">
        <v>56</v>
      </c>
      <c r="AH424" s="138" t="s">
        <v>86</v>
      </c>
      <c r="AI424" s="138"/>
      <c r="AJ424" s="138"/>
      <c r="AK424" s="222"/>
      <c r="AL424" s="222"/>
    </row>
    <row r="425" spans="1:51" s="200" customFormat="1" ht="142.5" customHeight="1" x14ac:dyDescent="0.25">
      <c r="A425" s="14">
        <v>45952</v>
      </c>
      <c r="B425" s="95" t="s">
        <v>3430</v>
      </c>
      <c r="C425" s="95" t="s">
        <v>3431</v>
      </c>
      <c r="D425" s="95" t="s">
        <v>3432</v>
      </c>
      <c r="E425" s="96" t="s">
        <v>39</v>
      </c>
      <c r="F425" s="97"/>
      <c r="G425" s="97"/>
      <c r="H425" s="19">
        <v>1</v>
      </c>
      <c r="I425" s="268" t="s">
        <v>3456</v>
      </c>
      <c r="J425" s="98">
        <v>30</v>
      </c>
      <c r="K425" s="99" t="s">
        <v>3457</v>
      </c>
      <c r="L425" s="100" t="s">
        <v>63</v>
      </c>
      <c r="M425" s="246" t="s">
        <v>42</v>
      </c>
      <c r="N425" s="305" t="s">
        <v>3458</v>
      </c>
      <c r="O425" s="102" t="s">
        <v>3421</v>
      </c>
      <c r="P425" s="102" t="s">
        <v>3435</v>
      </c>
      <c r="Q425" s="102" t="s">
        <v>3276</v>
      </c>
      <c r="R425" s="103">
        <v>66</v>
      </c>
      <c r="S425" s="103">
        <v>188</v>
      </c>
      <c r="T425" s="96" t="s">
        <v>47</v>
      </c>
      <c r="U425" s="96">
        <v>4</v>
      </c>
      <c r="V425" s="104">
        <f t="shared" si="14"/>
        <v>120</v>
      </c>
      <c r="W425" s="96" t="s">
        <v>350</v>
      </c>
      <c r="X425" s="198" t="s">
        <v>3436</v>
      </c>
      <c r="Y425" s="199" t="s">
        <v>50</v>
      </c>
      <c r="Z425" s="169" t="s">
        <v>483</v>
      </c>
      <c r="AA425" s="170" t="s">
        <v>3437</v>
      </c>
      <c r="AB425" s="243" t="s">
        <v>3438</v>
      </c>
      <c r="AC425" s="35">
        <f>4646*J425/100 + 1000</f>
        <v>2393.8000000000002</v>
      </c>
      <c r="AE425" s="137" t="s">
        <v>2776</v>
      </c>
      <c r="AF425" s="138"/>
      <c r="AG425" s="138" t="s">
        <v>56</v>
      </c>
      <c r="AH425" s="138" t="s">
        <v>56</v>
      </c>
      <c r="AI425" s="138"/>
      <c r="AJ425" s="138" t="s">
        <v>56</v>
      </c>
      <c r="AK425" s="138" t="s">
        <v>3439</v>
      </c>
      <c r="AL425" s="251" t="s">
        <v>3440</v>
      </c>
    </row>
    <row r="426" spans="1:51" ht="76.5" customHeight="1" x14ac:dyDescent="0.25">
      <c r="A426" s="14">
        <v>45952</v>
      </c>
      <c r="B426" s="41" t="s">
        <v>3459</v>
      </c>
      <c r="C426" s="41" t="s">
        <v>3460</v>
      </c>
      <c r="D426" s="41"/>
      <c r="E426" s="42" t="s">
        <v>39</v>
      </c>
      <c r="F426" s="43"/>
      <c r="G426" s="43"/>
      <c r="H426" s="19">
        <v>1</v>
      </c>
      <c r="I426" s="268" t="s">
        <v>3461</v>
      </c>
      <c r="J426" s="45">
        <v>25</v>
      </c>
      <c r="K426" s="46" t="s">
        <v>3462</v>
      </c>
      <c r="L426" s="47" t="s">
        <v>63</v>
      </c>
      <c r="M426" s="73" t="s">
        <v>42</v>
      </c>
      <c r="N426" s="77" t="s">
        <v>3463</v>
      </c>
      <c r="O426" s="49" t="s">
        <v>3453</v>
      </c>
      <c r="P426" s="49" t="s">
        <v>3464</v>
      </c>
      <c r="Q426" s="49" t="s">
        <v>3465</v>
      </c>
      <c r="R426" s="92">
        <v>161</v>
      </c>
      <c r="S426" s="92">
        <v>1198</v>
      </c>
      <c r="T426" s="51" t="s">
        <v>141</v>
      </c>
      <c r="U426" s="51">
        <v>15</v>
      </c>
      <c r="V426" s="52">
        <f t="shared" si="14"/>
        <v>375</v>
      </c>
      <c r="W426" s="51" t="s">
        <v>350</v>
      </c>
      <c r="X426" s="198" t="s">
        <v>2825</v>
      </c>
      <c r="Y426" s="199" t="s">
        <v>144</v>
      </c>
      <c r="Z426" s="169" t="s">
        <v>645</v>
      </c>
      <c r="AA426" s="170" t="s">
        <v>3466</v>
      </c>
      <c r="AB426" s="243" t="s">
        <v>2973</v>
      </c>
      <c r="AC426" s="172">
        <v>14250</v>
      </c>
      <c r="AE426" s="137" t="s">
        <v>2776</v>
      </c>
      <c r="AF426" s="138" t="s">
        <v>354</v>
      </c>
      <c r="AG426" s="138" t="s">
        <v>56</v>
      </c>
      <c r="AH426" s="138" t="s">
        <v>86</v>
      </c>
      <c r="AI426" s="138"/>
      <c r="AJ426" s="138"/>
      <c r="AK426" s="222"/>
      <c r="AL426" s="222" t="s">
        <v>55</v>
      </c>
    </row>
    <row r="427" spans="1:51" s="200" customFormat="1" ht="149.25" customHeight="1" x14ac:dyDescent="0.25">
      <c r="A427" s="14">
        <v>45952</v>
      </c>
      <c r="B427" s="41" t="s">
        <v>3329</v>
      </c>
      <c r="C427" s="41" t="s">
        <v>3330</v>
      </c>
      <c r="D427" s="41"/>
      <c r="E427" s="42" t="s">
        <v>39</v>
      </c>
      <c r="F427" s="19">
        <v>1</v>
      </c>
      <c r="G427" s="43"/>
      <c r="H427" s="43"/>
      <c r="I427" s="268" t="s">
        <v>3467</v>
      </c>
      <c r="J427" s="45">
        <v>15</v>
      </c>
      <c r="K427" s="46" t="s">
        <v>3468</v>
      </c>
      <c r="L427" s="50" t="s">
        <v>63</v>
      </c>
      <c r="M427" s="73" t="s">
        <v>42</v>
      </c>
      <c r="N427" s="77" t="s">
        <v>3469</v>
      </c>
      <c r="O427" s="49">
        <v>136275</v>
      </c>
      <c r="P427" s="49" t="s">
        <v>3335</v>
      </c>
      <c r="Q427" s="49" t="s">
        <v>3470</v>
      </c>
      <c r="R427" s="50">
        <v>119</v>
      </c>
      <c r="S427" s="50">
        <v>455</v>
      </c>
      <c r="T427" s="51" t="s">
        <v>180</v>
      </c>
      <c r="U427" s="51">
        <v>28</v>
      </c>
      <c r="V427" s="52">
        <f t="shared" si="14"/>
        <v>420</v>
      </c>
      <c r="W427" s="51" t="s">
        <v>350</v>
      </c>
      <c r="X427" s="202" t="s">
        <v>538</v>
      </c>
      <c r="Y427" s="199" t="s">
        <v>324</v>
      </c>
      <c r="Z427" s="169"/>
      <c r="AA427" s="170" t="s">
        <v>3336</v>
      </c>
      <c r="AB427" s="243" t="s">
        <v>3471</v>
      </c>
      <c r="AC427" s="172">
        <f>7072.8+1030</f>
        <v>8102.8</v>
      </c>
      <c r="AE427" s="137" t="s">
        <v>148</v>
      </c>
      <c r="AF427" s="138"/>
      <c r="AG427" s="138" t="s">
        <v>56</v>
      </c>
      <c r="AH427" s="138" t="s">
        <v>56</v>
      </c>
      <c r="AI427" s="138"/>
      <c r="AJ427" s="138"/>
      <c r="AK427" s="138"/>
      <c r="AL427" s="138" t="s">
        <v>55</v>
      </c>
    </row>
    <row r="428" spans="1:51" s="200" customFormat="1" ht="186.75" customHeight="1" x14ac:dyDescent="0.25">
      <c r="A428" s="14">
        <v>45952</v>
      </c>
      <c r="B428" s="41" t="s">
        <v>3472</v>
      </c>
      <c r="C428" s="41" t="s">
        <v>3473</v>
      </c>
      <c r="D428" s="41"/>
      <c r="E428" s="42" t="s">
        <v>39</v>
      </c>
      <c r="F428" s="19">
        <v>1</v>
      </c>
      <c r="G428" s="43"/>
      <c r="H428" s="43"/>
      <c r="I428" s="245" t="s">
        <v>3474</v>
      </c>
      <c r="J428" s="45">
        <v>25</v>
      </c>
      <c r="K428" s="46" t="s">
        <v>3468</v>
      </c>
      <c r="L428" s="47" t="s">
        <v>63</v>
      </c>
      <c r="M428" s="73" t="s">
        <v>42</v>
      </c>
      <c r="N428" s="77" t="s">
        <v>3475</v>
      </c>
      <c r="O428" s="49"/>
      <c r="P428" s="49" t="s">
        <v>3476</v>
      </c>
      <c r="Q428" s="308" t="s">
        <v>3188</v>
      </c>
      <c r="R428" s="50">
        <v>28</v>
      </c>
      <c r="S428" s="50">
        <v>119</v>
      </c>
      <c r="T428" s="51" t="s">
        <v>96</v>
      </c>
      <c r="U428" s="51">
        <v>30</v>
      </c>
      <c r="V428" s="52">
        <f t="shared" si="14"/>
        <v>750</v>
      </c>
      <c r="W428" s="51" t="s">
        <v>68</v>
      </c>
      <c r="X428" s="198" t="s">
        <v>3408</v>
      </c>
      <c r="Y428" s="199" t="s">
        <v>82</v>
      </c>
      <c r="Z428" s="169"/>
      <c r="AA428" s="170" t="s">
        <v>3477</v>
      </c>
      <c r="AB428" s="243" t="s">
        <v>2567</v>
      </c>
      <c r="AC428" s="172">
        <v>3808</v>
      </c>
      <c r="AE428" s="137" t="s">
        <v>148</v>
      </c>
      <c r="AF428" s="138"/>
      <c r="AG428" s="138" t="s">
        <v>56</v>
      </c>
      <c r="AH428" s="138" t="s">
        <v>56</v>
      </c>
      <c r="AI428" s="138"/>
      <c r="AJ428" s="138"/>
      <c r="AK428" s="138"/>
      <c r="AL428" s="251" t="s">
        <v>3478</v>
      </c>
    </row>
    <row r="429" spans="1:51" s="200" customFormat="1" ht="105" x14ac:dyDescent="0.25">
      <c r="A429" s="14">
        <v>45951</v>
      </c>
      <c r="B429" s="41" t="s">
        <v>3479</v>
      </c>
      <c r="C429" s="41" t="s">
        <v>3480</v>
      </c>
      <c r="D429" s="41" t="s">
        <v>3481</v>
      </c>
      <c r="E429" s="42" t="s">
        <v>39</v>
      </c>
      <c r="F429" s="19">
        <v>1</v>
      </c>
      <c r="G429" s="43"/>
      <c r="H429" s="43"/>
      <c r="I429" s="245" t="s">
        <v>3482</v>
      </c>
      <c r="J429" s="45">
        <v>15</v>
      </c>
      <c r="K429" s="46" t="s">
        <v>3483</v>
      </c>
      <c r="L429" s="47" t="s">
        <v>63</v>
      </c>
      <c r="M429" s="73" t="s">
        <v>42</v>
      </c>
      <c r="N429" s="77" t="s">
        <v>3484</v>
      </c>
      <c r="O429" s="49"/>
      <c r="P429" s="49" t="s">
        <v>3485</v>
      </c>
      <c r="Q429" s="49" t="s">
        <v>3486</v>
      </c>
      <c r="R429" s="50">
        <v>106</v>
      </c>
      <c r="S429" s="50">
        <v>570</v>
      </c>
      <c r="T429" s="51" t="s">
        <v>67</v>
      </c>
      <c r="U429" s="51">
        <v>18</v>
      </c>
      <c r="V429" s="52">
        <f t="shared" si="14"/>
        <v>270</v>
      </c>
      <c r="W429" s="51" t="s">
        <v>350</v>
      </c>
      <c r="X429" s="198" t="s">
        <v>1004</v>
      </c>
      <c r="Y429" s="199" t="s">
        <v>82</v>
      </c>
      <c r="Z429" s="169"/>
      <c r="AA429" s="170" t="s">
        <v>3400</v>
      </c>
      <c r="AB429" s="243" t="s">
        <v>3487</v>
      </c>
      <c r="AC429" s="172">
        <v>7173.3</v>
      </c>
      <c r="AE429" s="137" t="s">
        <v>148</v>
      </c>
      <c r="AF429" s="138"/>
      <c r="AG429" s="138" t="s">
        <v>56</v>
      </c>
      <c r="AH429" s="138" t="s">
        <v>56</v>
      </c>
      <c r="AI429" s="138"/>
      <c r="AJ429" s="138"/>
      <c r="AK429" s="138"/>
      <c r="AL429" s="222" t="s">
        <v>3488</v>
      </c>
    </row>
    <row r="430" spans="1:51" s="307" customFormat="1" ht="75" x14ac:dyDescent="0.25">
      <c r="A430" s="14">
        <v>45951</v>
      </c>
      <c r="B430" s="41" t="s">
        <v>3489</v>
      </c>
      <c r="C430" s="41" t="s">
        <v>3490</v>
      </c>
      <c r="D430" s="41"/>
      <c r="E430" s="42" t="s">
        <v>39</v>
      </c>
      <c r="F430" s="19">
        <v>3</v>
      </c>
      <c r="G430" s="43"/>
      <c r="H430" s="43"/>
      <c r="I430" s="245" t="s">
        <v>3491</v>
      </c>
      <c r="J430" s="45">
        <v>12</v>
      </c>
      <c r="K430" s="46" t="s">
        <v>3492</v>
      </c>
      <c r="L430" s="47" t="s">
        <v>63</v>
      </c>
      <c r="M430" s="73" t="s">
        <v>42</v>
      </c>
      <c r="N430" s="77" t="s">
        <v>240</v>
      </c>
      <c r="O430" s="49"/>
      <c r="P430" s="49" t="s">
        <v>3493</v>
      </c>
      <c r="Q430" s="49" t="s">
        <v>3494</v>
      </c>
      <c r="R430" s="50">
        <v>1</v>
      </c>
      <c r="S430" s="50">
        <v>40</v>
      </c>
      <c r="T430" s="51" t="s">
        <v>96</v>
      </c>
      <c r="U430" s="51">
        <v>47</v>
      </c>
      <c r="V430" s="52">
        <f t="shared" si="14"/>
        <v>564</v>
      </c>
      <c r="W430" s="51" t="s">
        <v>68</v>
      </c>
      <c r="X430" s="198" t="s">
        <v>3495</v>
      </c>
      <c r="Y430" s="199" t="s">
        <v>1862</v>
      </c>
      <c r="Z430" s="169"/>
      <c r="AA430" s="170" t="s">
        <v>3400</v>
      </c>
      <c r="AB430" s="243" t="s">
        <v>3496</v>
      </c>
      <c r="AC430" s="172">
        <v>2961</v>
      </c>
      <c r="AD430" s="200"/>
      <c r="AE430" s="137" t="s">
        <v>148</v>
      </c>
      <c r="AF430" s="138"/>
      <c r="AG430" s="138" t="s">
        <v>56</v>
      </c>
      <c r="AH430" s="138" t="s">
        <v>86</v>
      </c>
      <c r="AI430" s="138"/>
      <c r="AJ430" s="138" t="s">
        <v>56</v>
      </c>
      <c r="AK430" s="138" t="s">
        <v>74</v>
      </c>
      <c r="AL430" s="138" t="s">
        <v>55</v>
      </c>
    </row>
    <row r="431" spans="1:51" s="200" customFormat="1" ht="90" x14ac:dyDescent="0.25">
      <c r="A431" s="14">
        <v>45951</v>
      </c>
      <c r="B431" s="41" t="s">
        <v>3497</v>
      </c>
      <c r="C431" s="41" t="s">
        <v>3498</v>
      </c>
      <c r="D431" s="41"/>
      <c r="E431" s="42" t="s">
        <v>39</v>
      </c>
      <c r="F431" s="43"/>
      <c r="G431" s="43"/>
      <c r="H431" s="19">
        <v>1</v>
      </c>
      <c r="I431" s="245" t="s">
        <v>3499</v>
      </c>
      <c r="J431" s="45">
        <v>30</v>
      </c>
      <c r="K431" s="46" t="s">
        <v>3500</v>
      </c>
      <c r="L431" s="47" t="s">
        <v>63</v>
      </c>
      <c r="M431" s="73" t="s">
        <v>42</v>
      </c>
      <c r="N431" s="77" t="s">
        <v>3501</v>
      </c>
      <c r="O431" s="49"/>
      <c r="P431" s="49" t="s">
        <v>3189</v>
      </c>
      <c r="Q431" s="49" t="s">
        <v>3502</v>
      </c>
      <c r="R431" s="50">
        <v>39</v>
      </c>
      <c r="S431" s="50">
        <v>87</v>
      </c>
      <c r="T431" s="51" t="s">
        <v>96</v>
      </c>
      <c r="U431" s="51">
        <v>3</v>
      </c>
      <c r="V431" s="52">
        <f t="shared" si="14"/>
        <v>90</v>
      </c>
      <c r="W431" s="51" t="s">
        <v>350</v>
      </c>
      <c r="X431" s="198" t="s">
        <v>265</v>
      </c>
      <c r="Y431" s="199" t="s">
        <v>82</v>
      </c>
      <c r="Z431" s="169"/>
      <c r="AA431" s="170" t="s">
        <v>3503</v>
      </c>
      <c r="AB431" s="243" t="s">
        <v>3346</v>
      </c>
      <c r="AC431" s="172">
        <v>3294</v>
      </c>
      <c r="AE431" s="137" t="s">
        <v>148</v>
      </c>
      <c r="AF431" s="138"/>
      <c r="AG431" s="138" t="s">
        <v>56</v>
      </c>
      <c r="AH431" s="138" t="s">
        <v>56</v>
      </c>
      <c r="AI431" s="138"/>
      <c r="AJ431" s="138"/>
      <c r="AK431" s="138"/>
      <c r="AL431" s="138" t="s">
        <v>55</v>
      </c>
    </row>
    <row r="432" spans="1:51" s="200" customFormat="1" ht="134.25" customHeight="1" x14ac:dyDescent="0.25">
      <c r="A432" s="14">
        <v>45950</v>
      </c>
      <c r="B432" s="41" t="s">
        <v>3504</v>
      </c>
      <c r="C432" s="41" t="s">
        <v>3505</v>
      </c>
      <c r="D432" s="41" t="s">
        <v>3506</v>
      </c>
      <c r="E432" s="42" t="s">
        <v>39</v>
      </c>
      <c r="F432" s="43"/>
      <c r="G432" s="43"/>
      <c r="H432" s="19">
        <v>1</v>
      </c>
      <c r="I432" s="245" t="s">
        <v>3507</v>
      </c>
      <c r="J432" s="45">
        <v>60</v>
      </c>
      <c r="K432" s="46" t="s">
        <v>3508</v>
      </c>
      <c r="L432" s="47" t="s">
        <v>63</v>
      </c>
      <c r="M432" s="73" t="s">
        <v>42</v>
      </c>
      <c r="N432" s="77" t="s">
        <v>3509</v>
      </c>
      <c r="O432" s="49" t="s">
        <v>3510</v>
      </c>
      <c r="P432" s="49" t="s">
        <v>3511</v>
      </c>
      <c r="Q432" s="49" t="s">
        <v>3453</v>
      </c>
      <c r="R432" s="92">
        <v>144</v>
      </c>
      <c r="S432" s="92">
        <v>617</v>
      </c>
      <c r="T432" s="51" t="s">
        <v>180</v>
      </c>
      <c r="U432" s="51">
        <v>1</v>
      </c>
      <c r="V432" s="52">
        <f t="shared" si="14"/>
        <v>60</v>
      </c>
      <c r="W432" s="51" t="s">
        <v>350</v>
      </c>
      <c r="X432" s="202" t="s">
        <v>538</v>
      </c>
      <c r="Y432" s="199" t="s">
        <v>324</v>
      </c>
      <c r="Z432" s="169"/>
      <c r="AA432" s="170" t="s">
        <v>3191</v>
      </c>
      <c r="AB432" s="243" t="s">
        <v>3117</v>
      </c>
      <c r="AC432" s="172">
        <v>11395.4</v>
      </c>
      <c r="AE432" s="137" t="s">
        <v>148</v>
      </c>
      <c r="AF432" s="138"/>
      <c r="AG432" s="138" t="s">
        <v>56</v>
      </c>
      <c r="AH432" s="138" t="s">
        <v>56</v>
      </c>
      <c r="AI432" s="138"/>
      <c r="AJ432" s="138"/>
      <c r="AK432" s="138"/>
      <c r="AL432" s="138" t="s">
        <v>55</v>
      </c>
    </row>
    <row r="433" spans="1:43" s="200" customFormat="1" ht="89.25" customHeight="1" x14ac:dyDescent="0.25">
      <c r="A433" s="14">
        <v>45950</v>
      </c>
      <c r="B433" s="41" t="s">
        <v>3512</v>
      </c>
      <c r="C433" s="41" t="s">
        <v>3513</v>
      </c>
      <c r="D433" s="41" t="s">
        <v>3514</v>
      </c>
      <c r="E433" s="42" t="s">
        <v>39</v>
      </c>
      <c r="F433" s="19">
        <v>1</v>
      </c>
      <c r="G433" s="43"/>
      <c r="H433" s="43"/>
      <c r="I433" s="268" t="s">
        <v>3515</v>
      </c>
      <c r="J433" s="45">
        <v>75</v>
      </c>
      <c r="K433" s="46" t="s">
        <v>3508</v>
      </c>
      <c r="L433" s="47" t="s">
        <v>63</v>
      </c>
      <c r="M433" s="73" t="s">
        <v>42</v>
      </c>
      <c r="N433" s="77" t="s">
        <v>3516</v>
      </c>
      <c r="O433" s="49" t="s">
        <v>3517</v>
      </c>
      <c r="P433" s="49" t="s">
        <v>3518</v>
      </c>
      <c r="Q433" s="49" t="s">
        <v>3519</v>
      </c>
      <c r="R433" s="92">
        <v>137</v>
      </c>
      <c r="S433" s="92">
        <v>615</v>
      </c>
      <c r="T433" s="51" t="s">
        <v>180</v>
      </c>
      <c r="U433" s="51">
        <v>1</v>
      </c>
      <c r="V433" s="52">
        <f t="shared" si="14"/>
        <v>75</v>
      </c>
      <c r="W433" s="51" t="s">
        <v>510</v>
      </c>
      <c r="X433" s="202" t="s">
        <v>3520</v>
      </c>
      <c r="Y433" s="199" t="s">
        <v>324</v>
      </c>
      <c r="Z433" s="169"/>
      <c r="AA433" s="170" t="s">
        <v>3521</v>
      </c>
      <c r="AB433" s="243" t="s">
        <v>3522</v>
      </c>
      <c r="AC433" s="309">
        <v>13498</v>
      </c>
      <c r="AE433" s="137" t="s">
        <v>148</v>
      </c>
      <c r="AF433" s="138"/>
      <c r="AG433" s="138" t="s">
        <v>56</v>
      </c>
      <c r="AH433" s="310" t="s">
        <v>355</v>
      </c>
      <c r="AI433" s="138"/>
      <c r="AJ433" s="138"/>
      <c r="AK433" s="138"/>
      <c r="AL433" s="222" t="s">
        <v>55</v>
      </c>
    </row>
    <row r="434" spans="1:43" s="200" customFormat="1" ht="75" x14ac:dyDescent="0.25">
      <c r="A434" s="14">
        <v>45950</v>
      </c>
      <c r="B434" s="176" t="s">
        <v>3523</v>
      </c>
      <c r="C434" s="176" t="s">
        <v>3524</v>
      </c>
      <c r="D434" s="176" t="s">
        <v>3525</v>
      </c>
      <c r="E434" s="178" t="s">
        <v>39</v>
      </c>
      <c r="F434" s="179"/>
      <c r="G434" s="179"/>
      <c r="H434" s="19">
        <v>1</v>
      </c>
      <c r="I434" s="245" t="s">
        <v>3526</v>
      </c>
      <c r="J434" s="180">
        <v>85</v>
      </c>
      <c r="K434" s="274" t="s">
        <v>3527</v>
      </c>
      <c r="L434" s="182" t="s">
        <v>63</v>
      </c>
      <c r="M434" s="182" t="s">
        <v>42</v>
      </c>
      <c r="N434" s="183" t="s">
        <v>3528</v>
      </c>
      <c r="O434" s="184" t="s">
        <v>3335</v>
      </c>
      <c r="P434" s="184" t="s">
        <v>3529</v>
      </c>
      <c r="Q434" s="184" t="s">
        <v>3189</v>
      </c>
      <c r="R434" s="182">
        <v>43</v>
      </c>
      <c r="S434" s="182">
        <v>74</v>
      </c>
      <c r="T434" s="178" t="s">
        <v>47</v>
      </c>
      <c r="U434" s="178">
        <v>1</v>
      </c>
      <c r="V434" s="185">
        <f t="shared" si="14"/>
        <v>85</v>
      </c>
      <c r="W434" s="178" t="s">
        <v>350</v>
      </c>
      <c r="X434" s="198" t="s">
        <v>2384</v>
      </c>
      <c r="Y434" s="199" t="s">
        <v>50</v>
      </c>
      <c r="Z434" s="169"/>
      <c r="AA434" s="170" t="s">
        <v>3253</v>
      </c>
      <c r="AB434" s="243" t="s">
        <v>3254</v>
      </c>
      <c r="AC434" s="172">
        <v>9787.1</v>
      </c>
      <c r="AE434" s="137" t="s">
        <v>2776</v>
      </c>
      <c r="AF434" s="138"/>
      <c r="AG434" s="138" t="s">
        <v>56</v>
      </c>
      <c r="AH434" s="138" t="s">
        <v>626</v>
      </c>
      <c r="AI434" s="138"/>
      <c r="AJ434" s="138"/>
      <c r="AK434" s="138"/>
      <c r="AL434" s="222" t="s">
        <v>55</v>
      </c>
    </row>
    <row r="435" spans="1:43" ht="88.5" customHeight="1" x14ac:dyDescent="0.25">
      <c r="A435" s="14">
        <v>45950</v>
      </c>
      <c r="B435" s="41" t="s">
        <v>3530</v>
      </c>
      <c r="C435" s="41" t="s">
        <v>3531</v>
      </c>
      <c r="D435" s="41"/>
      <c r="E435" s="42" t="s">
        <v>39</v>
      </c>
      <c r="F435" s="19">
        <v>1</v>
      </c>
      <c r="G435" s="43"/>
      <c r="H435" s="43"/>
      <c r="I435" s="245" t="s">
        <v>3532</v>
      </c>
      <c r="J435" s="45">
        <v>30</v>
      </c>
      <c r="K435" s="46" t="s">
        <v>3533</v>
      </c>
      <c r="L435" s="47" t="s">
        <v>63</v>
      </c>
      <c r="M435" s="73" t="s">
        <v>42</v>
      </c>
      <c r="N435" s="250" t="s">
        <v>3534</v>
      </c>
      <c r="O435" s="49" t="s">
        <v>3519</v>
      </c>
      <c r="P435" s="49" t="s">
        <v>3493</v>
      </c>
      <c r="Q435" s="49" t="s">
        <v>3535</v>
      </c>
      <c r="R435" s="50">
        <v>62</v>
      </c>
      <c r="S435" s="50">
        <v>195</v>
      </c>
      <c r="T435" s="51" t="s">
        <v>47</v>
      </c>
      <c r="U435" s="51">
        <v>44</v>
      </c>
      <c r="V435" s="75">
        <f t="shared" si="14"/>
        <v>1320</v>
      </c>
      <c r="W435" s="51" t="s">
        <v>350</v>
      </c>
      <c r="X435" s="198" t="s">
        <v>265</v>
      </c>
      <c r="Y435" s="199" t="s">
        <v>82</v>
      </c>
      <c r="Z435" s="169"/>
      <c r="AA435" s="170" t="s">
        <v>3477</v>
      </c>
      <c r="AB435" s="243" t="s">
        <v>3536</v>
      </c>
      <c r="AC435" s="172">
        <v>5810</v>
      </c>
      <c r="AE435" s="137" t="s">
        <v>148</v>
      </c>
      <c r="AF435" s="138"/>
      <c r="AG435" s="138" t="s">
        <v>56</v>
      </c>
      <c r="AH435" s="138" t="s">
        <v>56</v>
      </c>
      <c r="AI435" s="138"/>
      <c r="AJ435" s="138"/>
      <c r="AK435" s="138"/>
      <c r="AL435" s="222" t="s">
        <v>55</v>
      </c>
    </row>
    <row r="436" spans="1:43" ht="174" customHeight="1" x14ac:dyDescent="0.25">
      <c r="A436" s="14">
        <v>45950</v>
      </c>
      <c r="B436" s="41" t="s">
        <v>3537</v>
      </c>
      <c r="C436" s="41" t="s">
        <v>3538</v>
      </c>
      <c r="D436" s="41"/>
      <c r="E436" s="42" t="s">
        <v>39</v>
      </c>
      <c r="F436" s="43"/>
      <c r="G436" s="43"/>
      <c r="H436" s="19">
        <v>1</v>
      </c>
      <c r="I436" s="245" t="s">
        <v>3539</v>
      </c>
      <c r="J436" s="45">
        <v>350</v>
      </c>
      <c r="K436" s="46" t="s">
        <v>3540</v>
      </c>
      <c r="L436" s="47" t="s">
        <v>63</v>
      </c>
      <c r="M436" s="73" t="s">
        <v>42</v>
      </c>
      <c r="N436" s="152" t="s">
        <v>3541</v>
      </c>
      <c r="O436" s="49" t="s">
        <v>3542</v>
      </c>
      <c r="P436" s="49" t="s">
        <v>3535</v>
      </c>
      <c r="Q436" s="49" t="s">
        <v>3543</v>
      </c>
      <c r="R436" s="50">
        <v>6</v>
      </c>
      <c r="S436" s="50">
        <v>14</v>
      </c>
      <c r="T436" s="51" t="s">
        <v>47</v>
      </c>
      <c r="U436" s="51">
        <v>1</v>
      </c>
      <c r="V436" s="52">
        <f t="shared" si="14"/>
        <v>350</v>
      </c>
      <c r="W436" s="51" t="s">
        <v>142</v>
      </c>
      <c r="X436" s="198" t="s">
        <v>1243</v>
      </c>
      <c r="Y436" s="168" t="s">
        <v>82</v>
      </c>
      <c r="Z436" s="169" t="s">
        <v>3544</v>
      </c>
      <c r="AA436" s="170" t="s">
        <v>3191</v>
      </c>
      <c r="AB436" s="243" t="s">
        <v>3117</v>
      </c>
      <c r="AC436" s="172">
        <v>5680.5</v>
      </c>
      <c r="AE436" s="137" t="s">
        <v>148</v>
      </c>
      <c r="AF436" s="138"/>
      <c r="AG436" s="138" t="s">
        <v>56</v>
      </c>
      <c r="AH436" s="138" t="s">
        <v>56</v>
      </c>
      <c r="AI436" s="138"/>
      <c r="AJ436" s="138" t="s">
        <v>56</v>
      </c>
      <c r="AK436" s="138" t="s">
        <v>3545</v>
      </c>
      <c r="AL436" s="251" t="s">
        <v>3546</v>
      </c>
    </row>
    <row r="437" spans="1:43" s="200" customFormat="1" ht="46.5" customHeight="1" x14ac:dyDescent="0.25">
      <c r="A437" s="14">
        <v>45950</v>
      </c>
      <c r="B437" s="41" t="s">
        <v>3547</v>
      </c>
      <c r="C437" s="41" t="s">
        <v>3548</v>
      </c>
      <c r="D437" s="41" t="s">
        <v>3549</v>
      </c>
      <c r="E437" s="42" t="s">
        <v>39</v>
      </c>
      <c r="F437" s="19">
        <v>1</v>
      </c>
      <c r="G437" s="43"/>
      <c r="H437" s="43"/>
      <c r="I437" s="245" t="s">
        <v>3550</v>
      </c>
      <c r="J437" s="45">
        <v>12</v>
      </c>
      <c r="K437" s="46" t="s">
        <v>3533</v>
      </c>
      <c r="L437" s="50" t="s">
        <v>63</v>
      </c>
      <c r="M437" s="73" t="s">
        <v>42</v>
      </c>
      <c r="N437" s="77" t="s">
        <v>3551</v>
      </c>
      <c r="O437" s="49"/>
      <c r="P437" s="49" t="s">
        <v>3535</v>
      </c>
      <c r="Q437" s="194" t="s">
        <v>3552</v>
      </c>
      <c r="R437" s="50">
        <v>101</v>
      </c>
      <c r="S437" s="50">
        <v>504</v>
      </c>
      <c r="T437" s="51" t="s">
        <v>67</v>
      </c>
      <c r="U437" s="51">
        <v>26</v>
      </c>
      <c r="V437" s="52">
        <f t="shared" si="14"/>
        <v>312</v>
      </c>
      <c r="W437" s="51" t="s">
        <v>142</v>
      </c>
      <c r="X437" s="198" t="s">
        <v>3553</v>
      </c>
      <c r="Y437" s="199" t="s">
        <v>82</v>
      </c>
      <c r="Z437" s="169"/>
      <c r="AA437" s="170" t="s">
        <v>3345</v>
      </c>
      <c r="AB437" s="243" t="s">
        <v>3554</v>
      </c>
      <c r="AC437" s="172">
        <v>6301.4</v>
      </c>
      <c r="AE437" s="137" t="s">
        <v>2776</v>
      </c>
      <c r="AF437" s="138"/>
      <c r="AG437" s="138" t="s">
        <v>56</v>
      </c>
      <c r="AH437" s="138" t="s">
        <v>56</v>
      </c>
      <c r="AI437" s="138"/>
      <c r="AJ437" s="138"/>
      <c r="AK437" s="138"/>
      <c r="AL437" s="138" t="s">
        <v>55</v>
      </c>
    </row>
    <row r="438" spans="1:43" s="200" customFormat="1" ht="63" customHeight="1" x14ac:dyDescent="0.25">
      <c r="A438" s="14">
        <v>45947</v>
      </c>
      <c r="B438" s="41" t="s">
        <v>3555</v>
      </c>
      <c r="C438" s="41" t="s">
        <v>3556</v>
      </c>
      <c r="D438" s="41" t="s">
        <v>3557</v>
      </c>
      <c r="E438" s="42" t="s">
        <v>195</v>
      </c>
      <c r="F438" s="43"/>
      <c r="G438" s="43"/>
      <c r="H438" s="43"/>
      <c r="I438" s="268" t="s">
        <v>3558</v>
      </c>
      <c r="J438" s="45">
        <v>25</v>
      </c>
      <c r="K438" s="46" t="s">
        <v>3559</v>
      </c>
      <c r="L438" s="47" t="s">
        <v>42</v>
      </c>
      <c r="M438" s="42" t="s">
        <v>55</v>
      </c>
      <c r="N438" s="77" t="s">
        <v>3560</v>
      </c>
      <c r="O438" s="49"/>
      <c r="P438" s="49"/>
      <c r="Q438" s="49"/>
      <c r="R438" s="50">
        <v>0</v>
      </c>
      <c r="S438" s="50">
        <v>0</v>
      </c>
      <c r="T438" s="51">
        <v>0</v>
      </c>
      <c r="U438" s="51">
        <v>23</v>
      </c>
      <c r="V438" s="75">
        <f t="shared" si="14"/>
        <v>575</v>
      </c>
      <c r="W438" s="51" t="s">
        <v>350</v>
      </c>
      <c r="X438" s="198" t="s">
        <v>1982</v>
      </c>
      <c r="Y438" s="199" t="s">
        <v>82</v>
      </c>
      <c r="Z438" s="169"/>
      <c r="AA438" s="170" t="s">
        <v>3368</v>
      </c>
      <c r="AB438" s="243" t="s">
        <v>3209</v>
      </c>
      <c r="AC438" s="35">
        <v>1150</v>
      </c>
      <c r="AE438" s="137" t="s">
        <v>3383</v>
      </c>
      <c r="AF438" s="138"/>
      <c r="AG438" s="138" t="s">
        <v>56</v>
      </c>
      <c r="AH438" s="138" t="s">
        <v>56</v>
      </c>
      <c r="AI438" s="138"/>
      <c r="AJ438" s="138" t="s">
        <v>56</v>
      </c>
      <c r="AK438" s="138" t="s">
        <v>2284</v>
      </c>
      <c r="AL438" s="251" t="s">
        <v>3561</v>
      </c>
    </row>
    <row r="439" spans="1:43" s="200" customFormat="1" ht="159.75" customHeight="1" x14ac:dyDescent="0.25">
      <c r="A439" s="14">
        <v>45947</v>
      </c>
      <c r="B439" s="41" t="s">
        <v>3562</v>
      </c>
      <c r="C439" s="41" t="s">
        <v>3563</v>
      </c>
      <c r="D439" s="41"/>
      <c r="E439" s="42" t="s">
        <v>39</v>
      </c>
      <c r="F439" s="43"/>
      <c r="G439" s="43"/>
      <c r="H439" s="19">
        <v>1</v>
      </c>
      <c r="I439" s="268" t="s">
        <v>3564</v>
      </c>
      <c r="J439" s="45">
        <v>110</v>
      </c>
      <c r="K439" s="46" t="s">
        <v>3565</v>
      </c>
      <c r="L439" s="47" t="s">
        <v>63</v>
      </c>
      <c r="M439" s="73" t="s">
        <v>42</v>
      </c>
      <c r="N439" s="77" t="s">
        <v>3566</v>
      </c>
      <c r="O439" s="49"/>
      <c r="P439" s="49" t="s">
        <v>3567</v>
      </c>
      <c r="Q439" s="49" t="s">
        <v>3493</v>
      </c>
      <c r="R439" s="50">
        <v>54</v>
      </c>
      <c r="S439" s="50">
        <v>235</v>
      </c>
      <c r="T439" s="51" t="s">
        <v>67</v>
      </c>
      <c r="U439" s="51">
        <v>28</v>
      </c>
      <c r="V439" s="75">
        <f t="shared" si="14"/>
        <v>3080</v>
      </c>
      <c r="W439" s="51" t="s">
        <v>350</v>
      </c>
      <c r="X439" s="198" t="s">
        <v>3190</v>
      </c>
      <c r="Y439" s="199" t="s">
        <v>82</v>
      </c>
      <c r="Z439" s="169"/>
      <c r="AA439" s="170" t="s">
        <v>2953</v>
      </c>
      <c r="AB439" s="243" t="s">
        <v>3568</v>
      </c>
      <c r="AC439" s="172">
        <v>10605</v>
      </c>
      <c r="AE439" s="137" t="s">
        <v>3569</v>
      </c>
      <c r="AF439" s="138"/>
      <c r="AG439" s="138" t="s">
        <v>56</v>
      </c>
      <c r="AH439" s="138" t="s">
        <v>56</v>
      </c>
      <c r="AI439" s="138"/>
      <c r="AJ439" s="138"/>
      <c r="AK439" s="138"/>
      <c r="AL439" s="138" t="s">
        <v>55</v>
      </c>
    </row>
    <row r="440" spans="1:43" s="200" customFormat="1" ht="75.75" customHeight="1" x14ac:dyDescent="0.25">
      <c r="A440" s="14">
        <v>45947</v>
      </c>
      <c r="B440" s="95" t="s">
        <v>3570</v>
      </c>
      <c r="C440" s="311" t="s">
        <v>3571</v>
      </c>
      <c r="D440" s="311"/>
      <c r="E440" s="259" t="s">
        <v>39</v>
      </c>
      <c r="F440" s="280"/>
      <c r="G440" s="280"/>
      <c r="H440" s="280"/>
      <c r="I440" s="312" t="s">
        <v>3572</v>
      </c>
      <c r="J440" s="313">
        <v>5</v>
      </c>
      <c r="K440" s="270" t="s">
        <v>3573</v>
      </c>
      <c r="L440" s="253" t="s">
        <v>42</v>
      </c>
      <c r="M440" s="253" t="s">
        <v>42</v>
      </c>
      <c r="N440" s="101" t="s">
        <v>3574</v>
      </c>
      <c r="O440" s="314"/>
      <c r="P440" s="314"/>
      <c r="Q440" s="314"/>
      <c r="R440" s="315">
        <v>0</v>
      </c>
      <c r="S440" s="315">
        <v>0</v>
      </c>
      <c r="T440" s="259">
        <v>0</v>
      </c>
      <c r="U440" s="259">
        <v>731</v>
      </c>
      <c r="V440" s="213">
        <f t="shared" si="14"/>
        <v>3655</v>
      </c>
      <c r="W440" s="259" t="s">
        <v>68</v>
      </c>
      <c r="X440" s="258" t="s">
        <v>3575</v>
      </c>
      <c r="Y440" s="199"/>
      <c r="Z440" s="169"/>
      <c r="AA440" s="170" t="s">
        <v>3576</v>
      </c>
      <c r="AB440" s="243" t="s">
        <v>3117</v>
      </c>
      <c r="AC440" s="35">
        <f>19178.6*J440/7</f>
        <v>13699</v>
      </c>
      <c r="AE440" s="137" t="s">
        <v>3569</v>
      </c>
      <c r="AF440" s="138"/>
      <c r="AG440" s="138" t="s">
        <v>56</v>
      </c>
      <c r="AH440" s="138" t="s">
        <v>56</v>
      </c>
      <c r="AI440" s="138"/>
      <c r="AJ440" s="138"/>
      <c r="AK440" s="255" t="s">
        <v>74</v>
      </c>
      <c r="AL440" s="138"/>
    </row>
    <row r="441" spans="1:43" ht="90" x14ac:dyDescent="0.25">
      <c r="A441" s="14">
        <v>45945</v>
      </c>
      <c r="B441" s="41" t="s">
        <v>3577</v>
      </c>
      <c r="C441" s="41" t="s">
        <v>3578</v>
      </c>
      <c r="D441" s="41" t="s">
        <v>3579</v>
      </c>
      <c r="E441" s="42" t="s">
        <v>39</v>
      </c>
      <c r="F441" s="43"/>
      <c r="G441" s="43"/>
      <c r="H441" s="19">
        <v>1</v>
      </c>
      <c r="I441" s="268" t="s">
        <v>3580</v>
      </c>
      <c r="J441" s="45">
        <v>50</v>
      </c>
      <c r="K441" s="46" t="s">
        <v>3581</v>
      </c>
      <c r="L441" s="50" t="s">
        <v>63</v>
      </c>
      <c r="M441" s="73" t="s">
        <v>42</v>
      </c>
      <c r="N441" s="77" t="s">
        <v>3582</v>
      </c>
      <c r="O441" s="49" t="s">
        <v>3583</v>
      </c>
      <c r="P441" s="49" t="s">
        <v>3584</v>
      </c>
      <c r="Q441" s="49" t="s">
        <v>3585</v>
      </c>
      <c r="R441" s="50">
        <v>55</v>
      </c>
      <c r="S441" s="50">
        <v>125</v>
      </c>
      <c r="T441" s="51" t="s">
        <v>47</v>
      </c>
      <c r="U441" s="51">
        <v>0</v>
      </c>
      <c r="V441" s="52">
        <f t="shared" si="14"/>
        <v>0</v>
      </c>
      <c r="W441" s="51" t="s">
        <v>350</v>
      </c>
      <c r="X441" s="198" t="s">
        <v>2384</v>
      </c>
      <c r="Y441" s="168" t="s">
        <v>50</v>
      </c>
      <c r="Z441" s="169"/>
      <c r="AA441" s="170" t="s">
        <v>3116</v>
      </c>
      <c r="AB441" s="243" t="s">
        <v>3586</v>
      </c>
      <c r="AC441" s="172">
        <v>5477.5</v>
      </c>
      <c r="AE441" s="137" t="s">
        <v>3587</v>
      </c>
      <c r="AF441" s="138"/>
      <c r="AG441" s="138" t="s">
        <v>56</v>
      </c>
      <c r="AH441" s="138" t="s">
        <v>56</v>
      </c>
      <c r="AI441" s="138"/>
      <c r="AJ441" s="138"/>
      <c r="AK441" s="138"/>
      <c r="AL441" s="251" t="s">
        <v>3588</v>
      </c>
    </row>
    <row r="442" spans="1:43" s="200" customFormat="1" ht="153" x14ac:dyDescent="0.25">
      <c r="A442" s="14">
        <v>45945</v>
      </c>
      <c r="B442" s="41" t="s">
        <v>3589</v>
      </c>
      <c r="C442" s="41" t="s">
        <v>3590</v>
      </c>
      <c r="D442" s="41"/>
      <c r="E442" s="42" t="s">
        <v>39</v>
      </c>
      <c r="F442" s="43"/>
      <c r="G442" s="43"/>
      <c r="H442" s="19">
        <v>1</v>
      </c>
      <c r="I442" s="245" t="s">
        <v>3591</v>
      </c>
      <c r="J442" s="45">
        <v>60</v>
      </c>
      <c r="K442" s="46" t="s">
        <v>3592</v>
      </c>
      <c r="L442" s="47" t="s">
        <v>63</v>
      </c>
      <c r="M442" s="73" t="s">
        <v>42</v>
      </c>
      <c r="N442" s="77" t="s">
        <v>3593</v>
      </c>
      <c r="O442" s="49" t="s">
        <v>3517</v>
      </c>
      <c r="P442" s="49" t="s">
        <v>3594</v>
      </c>
      <c r="Q442" s="49" t="s">
        <v>3595</v>
      </c>
      <c r="R442" s="50">
        <v>116</v>
      </c>
      <c r="S442" s="50">
        <v>480</v>
      </c>
      <c r="T442" s="51" t="s">
        <v>141</v>
      </c>
      <c r="U442" s="51">
        <v>18</v>
      </c>
      <c r="V442" s="75">
        <f t="shared" si="14"/>
        <v>1080</v>
      </c>
      <c r="W442" s="51" t="s">
        <v>510</v>
      </c>
      <c r="X442" s="202" t="s">
        <v>538</v>
      </c>
      <c r="Y442" s="199" t="s">
        <v>324</v>
      </c>
      <c r="Z442" s="169"/>
      <c r="AA442" s="170" t="s">
        <v>2497</v>
      </c>
      <c r="AB442" s="243" t="s">
        <v>3073</v>
      </c>
      <c r="AC442" s="172">
        <v>9414</v>
      </c>
      <c r="AE442" s="137" t="s">
        <v>3569</v>
      </c>
      <c r="AF442" s="138"/>
      <c r="AG442" s="138" t="s">
        <v>56</v>
      </c>
      <c r="AH442" s="138" t="s">
        <v>56</v>
      </c>
      <c r="AI442" s="138"/>
      <c r="AJ442" s="138" t="s">
        <v>56</v>
      </c>
      <c r="AK442" s="138" t="s">
        <v>3596</v>
      </c>
      <c r="AL442" s="138" t="s">
        <v>55</v>
      </c>
    </row>
    <row r="443" spans="1:43" s="279" customFormat="1" ht="119.25" customHeight="1" x14ac:dyDescent="0.25">
      <c r="A443" s="14">
        <v>45945</v>
      </c>
      <c r="B443" s="41" t="s">
        <v>3597</v>
      </c>
      <c r="C443" s="41" t="s">
        <v>3598</v>
      </c>
      <c r="D443" s="41"/>
      <c r="E443" s="42" t="s">
        <v>39</v>
      </c>
      <c r="F443" s="43"/>
      <c r="G443" s="43"/>
      <c r="H443" s="19">
        <v>1</v>
      </c>
      <c r="I443" s="268" t="s">
        <v>3599</v>
      </c>
      <c r="J443" s="45">
        <v>75</v>
      </c>
      <c r="K443" s="46" t="s">
        <v>3592</v>
      </c>
      <c r="L443" s="47" t="s">
        <v>63</v>
      </c>
      <c r="M443" s="73" t="s">
        <v>42</v>
      </c>
      <c r="N443" s="77" t="s">
        <v>3600</v>
      </c>
      <c r="O443" s="49" t="s">
        <v>3601</v>
      </c>
      <c r="P443" s="49" t="s">
        <v>3602</v>
      </c>
      <c r="Q443" s="49" t="s">
        <v>3603</v>
      </c>
      <c r="R443" s="50">
        <v>116</v>
      </c>
      <c r="S443" s="50">
        <v>480</v>
      </c>
      <c r="T443" s="51" t="s">
        <v>141</v>
      </c>
      <c r="U443" s="51">
        <v>18</v>
      </c>
      <c r="V443" s="75">
        <f t="shared" si="14"/>
        <v>1350</v>
      </c>
      <c r="W443" s="51" t="s">
        <v>510</v>
      </c>
      <c r="X443" s="202" t="s">
        <v>538</v>
      </c>
      <c r="Y443" s="199" t="s">
        <v>324</v>
      </c>
      <c r="Z443" s="169"/>
      <c r="AA443" s="170" t="s">
        <v>2953</v>
      </c>
      <c r="AB443" s="243" t="s">
        <v>3151</v>
      </c>
      <c r="AC443" s="35">
        <v>14270</v>
      </c>
      <c r="AD443" s="200"/>
      <c r="AE443" s="137" t="s">
        <v>3569</v>
      </c>
      <c r="AF443" s="138"/>
      <c r="AG443" s="138" t="s">
        <v>56</v>
      </c>
      <c r="AH443" s="138" t="s">
        <v>56</v>
      </c>
      <c r="AI443" s="138"/>
      <c r="AJ443" s="138"/>
      <c r="AK443" s="138"/>
      <c r="AL443" s="138" t="s">
        <v>55</v>
      </c>
      <c r="AM443" s="200"/>
      <c r="AN443" s="200"/>
      <c r="AO443" s="200"/>
      <c r="AP443" s="200"/>
      <c r="AQ443" s="200"/>
    </row>
    <row r="444" spans="1:43" s="200" customFormat="1" ht="117.75" customHeight="1" x14ac:dyDescent="0.25">
      <c r="A444" s="14">
        <v>45944</v>
      </c>
      <c r="B444" s="41" t="s">
        <v>3604</v>
      </c>
      <c r="C444" s="41" t="s">
        <v>3605</v>
      </c>
      <c r="D444" s="41"/>
      <c r="E444" s="42" t="s">
        <v>39</v>
      </c>
      <c r="F444" s="19">
        <v>2</v>
      </c>
      <c r="G444" s="43"/>
      <c r="H444" s="43"/>
      <c r="I444" s="245" t="s">
        <v>3606</v>
      </c>
      <c r="J444" s="45">
        <v>17</v>
      </c>
      <c r="K444" s="46" t="s">
        <v>3607</v>
      </c>
      <c r="L444" s="47" t="s">
        <v>63</v>
      </c>
      <c r="M444" s="73" t="s">
        <v>42</v>
      </c>
      <c r="N444" s="77" t="s">
        <v>3608</v>
      </c>
      <c r="O444" s="49"/>
      <c r="P444" s="49" t="s">
        <v>3609</v>
      </c>
      <c r="Q444" s="49" t="s">
        <v>3610</v>
      </c>
      <c r="R444" s="50">
        <v>44</v>
      </c>
      <c r="S444" s="50">
        <v>148</v>
      </c>
      <c r="T444" s="51" t="s">
        <v>96</v>
      </c>
      <c r="U444" s="51">
        <v>11</v>
      </c>
      <c r="V444" s="52">
        <f t="shared" si="14"/>
        <v>187</v>
      </c>
      <c r="W444" s="51" t="s">
        <v>3611</v>
      </c>
      <c r="X444" s="198" t="s">
        <v>3612</v>
      </c>
      <c r="Y444" s="199" t="s">
        <v>50</v>
      </c>
      <c r="Z444" s="169"/>
      <c r="AA444" s="170" t="s">
        <v>3613</v>
      </c>
      <c r="AB444" s="243" t="s">
        <v>3496</v>
      </c>
      <c r="AC444" s="309">
        <v>3928.7</v>
      </c>
      <c r="AE444" s="137" t="s">
        <v>2776</v>
      </c>
      <c r="AF444" s="138"/>
      <c r="AG444" s="138" t="s">
        <v>56</v>
      </c>
      <c r="AH444" s="138" t="s">
        <v>56</v>
      </c>
      <c r="AI444" s="138"/>
      <c r="AJ444" s="138" t="s">
        <v>56</v>
      </c>
      <c r="AK444" s="138" t="s">
        <v>74</v>
      </c>
      <c r="AL444" s="138" t="s">
        <v>55</v>
      </c>
    </row>
    <row r="445" spans="1:43" ht="292.5" customHeight="1" x14ac:dyDescent="0.25">
      <c r="A445" s="14">
        <v>45944</v>
      </c>
      <c r="B445" s="41" t="s">
        <v>3614</v>
      </c>
      <c r="C445" s="41" t="s">
        <v>3615</v>
      </c>
      <c r="D445" s="41" t="s">
        <v>3616</v>
      </c>
      <c r="E445" s="42" t="s">
        <v>39</v>
      </c>
      <c r="F445" s="19">
        <v>1</v>
      </c>
      <c r="G445" s="43"/>
      <c r="H445" s="43"/>
      <c r="I445" s="268" t="s">
        <v>3617</v>
      </c>
      <c r="J445" s="45">
        <v>108</v>
      </c>
      <c r="K445" s="46" t="s">
        <v>3618</v>
      </c>
      <c r="L445" s="47" t="s">
        <v>63</v>
      </c>
      <c r="M445" s="73" t="s">
        <v>42</v>
      </c>
      <c r="N445" s="48" t="s">
        <v>3619</v>
      </c>
      <c r="O445" s="49" t="s">
        <v>3620</v>
      </c>
      <c r="P445" s="49" t="s">
        <v>3621</v>
      </c>
      <c r="Q445" s="49" t="s">
        <v>3622</v>
      </c>
      <c r="R445" s="50">
        <v>68</v>
      </c>
      <c r="S445" s="50">
        <v>255</v>
      </c>
      <c r="T445" s="51" t="s">
        <v>180</v>
      </c>
      <c r="U445" s="51">
        <v>3</v>
      </c>
      <c r="V445" s="52">
        <f t="shared" si="14"/>
        <v>324</v>
      </c>
      <c r="W445" s="51" t="s">
        <v>142</v>
      </c>
      <c r="X445" s="198" t="s">
        <v>3623</v>
      </c>
      <c r="Y445" s="199" t="s">
        <v>82</v>
      </c>
      <c r="Z445" s="169" t="s">
        <v>645</v>
      </c>
      <c r="AA445" s="170" t="s">
        <v>3624</v>
      </c>
      <c r="AB445" s="243" t="s">
        <v>3089</v>
      </c>
      <c r="AC445" s="172">
        <v>9134.84</v>
      </c>
      <c r="AE445" s="137" t="s">
        <v>2776</v>
      </c>
      <c r="AF445" s="138"/>
      <c r="AG445" s="138" t="s">
        <v>56</v>
      </c>
      <c r="AH445" s="138" t="s">
        <v>86</v>
      </c>
      <c r="AI445" s="138"/>
      <c r="AJ445" s="138"/>
      <c r="AK445" s="138"/>
      <c r="AL445" s="251" t="s">
        <v>3625</v>
      </c>
    </row>
    <row r="446" spans="1:43" s="200" customFormat="1" ht="244.5" x14ac:dyDescent="0.25">
      <c r="A446" s="14">
        <v>45944</v>
      </c>
      <c r="B446" s="41" t="s">
        <v>3626</v>
      </c>
      <c r="C446" s="41" t="s">
        <v>3627</v>
      </c>
      <c r="D446" s="41"/>
      <c r="E446" s="42" t="s">
        <v>39</v>
      </c>
      <c r="F446" s="43"/>
      <c r="G446" s="43"/>
      <c r="H446" s="19">
        <v>1</v>
      </c>
      <c r="I446" s="245" t="s">
        <v>3628</v>
      </c>
      <c r="J446" s="45">
        <v>40</v>
      </c>
      <c r="K446" s="46" t="s">
        <v>3618</v>
      </c>
      <c r="L446" s="47" t="s">
        <v>63</v>
      </c>
      <c r="M446" s="73" t="s">
        <v>42</v>
      </c>
      <c r="N446" s="77" t="s">
        <v>3629</v>
      </c>
      <c r="O446" s="49" t="s">
        <v>3630</v>
      </c>
      <c r="P446" s="49" t="s">
        <v>3631</v>
      </c>
      <c r="Q446" s="49" t="s">
        <v>3632</v>
      </c>
      <c r="R446" s="50">
        <v>79</v>
      </c>
      <c r="S446" s="92">
        <v>686</v>
      </c>
      <c r="T446" s="51" t="s">
        <v>47</v>
      </c>
      <c r="U446" s="51">
        <v>5</v>
      </c>
      <c r="V446" s="52">
        <f t="shared" si="14"/>
        <v>200</v>
      </c>
      <c r="W446" s="51" t="s">
        <v>142</v>
      </c>
      <c r="X446" s="202" t="s">
        <v>3633</v>
      </c>
      <c r="Y446" s="199" t="s">
        <v>324</v>
      </c>
      <c r="Z446" s="169" t="s">
        <v>645</v>
      </c>
      <c r="AA446" s="170" t="s">
        <v>3613</v>
      </c>
      <c r="AB446" s="243" t="s">
        <v>3487</v>
      </c>
      <c r="AC446" s="172">
        <v>12179.2</v>
      </c>
      <c r="AE446" s="137" t="s">
        <v>2776</v>
      </c>
      <c r="AF446" s="138" t="s">
        <v>354</v>
      </c>
      <c r="AG446" s="138" t="s">
        <v>56</v>
      </c>
      <c r="AH446" s="138" t="s">
        <v>56</v>
      </c>
      <c r="AI446" s="138"/>
      <c r="AJ446" s="138"/>
      <c r="AK446" s="138"/>
      <c r="AL446" s="222" t="s">
        <v>55</v>
      </c>
    </row>
    <row r="447" spans="1:43" s="200" customFormat="1" ht="105" x14ac:dyDescent="0.25">
      <c r="A447" s="14">
        <v>45944</v>
      </c>
      <c r="B447" s="95" t="s">
        <v>3634</v>
      </c>
      <c r="C447" s="95" t="s">
        <v>3635</v>
      </c>
      <c r="D447" s="95"/>
      <c r="E447" s="96" t="s">
        <v>39</v>
      </c>
      <c r="F447" s="19">
        <v>1</v>
      </c>
      <c r="G447" s="97"/>
      <c r="H447" s="97"/>
      <c r="I447" s="245" t="s">
        <v>3636</v>
      </c>
      <c r="J447" s="98">
        <v>5</v>
      </c>
      <c r="K447" s="270" t="s">
        <v>3637</v>
      </c>
      <c r="L447" s="103" t="s">
        <v>63</v>
      </c>
      <c r="M447" s="103" t="s">
        <v>55</v>
      </c>
      <c r="N447" s="101" t="s">
        <v>3638</v>
      </c>
      <c r="O447" s="102" t="s">
        <v>3639</v>
      </c>
      <c r="P447" s="102" t="s">
        <v>3640</v>
      </c>
      <c r="Q447" s="102" t="s">
        <v>3641</v>
      </c>
      <c r="R447" s="103">
        <v>95</v>
      </c>
      <c r="S447" s="103">
        <v>536</v>
      </c>
      <c r="T447" s="96" t="s">
        <v>180</v>
      </c>
      <c r="U447" s="96">
        <v>10</v>
      </c>
      <c r="V447" s="104">
        <f t="shared" si="14"/>
        <v>50</v>
      </c>
      <c r="W447" s="96" t="s">
        <v>350</v>
      </c>
      <c r="X447" s="198" t="s">
        <v>960</v>
      </c>
      <c r="Y447" s="199" t="s">
        <v>50</v>
      </c>
      <c r="Z447" s="169"/>
      <c r="AA447" s="170" t="s">
        <v>2497</v>
      </c>
      <c r="AB447" s="243" t="s">
        <v>3073</v>
      </c>
      <c r="AC447" s="172">
        <f>7202+980</f>
        <v>8182</v>
      </c>
      <c r="AE447" s="137" t="s">
        <v>2776</v>
      </c>
      <c r="AF447" s="138"/>
      <c r="AG447" s="138" t="s">
        <v>56</v>
      </c>
      <c r="AH447" s="138" t="s">
        <v>56</v>
      </c>
      <c r="AI447" s="138"/>
      <c r="AJ447" s="138"/>
      <c r="AK447" s="138"/>
      <c r="AL447" s="138" t="s">
        <v>42</v>
      </c>
    </row>
    <row r="448" spans="1:43" s="200" customFormat="1" ht="105.75" customHeight="1" x14ac:dyDescent="0.25">
      <c r="A448" s="14">
        <v>45944</v>
      </c>
      <c r="B448" s="95" t="s">
        <v>3642</v>
      </c>
      <c r="C448" s="95" t="s">
        <v>3643</v>
      </c>
      <c r="D448" s="95" t="s">
        <v>3644</v>
      </c>
      <c r="E448" s="96" t="s">
        <v>39</v>
      </c>
      <c r="F448" s="19">
        <v>1</v>
      </c>
      <c r="G448" s="97"/>
      <c r="H448" s="97"/>
      <c r="I448" s="245" t="s">
        <v>3645</v>
      </c>
      <c r="J448" s="98">
        <v>8</v>
      </c>
      <c r="K448" s="270" t="s">
        <v>3637</v>
      </c>
      <c r="L448" s="103" t="s">
        <v>63</v>
      </c>
      <c r="M448" s="103" t="s">
        <v>55</v>
      </c>
      <c r="N448" s="101" t="s">
        <v>3646</v>
      </c>
      <c r="O448" s="102" t="s">
        <v>3622</v>
      </c>
      <c r="P448" s="102" t="s">
        <v>3647</v>
      </c>
      <c r="Q448" s="102" t="s">
        <v>3609</v>
      </c>
      <c r="R448" s="103">
        <v>82</v>
      </c>
      <c r="S448" s="103">
        <v>580</v>
      </c>
      <c r="T448" s="96" t="s">
        <v>47</v>
      </c>
      <c r="U448" s="96">
        <v>10</v>
      </c>
      <c r="V448" s="104">
        <f t="shared" si="14"/>
        <v>80</v>
      </c>
      <c r="W448" s="96" t="s">
        <v>350</v>
      </c>
      <c r="X448" s="202" t="s">
        <v>1083</v>
      </c>
      <c r="Y448" s="199" t="s">
        <v>50</v>
      </c>
      <c r="Z448" s="169" t="s">
        <v>645</v>
      </c>
      <c r="AA448" s="170" t="s">
        <v>2953</v>
      </c>
      <c r="AB448" s="243" t="s">
        <v>3568</v>
      </c>
      <c r="AC448" s="172">
        <v>12781.72</v>
      </c>
      <c r="AE448" s="137" t="s">
        <v>3569</v>
      </c>
      <c r="AF448" s="138" t="s">
        <v>354</v>
      </c>
      <c r="AG448" s="138" t="s">
        <v>56</v>
      </c>
      <c r="AH448" s="138" t="s">
        <v>56</v>
      </c>
      <c r="AI448" s="138"/>
      <c r="AJ448" s="138"/>
      <c r="AK448" s="138"/>
      <c r="AL448" s="251" t="s">
        <v>3648</v>
      </c>
    </row>
    <row r="449" spans="1:43" s="200" customFormat="1" ht="117.75" customHeight="1" x14ac:dyDescent="0.25">
      <c r="A449" s="14">
        <v>45944</v>
      </c>
      <c r="B449" s="41" t="s">
        <v>3649</v>
      </c>
      <c r="C449" s="41" t="s">
        <v>3650</v>
      </c>
      <c r="D449" s="41"/>
      <c r="E449" s="42" t="s">
        <v>39</v>
      </c>
      <c r="F449" s="19">
        <v>1</v>
      </c>
      <c r="G449" s="43"/>
      <c r="H449" s="43"/>
      <c r="I449" s="268" t="s">
        <v>3651</v>
      </c>
      <c r="J449" s="45">
        <v>20</v>
      </c>
      <c r="K449" s="46" t="s">
        <v>3618</v>
      </c>
      <c r="L449" s="47" t="s">
        <v>63</v>
      </c>
      <c r="M449" s="73" t="s">
        <v>42</v>
      </c>
      <c r="N449" s="77" t="s">
        <v>3652</v>
      </c>
      <c r="O449" s="49" t="s">
        <v>3653</v>
      </c>
      <c r="P449" s="49" t="s">
        <v>3654</v>
      </c>
      <c r="Q449" s="49" t="s">
        <v>3630</v>
      </c>
      <c r="R449" s="50">
        <v>104</v>
      </c>
      <c r="S449" s="50">
        <v>808</v>
      </c>
      <c r="T449" s="51" t="s">
        <v>180</v>
      </c>
      <c r="U449" s="51">
        <v>18</v>
      </c>
      <c r="V449" s="52">
        <f t="shared" si="14"/>
        <v>360</v>
      </c>
      <c r="W449" s="51" t="s">
        <v>510</v>
      </c>
      <c r="X449" s="202" t="s">
        <v>1166</v>
      </c>
      <c r="Y449" s="199" t="s">
        <v>82</v>
      </c>
      <c r="Z449" s="169" t="s">
        <v>645</v>
      </c>
      <c r="AA449" s="170" t="s">
        <v>3336</v>
      </c>
      <c r="AB449" s="243" t="s">
        <v>3471</v>
      </c>
      <c r="AC449" s="172">
        <v>10308</v>
      </c>
      <c r="AE449" s="137" t="s">
        <v>3569</v>
      </c>
      <c r="AF449" s="138"/>
      <c r="AG449" s="138" t="s">
        <v>56</v>
      </c>
      <c r="AH449" s="138" t="s">
        <v>56</v>
      </c>
      <c r="AI449" s="138"/>
      <c r="AJ449" s="138" t="s">
        <v>56</v>
      </c>
      <c r="AK449" s="138" t="s">
        <v>2284</v>
      </c>
      <c r="AL449" s="251" t="s">
        <v>3625</v>
      </c>
    </row>
    <row r="450" spans="1:43" s="200" customFormat="1" ht="135" x14ac:dyDescent="0.25">
      <c r="A450" s="14">
        <v>45943</v>
      </c>
      <c r="B450" s="41" t="s">
        <v>3655</v>
      </c>
      <c r="C450" s="41" t="s">
        <v>3656</v>
      </c>
      <c r="D450" s="41" t="s">
        <v>3657</v>
      </c>
      <c r="E450" s="42" t="s">
        <v>39</v>
      </c>
      <c r="F450" s="43"/>
      <c r="G450" s="43"/>
      <c r="H450" s="19">
        <v>1</v>
      </c>
      <c r="I450" s="268" t="s">
        <v>3658</v>
      </c>
      <c r="J450" s="45">
        <v>15</v>
      </c>
      <c r="K450" s="46" t="s">
        <v>3659</v>
      </c>
      <c r="L450" s="47" t="s">
        <v>63</v>
      </c>
      <c r="M450" s="73" t="s">
        <v>42</v>
      </c>
      <c r="N450" s="250" t="s">
        <v>3660</v>
      </c>
      <c r="O450" s="49" t="s">
        <v>3595</v>
      </c>
      <c r="P450" s="49" t="s">
        <v>3661</v>
      </c>
      <c r="Q450" s="49" t="s">
        <v>3630</v>
      </c>
      <c r="R450" s="92">
        <v>249</v>
      </c>
      <c r="S450" s="50">
        <v>879</v>
      </c>
      <c r="T450" s="51" t="s">
        <v>933</v>
      </c>
      <c r="U450" s="51">
        <v>4</v>
      </c>
      <c r="V450" s="52">
        <f t="shared" si="14"/>
        <v>60</v>
      </c>
      <c r="W450" s="51" t="s">
        <v>350</v>
      </c>
      <c r="X450" s="198" t="s">
        <v>210</v>
      </c>
      <c r="Y450" s="199" t="s">
        <v>50</v>
      </c>
      <c r="Z450" s="169"/>
      <c r="AA450" s="170" t="s">
        <v>3613</v>
      </c>
      <c r="AB450" s="243" t="s">
        <v>3662</v>
      </c>
      <c r="AC450" s="35">
        <v>15920.25</v>
      </c>
      <c r="AE450" s="137" t="s">
        <v>3569</v>
      </c>
      <c r="AF450" s="138"/>
      <c r="AG450" s="138" t="s">
        <v>56</v>
      </c>
      <c r="AH450" s="138" t="s">
        <v>56</v>
      </c>
      <c r="AI450" s="138"/>
      <c r="AJ450" s="138"/>
      <c r="AK450" s="138" t="s">
        <v>74</v>
      </c>
      <c r="AL450" s="138" t="s">
        <v>55</v>
      </c>
    </row>
    <row r="451" spans="1:43" ht="70.5" customHeight="1" x14ac:dyDescent="0.25">
      <c r="A451" s="14">
        <v>45943</v>
      </c>
      <c r="B451" s="41" t="s">
        <v>3663</v>
      </c>
      <c r="C451" s="41" t="s">
        <v>3664</v>
      </c>
      <c r="D451" s="41"/>
      <c r="E451" s="42" t="s">
        <v>39</v>
      </c>
      <c r="F451" s="43"/>
      <c r="G451" s="43"/>
      <c r="H451" s="19">
        <v>1</v>
      </c>
      <c r="I451" s="268" t="s">
        <v>3665</v>
      </c>
      <c r="J451" s="45">
        <v>75</v>
      </c>
      <c r="K451" s="46" t="s">
        <v>3592</v>
      </c>
      <c r="L451" s="47" t="s">
        <v>63</v>
      </c>
      <c r="M451" s="73" t="s">
        <v>42</v>
      </c>
      <c r="N451" s="77" t="s">
        <v>3666</v>
      </c>
      <c r="O451" s="49" t="s">
        <v>3603</v>
      </c>
      <c r="P451" s="49" t="s">
        <v>3667</v>
      </c>
      <c r="Q451" s="49" t="s">
        <v>3668</v>
      </c>
      <c r="R451" s="50">
        <v>115</v>
      </c>
      <c r="S451" s="50">
        <v>408</v>
      </c>
      <c r="T451" s="51" t="s">
        <v>180</v>
      </c>
      <c r="U451" s="51">
        <v>1</v>
      </c>
      <c r="V451" s="52">
        <f t="shared" si="14"/>
        <v>75</v>
      </c>
      <c r="W451" s="51" t="s">
        <v>350</v>
      </c>
      <c r="X451" s="202" t="s">
        <v>538</v>
      </c>
      <c r="Y451" s="168" t="s">
        <v>324</v>
      </c>
      <c r="Z451" s="169"/>
      <c r="AA451" s="170" t="s">
        <v>3521</v>
      </c>
      <c r="AB451" s="243" t="s">
        <v>3151</v>
      </c>
      <c r="AC451" s="35">
        <f>10995</f>
        <v>10995</v>
      </c>
      <c r="AD451" s="200"/>
      <c r="AE451" s="137" t="s">
        <v>3569</v>
      </c>
      <c r="AF451" s="138"/>
      <c r="AG451" s="138" t="s">
        <v>56</v>
      </c>
      <c r="AH451" s="138" t="s">
        <v>56</v>
      </c>
      <c r="AI451" s="138"/>
      <c r="AJ451" s="138"/>
      <c r="AK451" s="138"/>
      <c r="AL451" s="138" t="s">
        <v>55</v>
      </c>
      <c r="AM451" s="200"/>
      <c r="AN451" s="200"/>
      <c r="AO451" s="200"/>
      <c r="AP451" s="200"/>
      <c r="AQ451" s="200"/>
    </row>
    <row r="452" spans="1:43" s="200" customFormat="1" ht="89.25" customHeight="1" x14ac:dyDescent="0.25">
      <c r="A452" s="14">
        <v>45943</v>
      </c>
      <c r="B452" s="41" t="s">
        <v>3512</v>
      </c>
      <c r="C452" s="41" t="s">
        <v>3513</v>
      </c>
      <c r="D452" s="41" t="s">
        <v>3514</v>
      </c>
      <c r="E452" s="42" t="s">
        <v>39</v>
      </c>
      <c r="F452" s="19">
        <v>1</v>
      </c>
      <c r="G452" s="43"/>
      <c r="H452" s="43"/>
      <c r="I452" s="268" t="s">
        <v>3669</v>
      </c>
      <c r="J452" s="45">
        <v>15</v>
      </c>
      <c r="K452" s="46" t="s">
        <v>3670</v>
      </c>
      <c r="L452" s="47" t="s">
        <v>63</v>
      </c>
      <c r="M452" s="73" t="s">
        <v>42</v>
      </c>
      <c r="N452" s="77" t="s">
        <v>3516</v>
      </c>
      <c r="O452" s="49" t="s">
        <v>3517</v>
      </c>
      <c r="P452" s="49" t="s">
        <v>3518</v>
      </c>
      <c r="Q452" s="49" t="s">
        <v>3653</v>
      </c>
      <c r="R452" s="50">
        <v>137</v>
      </c>
      <c r="S452" s="50">
        <v>615</v>
      </c>
      <c r="T452" s="51" t="s">
        <v>180</v>
      </c>
      <c r="U452" s="51">
        <v>1</v>
      </c>
      <c r="V452" s="52">
        <f t="shared" si="14"/>
        <v>15</v>
      </c>
      <c r="W452" s="51" t="s">
        <v>510</v>
      </c>
      <c r="X452" s="202" t="s">
        <v>3520</v>
      </c>
      <c r="Y452" s="199" t="s">
        <v>324</v>
      </c>
      <c r="Z452" s="169"/>
      <c r="AA452" s="170" t="s">
        <v>3521</v>
      </c>
      <c r="AB452" s="243" t="s">
        <v>3522</v>
      </c>
      <c r="AC452" s="309">
        <f>7389.3+1085</f>
        <v>8474.2999999999993</v>
      </c>
      <c r="AE452" s="137" t="s">
        <v>3569</v>
      </c>
      <c r="AF452" s="138"/>
      <c r="AG452" s="138" t="s">
        <v>56</v>
      </c>
      <c r="AH452" s="310" t="s">
        <v>355</v>
      </c>
      <c r="AI452" s="138"/>
      <c r="AJ452" s="138"/>
      <c r="AK452" s="138"/>
      <c r="AL452" s="222" t="s">
        <v>55</v>
      </c>
    </row>
    <row r="453" spans="1:43" s="200" customFormat="1" ht="119.25" customHeight="1" x14ac:dyDescent="0.25">
      <c r="A453" s="14">
        <v>45943</v>
      </c>
      <c r="B453" s="95" t="s">
        <v>3570</v>
      </c>
      <c r="C453" s="316" t="s">
        <v>3671</v>
      </c>
      <c r="D453" s="311"/>
      <c r="E453" s="259" t="s">
        <v>195</v>
      </c>
      <c r="F453" s="280"/>
      <c r="G453" s="280"/>
      <c r="H453" s="280"/>
      <c r="I453" s="312" t="s">
        <v>3672</v>
      </c>
      <c r="J453" s="313">
        <v>2</v>
      </c>
      <c r="K453" s="270" t="s">
        <v>3673</v>
      </c>
      <c r="L453" s="100" t="s">
        <v>42</v>
      </c>
      <c r="M453" s="100" t="s">
        <v>42</v>
      </c>
      <c r="N453" s="101" t="s">
        <v>3674</v>
      </c>
      <c r="O453" s="314"/>
      <c r="P453" s="314"/>
      <c r="Q453" s="314"/>
      <c r="R453" s="315">
        <v>0</v>
      </c>
      <c r="S453" s="315">
        <v>0</v>
      </c>
      <c r="T453" s="259">
        <v>0</v>
      </c>
      <c r="U453" s="259">
        <v>731</v>
      </c>
      <c r="V453" s="317">
        <f t="shared" si="14"/>
        <v>1462</v>
      </c>
      <c r="W453" s="259" t="s">
        <v>68</v>
      </c>
      <c r="X453" s="258" t="s">
        <v>3575</v>
      </c>
      <c r="Y453" s="199"/>
      <c r="Z453" s="169"/>
      <c r="AA453" s="170" t="s">
        <v>3576</v>
      </c>
      <c r="AB453" s="243" t="s">
        <v>3117</v>
      </c>
      <c r="AC453" s="35">
        <f>19178.6*J453/7</f>
        <v>5479.5999999999995</v>
      </c>
      <c r="AE453" s="137" t="s">
        <v>3569</v>
      </c>
      <c r="AF453" s="138"/>
      <c r="AG453" s="138" t="s">
        <v>56</v>
      </c>
      <c r="AH453" s="138" t="s">
        <v>56</v>
      </c>
      <c r="AI453" s="138" t="s">
        <v>3675</v>
      </c>
      <c r="AJ453" s="138"/>
      <c r="AK453" s="138"/>
      <c r="AL453" s="138"/>
    </row>
    <row r="454" spans="1:43" ht="120" x14ac:dyDescent="0.25">
      <c r="A454" s="14">
        <v>45940</v>
      </c>
      <c r="B454" s="41" t="s">
        <v>3577</v>
      </c>
      <c r="C454" s="41" t="s">
        <v>3676</v>
      </c>
      <c r="D454" s="41"/>
      <c r="E454" s="42" t="s">
        <v>39</v>
      </c>
      <c r="F454" s="19">
        <v>1</v>
      </c>
      <c r="G454" s="43"/>
      <c r="H454" s="43"/>
      <c r="I454" s="245" t="s">
        <v>3677</v>
      </c>
      <c r="J454" s="45">
        <v>75</v>
      </c>
      <c r="K454" s="46" t="s">
        <v>3592</v>
      </c>
      <c r="L454" s="47" t="s">
        <v>63</v>
      </c>
      <c r="M454" s="73" t="s">
        <v>42</v>
      </c>
      <c r="N454" s="77" t="s">
        <v>3678</v>
      </c>
      <c r="O454" s="49" t="s">
        <v>3679</v>
      </c>
      <c r="P454" s="49" t="s">
        <v>3603</v>
      </c>
      <c r="Q454" s="49" t="s">
        <v>3667</v>
      </c>
      <c r="R454" s="50">
        <v>53</v>
      </c>
      <c r="S454" s="50">
        <v>205</v>
      </c>
      <c r="T454" s="51" t="s">
        <v>47</v>
      </c>
      <c r="U454" s="51">
        <v>2</v>
      </c>
      <c r="V454" s="52">
        <f t="shared" si="14"/>
        <v>150</v>
      </c>
      <c r="W454" s="51" t="s">
        <v>221</v>
      </c>
      <c r="X454" s="198" t="s">
        <v>3680</v>
      </c>
      <c r="Y454" s="199" t="s">
        <v>70</v>
      </c>
      <c r="Z454" s="269"/>
      <c r="AA454" s="170" t="s">
        <v>3116</v>
      </c>
      <c r="AB454" s="243" t="s">
        <v>3586</v>
      </c>
      <c r="AC454" s="172">
        <v>6273.75</v>
      </c>
      <c r="AE454" s="137" t="s">
        <v>3569</v>
      </c>
      <c r="AF454" s="138"/>
      <c r="AG454" s="138" t="s">
        <v>56</v>
      </c>
      <c r="AH454" s="138" t="s">
        <v>56</v>
      </c>
      <c r="AI454" s="138"/>
      <c r="AJ454" s="138" t="s">
        <v>56</v>
      </c>
      <c r="AK454" s="138" t="s">
        <v>74</v>
      </c>
      <c r="AL454" s="251" t="s">
        <v>3681</v>
      </c>
    </row>
    <row r="455" spans="1:43" s="200" customFormat="1" ht="75" x14ac:dyDescent="0.25">
      <c r="A455" s="14">
        <v>45940</v>
      </c>
      <c r="B455" s="41" t="s">
        <v>3682</v>
      </c>
      <c r="C455" s="41" t="s">
        <v>3683</v>
      </c>
      <c r="D455" s="41"/>
      <c r="E455" s="42" t="s">
        <v>39</v>
      </c>
      <c r="F455" s="19">
        <v>1</v>
      </c>
      <c r="G455" s="43"/>
      <c r="H455" s="43"/>
      <c r="I455" s="268" t="s">
        <v>3684</v>
      </c>
      <c r="J455" s="45">
        <v>5</v>
      </c>
      <c r="K455" s="46" t="s">
        <v>3670</v>
      </c>
      <c r="L455" s="47" t="s">
        <v>63</v>
      </c>
      <c r="M455" s="73" t="s">
        <v>42</v>
      </c>
      <c r="N455" s="77" t="s">
        <v>3685</v>
      </c>
      <c r="O455" s="49" t="s">
        <v>3686</v>
      </c>
      <c r="P455" s="49" t="s">
        <v>3687</v>
      </c>
      <c r="Q455" s="49" t="s">
        <v>3517</v>
      </c>
      <c r="R455" s="50">
        <v>33</v>
      </c>
      <c r="S455" s="50">
        <v>245</v>
      </c>
      <c r="T455" s="51" t="s">
        <v>47</v>
      </c>
      <c r="U455" s="51">
        <v>54</v>
      </c>
      <c r="V455" s="52">
        <f t="shared" si="14"/>
        <v>270</v>
      </c>
      <c r="W455" s="51" t="s">
        <v>142</v>
      </c>
      <c r="X455" s="198" t="s">
        <v>3688</v>
      </c>
      <c r="Y455" s="199" t="s">
        <v>82</v>
      </c>
      <c r="Z455" s="169"/>
      <c r="AA455" s="170" t="s">
        <v>3116</v>
      </c>
      <c r="AB455" s="243" t="s">
        <v>3689</v>
      </c>
      <c r="AC455" s="172">
        <v>3467.5</v>
      </c>
      <c r="AE455" s="137" t="s">
        <v>3569</v>
      </c>
      <c r="AF455" s="138"/>
      <c r="AG455" s="138" t="s">
        <v>56</v>
      </c>
      <c r="AH455" s="138" t="s">
        <v>56</v>
      </c>
      <c r="AI455" s="138"/>
      <c r="AJ455" s="138" t="s">
        <v>56</v>
      </c>
      <c r="AK455" s="138" t="s">
        <v>74</v>
      </c>
      <c r="AL455" s="138" t="s">
        <v>55</v>
      </c>
    </row>
    <row r="456" spans="1:43" s="200" customFormat="1" ht="135" x14ac:dyDescent="0.25">
      <c r="A456" s="14">
        <v>45940</v>
      </c>
      <c r="B456" s="41" t="s">
        <v>3690</v>
      </c>
      <c r="C456" s="41" t="s">
        <v>3691</v>
      </c>
      <c r="D456" s="41"/>
      <c r="E456" s="42" t="s">
        <v>39</v>
      </c>
      <c r="F456" s="43"/>
      <c r="G456" s="43"/>
      <c r="H456" s="19">
        <v>1</v>
      </c>
      <c r="I456" s="268" t="s">
        <v>3692</v>
      </c>
      <c r="J456" s="45">
        <v>60</v>
      </c>
      <c r="K456" s="46" t="s">
        <v>3693</v>
      </c>
      <c r="L456" s="47" t="s">
        <v>63</v>
      </c>
      <c r="M456" s="73" t="s">
        <v>42</v>
      </c>
      <c r="N456" s="77" t="s">
        <v>3694</v>
      </c>
      <c r="O456" s="49" t="s">
        <v>3668</v>
      </c>
      <c r="P456" s="49" t="s">
        <v>3695</v>
      </c>
      <c r="Q456" s="49" t="s">
        <v>3517</v>
      </c>
      <c r="R456" s="50">
        <v>116</v>
      </c>
      <c r="S456" s="50">
        <v>408</v>
      </c>
      <c r="T456" s="51" t="s">
        <v>180</v>
      </c>
      <c r="U456" s="51">
        <v>1</v>
      </c>
      <c r="V456" s="52">
        <f t="shared" si="14"/>
        <v>60</v>
      </c>
      <c r="W456" s="51" t="s">
        <v>350</v>
      </c>
      <c r="X456" s="202" t="s">
        <v>538</v>
      </c>
      <c r="Y456" s="199" t="s">
        <v>324</v>
      </c>
      <c r="Z456" s="169"/>
      <c r="AA456" s="170" t="s">
        <v>2953</v>
      </c>
      <c r="AB456" s="243" t="s">
        <v>3568</v>
      </c>
      <c r="AC456" s="35">
        <v>9927.6</v>
      </c>
      <c r="AE456" s="137" t="s">
        <v>3569</v>
      </c>
      <c r="AF456" s="138"/>
      <c r="AG456" s="138" t="s">
        <v>56</v>
      </c>
      <c r="AH456" s="138" t="s">
        <v>56</v>
      </c>
      <c r="AI456" s="138"/>
      <c r="AJ456" s="138"/>
      <c r="AK456" s="138"/>
      <c r="AL456" s="138" t="s">
        <v>55</v>
      </c>
    </row>
    <row r="457" spans="1:43" s="200" customFormat="1" ht="194.25" customHeight="1" x14ac:dyDescent="0.25">
      <c r="A457" s="14">
        <v>45939</v>
      </c>
      <c r="B457" s="41" t="s">
        <v>3696</v>
      </c>
      <c r="C457" s="41" t="s">
        <v>3697</v>
      </c>
      <c r="D457" s="41" t="s">
        <v>3698</v>
      </c>
      <c r="E457" s="42" t="s">
        <v>39</v>
      </c>
      <c r="F457" s="43"/>
      <c r="G457" s="43"/>
      <c r="H457" s="19">
        <v>1</v>
      </c>
      <c r="I457" s="268" t="s">
        <v>3699</v>
      </c>
      <c r="J457" s="45">
        <v>8</v>
      </c>
      <c r="K457" s="46" t="s">
        <v>9911</v>
      </c>
      <c r="L457" s="47" t="s">
        <v>63</v>
      </c>
      <c r="M457" s="73" t="s">
        <v>42</v>
      </c>
      <c r="N457" s="77" t="s">
        <v>3700</v>
      </c>
      <c r="O457" s="49"/>
      <c r="P457" s="49" t="s">
        <v>3701</v>
      </c>
      <c r="Q457" s="49" t="s">
        <v>3702</v>
      </c>
      <c r="R457" s="50">
        <v>33</v>
      </c>
      <c r="S457" s="50">
        <v>167</v>
      </c>
      <c r="T457" s="51" t="s">
        <v>96</v>
      </c>
      <c r="U457" s="51">
        <v>5</v>
      </c>
      <c r="V457" s="75">
        <f t="shared" si="14"/>
        <v>40</v>
      </c>
      <c r="W457" s="51" t="s">
        <v>350</v>
      </c>
      <c r="X457" s="202" t="s">
        <v>1982</v>
      </c>
      <c r="Y457" s="199" t="s">
        <v>82</v>
      </c>
      <c r="Z457" s="169" t="s">
        <v>3703</v>
      </c>
      <c r="AA457" s="170" t="s">
        <v>3704</v>
      </c>
      <c r="AB457" s="243" t="s">
        <v>3705</v>
      </c>
      <c r="AC457" s="35">
        <f>11796*J457/200</f>
        <v>471.84</v>
      </c>
      <c r="AE457" s="137" t="s">
        <v>2776</v>
      </c>
      <c r="AF457" s="138"/>
      <c r="AG457" s="138" t="s">
        <v>56</v>
      </c>
      <c r="AH457" s="138" t="s">
        <v>56</v>
      </c>
      <c r="AI457" s="138"/>
      <c r="AJ457" s="138" t="s">
        <v>56</v>
      </c>
      <c r="AK457" s="138" t="s">
        <v>74</v>
      </c>
      <c r="AL457" s="138" t="s">
        <v>55</v>
      </c>
    </row>
    <row r="458" spans="1:43" s="200" customFormat="1" ht="63.75" customHeight="1" x14ac:dyDescent="0.25">
      <c r="A458" s="14">
        <v>45939</v>
      </c>
      <c r="B458" s="41" t="s">
        <v>3706</v>
      </c>
      <c r="C458" s="41" t="s">
        <v>3707</v>
      </c>
      <c r="D458" s="41"/>
      <c r="E458" s="42" t="s">
        <v>39</v>
      </c>
      <c r="F458" s="19">
        <v>1</v>
      </c>
      <c r="G458" s="43"/>
      <c r="H458" s="43"/>
      <c r="I458" s="268" t="s">
        <v>3708</v>
      </c>
      <c r="J458" s="45">
        <v>5</v>
      </c>
      <c r="K458" s="46" t="s">
        <v>3709</v>
      </c>
      <c r="L458" s="50" t="s">
        <v>63</v>
      </c>
      <c r="M458" s="73" t="s">
        <v>42</v>
      </c>
      <c r="N458" s="77" t="s">
        <v>3710</v>
      </c>
      <c r="O458" s="49" t="s">
        <v>3711</v>
      </c>
      <c r="P458" s="49" t="s">
        <v>3712</v>
      </c>
      <c r="Q458" s="49" t="s">
        <v>3713</v>
      </c>
      <c r="R458" s="50">
        <v>96</v>
      </c>
      <c r="S458" s="50">
        <v>529</v>
      </c>
      <c r="T458" s="51" t="s">
        <v>180</v>
      </c>
      <c r="U458" s="51">
        <v>2</v>
      </c>
      <c r="V458" s="52">
        <f t="shared" si="14"/>
        <v>10</v>
      </c>
      <c r="W458" s="51" t="s">
        <v>350</v>
      </c>
      <c r="X458" s="198" t="s">
        <v>881</v>
      </c>
      <c r="Y458" s="199" t="s">
        <v>50</v>
      </c>
      <c r="Z458" s="169"/>
      <c r="AA458" s="170" t="s">
        <v>3336</v>
      </c>
      <c r="AB458" s="243" t="s">
        <v>3471</v>
      </c>
      <c r="AC458" s="172">
        <v>7605</v>
      </c>
      <c r="AE458" s="137" t="s">
        <v>2776</v>
      </c>
      <c r="AF458" s="138"/>
      <c r="AG458" s="138" t="s">
        <v>56</v>
      </c>
      <c r="AH458" s="138" t="s">
        <v>56</v>
      </c>
      <c r="AI458" s="138"/>
      <c r="AJ458" s="138"/>
      <c r="AK458" s="138"/>
      <c r="AL458" s="138" t="s">
        <v>55</v>
      </c>
    </row>
    <row r="459" spans="1:43" s="200" customFormat="1" ht="33" customHeight="1" x14ac:dyDescent="0.25">
      <c r="A459" s="14">
        <v>45939</v>
      </c>
      <c r="B459" s="41" t="s">
        <v>3577</v>
      </c>
      <c r="C459" s="41" t="s">
        <v>3714</v>
      </c>
      <c r="D459" s="41" t="s">
        <v>3715</v>
      </c>
      <c r="E459" s="42" t="s">
        <v>39</v>
      </c>
      <c r="F459" s="19">
        <v>1</v>
      </c>
      <c r="G459" s="43"/>
      <c r="H459" s="43"/>
      <c r="I459" s="245" t="s">
        <v>3716</v>
      </c>
      <c r="J459" s="45">
        <v>115</v>
      </c>
      <c r="K459" s="46" t="s">
        <v>3717</v>
      </c>
      <c r="L459" s="47" t="s">
        <v>63</v>
      </c>
      <c r="M459" s="73" t="s">
        <v>42</v>
      </c>
      <c r="N459" s="77" t="s">
        <v>64</v>
      </c>
      <c r="O459" s="49"/>
      <c r="P459" s="49" t="s">
        <v>3718</v>
      </c>
      <c r="Q459" s="49" t="s">
        <v>3719</v>
      </c>
      <c r="R459" s="50">
        <v>86</v>
      </c>
      <c r="S459" s="50">
        <v>177</v>
      </c>
      <c r="T459" s="51" t="s">
        <v>67</v>
      </c>
      <c r="U459" s="51">
        <v>4</v>
      </c>
      <c r="V459" s="52">
        <f t="shared" si="14"/>
        <v>460</v>
      </c>
      <c r="W459" s="51" t="s">
        <v>510</v>
      </c>
      <c r="X459" s="198" t="s">
        <v>69</v>
      </c>
      <c r="Y459" s="199" t="s">
        <v>70</v>
      </c>
      <c r="Z459" s="269"/>
      <c r="AA459" s="170" t="s">
        <v>3720</v>
      </c>
      <c r="AB459" s="243" t="s">
        <v>3586</v>
      </c>
      <c r="AC459" s="172">
        <v>7835.85</v>
      </c>
      <c r="AE459" s="137" t="s">
        <v>2776</v>
      </c>
      <c r="AF459" s="138" t="s">
        <v>354</v>
      </c>
      <c r="AG459" s="138" t="s">
        <v>56</v>
      </c>
      <c r="AH459" s="138" t="s">
        <v>56</v>
      </c>
      <c r="AI459" s="138"/>
      <c r="AJ459" s="138"/>
      <c r="AK459" s="138"/>
      <c r="AL459" s="138" t="s">
        <v>55</v>
      </c>
    </row>
    <row r="460" spans="1:43" ht="180" customHeight="1" x14ac:dyDescent="0.25">
      <c r="A460" s="14">
        <v>45939</v>
      </c>
      <c r="B460" s="174" t="s">
        <v>3721</v>
      </c>
      <c r="C460" s="95" t="s">
        <v>3722</v>
      </c>
      <c r="D460" s="95" t="s">
        <v>3723</v>
      </c>
      <c r="E460" s="96" t="s">
        <v>39</v>
      </c>
      <c r="F460" s="19">
        <v>1</v>
      </c>
      <c r="G460" s="97"/>
      <c r="H460" s="97"/>
      <c r="I460" s="268" t="s">
        <v>3724</v>
      </c>
      <c r="J460" s="98">
        <v>7</v>
      </c>
      <c r="K460" s="270" t="s">
        <v>3725</v>
      </c>
      <c r="L460" s="100" t="s">
        <v>63</v>
      </c>
      <c r="M460" s="100" t="s">
        <v>55</v>
      </c>
      <c r="N460" s="101" t="s">
        <v>3726</v>
      </c>
      <c r="O460" s="102" t="s">
        <v>3713</v>
      </c>
      <c r="P460" s="102" t="s">
        <v>3727</v>
      </c>
      <c r="Q460" s="102" t="s">
        <v>3686</v>
      </c>
      <c r="R460" s="103">
        <v>85</v>
      </c>
      <c r="S460" s="103">
        <v>379</v>
      </c>
      <c r="T460" s="96" t="s">
        <v>180</v>
      </c>
      <c r="U460" s="96">
        <v>41</v>
      </c>
      <c r="V460" s="104">
        <f t="shared" si="14"/>
        <v>287</v>
      </c>
      <c r="W460" s="96" t="s">
        <v>68</v>
      </c>
      <c r="X460" s="258" t="s">
        <v>232</v>
      </c>
      <c r="Y460" s="199" t="s">
        <v>50</v>
      </c>
      <c r="Z460" s="169" t="s">
        <v>3728</v>
      </c>
      <c r="AA460" s="170" t="s">
        <v>3729</v>
      </c>
      <c r="AB460" s="243" t="s">
        <v>3662</v>
      </c>
      <c r="AC460" s="172">
        <v>7514.56</v>
      </c>
      <c r="AE460" s="137" t="s">
        <v>3569</v>
      </c>
      <c r="AF460" s="138"/>
      <c r="AG460" s="138" t="s">
        <v>56</v>
      </c>
      <c r="AH460" s="138" t="s">
        <v>56</v>
      </c>
      <c r="AI460" s="138"/>
      <c r="AJ460" s="138"/>
      <c r="AK460" s="138"/>
      <c r="AL460" s="222" t="s">
        <v>55</v>
      </c>
    </row>
    <row r="461" spans="1:43" s="200" customFormat="1" ht="43.5" customHeight="1" x14ac:dyDescent="0.25">
      <c r="A461" s="14">
        <v>45938</v>
      </c>
      <c r="B461" s="41" t="s">
        <v>3730</v>
      </c>
      <c r="C461" s="41" t="s">
        <v>3731</v>
      </c>
      <c r="D461" s="41" t="s">
        <v>3732</v>
      </c>
      <c r="E461" s="51" t="s">
        <v>39</v>
      </c>
      <c r="F461" s="43"/>
      <c r="G461" s="43"/>
      <c r="H461" s="19">
        <v>1</v>
      </c>
      <c r="I461" s="268" t="s">
        <v>3733</v>
      </c>
      <c r="J461" s="45">
        <v>115</v>
      </c>
      <c r="K461" s="46" t="s">
        <v>3717</v>
      </c>
      <c r="L461" s="47" t="s">
        <v>63</v>
      </c>
      <c r="M461" s="73" t="s">
        <v>42</v>
      </c>
      <c r="N461" s="77" t="s">
        <v>3734</v>
      </c>
      <c r="O461" s="49"/>
      <c r="P461" s="49" t="s">
        <v>3702</v>
      </c>
      <c r="Q461" s="49" t="s">
        <v>3735</v>
      </c>
      <c r="R461" s="50">
        <v>79</v>
      </c>
      <c r="S461" s="50">
        <v>169</v>
      </c>
      <c r="T461" s="51" t="s">
        <v>67</v>
      </c>
      <c r="U461" s="51">
        <v>1</v>
      </c>
      <c r="V461" s="52">
        <f t="shared" si="14"/>
        <v>115</v>
      </c>
      <c r="W461" s="51" t="s">
        <v>510</v>
      </c>
      <c r="X461" s="198" t="s">
        <v>69</v>
      </c>
      <c r="Y461" s="199" t="s">
        <v>70</v>
      </c>
      <c r="Z461" s="269"/>
      <c r="AA461" s="170" t="s">
        <v>3736</v>
      </c>
      <c r="AB461" s="243" t="s">
        <v>3471</v>
      </c>
      <c r="AC461" s="35">
        <f>10982.5</f>
        <v>10982.5</v>
      </c>
      <c r="AE461" s="137" t="s">
        <v>2776</v>
      </c>
      <c r="AF461" s="138" t="s">
        <v>354</v>
      </c>
      <c r="AG461" s="138" t="s">
        <v>56</v>
      </c>
      <c r="AH461" s="138" t="s">
        <v>86</v>
      </c>
      <c r="AI461" s="138"/>
      <c r="AJ461" s="138" t="s">
        <v>56</v>
      </c>
      <c r="AK461" s="222" t="s">
        <v>74</v>
      </c>
      <c r="AL461" s="222" t="s">
        <v>55</v>
      </c>
    </row>
    <row r="462" spans="1:43" ht="165" x14ac:dyDescent="0.25">
      <c r="A462" s="14">
        <v>45938</v>
      </c>
      <c r="B462" s="95" t="s">
        <v>3562</v>
      </c>
      <c r="C462" s="95" t="s">
        <v>3737</v>
      </c>
      <c r="D462" s="95"/>
      <c r="E462" s="96" t="s">
        <v>39</v>
      </c>
      <c r="F462" s="19">
        <v>1</v>
      </c>
      <c r="G462" s="97"/>
      <c r="H462" s="97"/>
      <c r="I462" s="245" t="s">
        <v>3738</v>
      </c>
      <c r="J462" s="98">
        <v>5</v>
      </c>
      <c r="K462" s="270" t="s">
        <v>3739</v>
      </c>
      <c r="L462" s="103" t="s">
        <v>63</v>
      </c>
      <c r="M462" s="103" t="s">
        <v>55</v>
      </c>
      <c r="N462" s="101" t="s">
        <v>3740</v>
      </c>
      <c r="O462" s="102" t="s">
        <v>3667</v>
      </c>
      <c r="P462" s="102" t="s">
        <v>3741</v>
      </c>
      <c r="Q462" s="102" t="s">
        <v>3742</v>
      </c>
      <c r="R462" s="103">
        <v>45</v>
      </c>
      <c r="S462" s="103">
        <v>137</v>
      </c>
      <c r="T462" s="96" t="s">
        <v>47</v>
      </c>
      <c r="U462" s="96">
        <v>23</v>
      </c>
      <c r="V462" s="104">
        <f t="shared" si="14"/>
        <v>115</v>
      </c>
      <c r="W462" s="96" t="s">
        <v>350</v>
      </c>
      <c r="X462" s="198" t="s">
        <v>960</v>
      </c>
      <c r="Y462" s="168" t="s">
        <v>50</v>
      </c>
      <c r="Z462" s="169"/>
      <c r="AA462" s="170" t="s">
        <v>3191</v>
      </c>
      <c r="AB462" s="243" t="s">
        <v>3117</v>
      </c>
      <c r="AC462" s="172">
        <f>3425+850</f>
        <v>4275</v>
      </c>
      <c r="AE462" s="137" t="s">
        <v>2776</v>
      </c>
      <c r="AF462" s="138"/>
      <c r="AG462" s="138" t="s">
        <v>56</v>
      </c>
      <c r="AH462" s="138" t="s">
        <v>56</v>
      </c>
      <c r="AI462" s="138"/>
      <c r="AJ462" s="138"/>
      <c r="AK462" s="138"/>
      <c r="AL462" s="138" t="s">
        <v>55</v>
      </c>
    </row>
    <row r="463" spans="1:43" ht="60.75" customHeight="1" x14ac:dyDescent="0.25">
      <c r="A463" s="14">
        <v>45938</v>
      </c>
      <c r="B463" s="41" t="s">
        <v>3663</v>
      </c>
      <c r="C463" s="41" t="s">
        <v>3664</v>
      </c>
      <c r="D463" s="41"/>
      <c r="E463" s="42" t="s">
        <v>39</v>
      </c>
      <c r="F463" s="43"/>
      <c r="G463" s="43"/>
      <c r="H463" s="19">
        <v>1</v>
      </c>
      <c r="I463" s="268" t="s">
        <v>3743</v>
      </c>
      <c r="J463" s="45">
        <v>15</v>
      </c>
      <c r="K463" s="46" t="s">
        <v>3744</v>
      </c>
      <c r="L463" s="47" t="s">
        <v>63</v>
      </c>
      <c r="M463" s="73" t="s">
        <v>42</v>
      </c>
      <c r="N463" s="77" t="s">
        <v>3666</v>
      </c>
      <c r="O463" s="49" t="s">
        <v>3603</v>
      </c>
      <c r="P463" s="49" t="s">
        <v>3667</v>
      </c>
      <c r="Q463" s="49" t="s">
        <v>3745</v>
      </c>
      <c r="R463" s="50">
        <v>115</v>
      </c>
      <c r="S463" s="50">
        <v>408</v>
      </c>
      <c r="T463" s="51" t="s">
        <v>180</v>
      </c>
      <c r="U463" s="51">
        <v>1</v>
      </c>
      <c r="V463" s="52">
        <f t="shared" si="14"/>
        <v>15</v>
      </c>
      <c r="W463" s="51" t="s">
        <v>350</v>
      </c>
      <c r="X463" s="202" t="s">
        <v>538</v>
      </c>
      <c r="Y463" s="168" t="s">
        <v>324</v>
      </c>
      <c r="Z463" s="169"/>
      <c r="AA463" s="170" t="s">
        <v>3521</v>
      </c>
      <c r="AB463" s="243" t="s">
        <v>3151</v>
      </c>
      <c r="AC463" s="35">
        <f>5897.25+1030</f>
        <v>6927.25</v>
      </c>
      <c r="AD463" s="200"/>
      <c r="AE463" s="137" t="s">
        <v>3569</v>
      </c>
      <c r="AF463" s="138"/>
      <c r="AG463" s="138" t="s">
        <v>56</v>
      </c>
      <c r="AH463" s="138" t="s">
        <v>56</v>
      </c>
      <c r="AI463" s="138"/>
      <c r="AJ463" s="138"/>
      <c r="AK463" s="138"/>
      <c r="AL463" s="138" t="s">
        <v>55</v>
      </c>
      <c r="AM463" s="200"/>
      <c r="AN463" s="200"/>
      <c r="AO463" s="200"/>
      <c r="AP463" s="200"/>
      <c r="AQ463" s="200"/>
    </row>
    <row r="464" spans="1:43" s="279" customFormat="1" ht="119.25" customHeight="1" x14ac:dyDescent="0.25">
      <c r="A464" s="14">
        <v>45938</v>
      </c>
      <c r="B464" s="41" t="s">
        <v>3597</v>
      </c>
      <c r="C464" s="41" t="s">
        <v>3598</v>
      </c>
      <c r="D464" s="41"/>
      <c r="E464" s="42" t="s">
        <v>39</v>
      </c>
      <c r="F464" s="43"/>
      <c r="G464" s="43"/>
      <c r="H464" s="19">
        <v>1</v>
      </c>
      <c r="I464" s="268" t="s">
        <v>3746</v>
      </c>
      <c r="J464" s="45">
        <v>15</v>
      </c>
      <c r="K464" s="46" t="s">
        <v>3744</v>
      </c>
      <c r="L464" s="47" t="s">
        <v>63</v>
      </c>
      <c r="M464" s="73" t="s">
        <v>42</v>
      </c>
      <c r="N464" s="77" t="s">
        <v>3600</v>
      </c>
      <c r="O464" s="49" t="s">
        <v>3601</v>
      </c>
      <c r="P464" s="49" t="s">
        <v>3602</v>
      </c>
      <c r="Q464" s="49" t="s">
        <v>3603</v>
      </c>
      <c r="R464" s="50">
        <v>116</v>
      </c>
      <c r="S464" s="50">
        <v>480</v>
      </c>
      <c r="T464" s="51" t="s">
        <v>141</v>
      </c>
      <c r="U464" s="51">
        <v>18</v>
      </c>
      <c r="V464" s="75">
        <f t="shared" si="14"/>
        <v>270</v>
      </c>
      <c r="W464" s="51" t="s">
        <v>510</v>
      </c>
      <c r="X464" s="202" t="s">
        <v>538</v>
      </c>
      <c r="Y464" s="199" t="s">
        <v>324</v>
      </c>
      <c r="Z464" s="169"/>
      <c r="AA464" s="170" t="s">
        <v>2953</v>
      </c>
      <c r="AB464" s="243" t="s">
        <v>3151</v>
      </c>
      <c r="AC464" s="35">
        <f>7202+1030</f>
        <v>8232</v>
      </c>
      <c r="AD464" s="200"/>
      <c r="AE464" s="137" t="s">
        <v>3569</v>
      </c>
      <c r="AF464" s="138"/>
      <c r="AG464" s="138" t="s">
        <v>56</v>
      </c>
      <c r="AH464" s="138" t="s">
        <v>56</v>
      </c>
      <c r="AI464" s="138"/>
      <c r="AJ464" s="138"/>
      <c r="AK464" s="138"/>
      <c r="AL464" s="138" t="s">
        <v>55</v>
      </c>
      <c r="AM464" s="200"/>
      <c r="AN464" s="200"/>
      <c r="AO464" s="200"/>
      <c r="AP464" s="200"/>
      <c r="AQ464" s="200"/>
    </row>
    <row r="465" spans="1:38" s="200" customFormat="1" ht="90.75" customHeight="1" x14ac:dyDescent="0.25">
      <c r="A465" s="14">
        <v>45937</v>
      </c>
      <c r="B465" s="41" t="s">
        <v>3747</v>
      </c>
      <c r="C465" s="41" t="s">
        <v>3748</v>
      </c>
      <c r="D465" s="41" t="s">
        <v>3749</v>
      </c>
      <c r="E465" s="42" t="s">
        <v>39</v>
      </c>
      <c r="F465" s="19">
        <v>1</v>
      </c>
      <c r="G465" s="43"/>
      <c r="H465" s="43"/>
      <c r="I465" s="268" t="s">
        <v>3750</v>
      </c>
      <c r="J465" s="45">
        <v>250</v>
      </c>
      <c r="K465" s="46" t="s">
        <v>3751</v>
      </c>
      <c r="L465" s="50" t="s">
        <v>63</v>
      </c>
      <c r="M465" s="73" t="s">
        <v>42</v>
      </c>
      <c r="N465" s="77" t="s">
        <v>3752</v>
      </c>
      <c r="O465" s="49" t="s">
        <v>3753</v>
      </c>
      <c r="P465" s="49" t="s">
        <v>3754</v>
      </c>
      <c r="Q465" s="49" t="s">
        <v>3718</v>
      </c>
      <c r="R465" s="50">
        <v>17</v>
      </c>
      <c r="S465" s="50">
        <v>65</v>
      </c>
      <c r="T465" s="51" t="s">
        <v>47</v>
      </c>
      <c r="U465" s="51">
        <v>0</v>
      </c>
      <c r="V465" s="52">
        <f t="shared" si="14"/>
        <v>0</v>
      </c>
      <c r="W465" s="51" t="s">
        <v>221</v>
      </c>
      <c r="X465" s="198" t="s">
        <v>3755</v>
      </c>
      <c r="Y465" s="199" t="s">
        <v>82</v>
      </c>
      <c r="Z465" s="169"/>
      <c r="AA465" s="170" t="s">
        <v>3720</v>
      </c>
      <c r="AB465" s="243" t="s">
        <v>3522</v>
      </c>
      <c r="AC465" s="172">
        <v>7225</v>
      </c>
      <c r="AE465" s="137" t="s">
        <v>3756</v>
      </c>
      <c r="AF465" s="138"/>
      <c r="AG465" s="138" t="s">
        <v>56</v>
      </c>
      <c r="AH465" s="138" t="s">
        <v>56</v>
      </c>
      <c r="AI465" s="138"/>
      <c r="AJ465" s="138"/>
      <c r="AK465" s="138"/>
      <c r="AL465" s="251" t="s">
        <v>3757</v>
      </c>
    </row>
    <row r="466" spans="1:38" s="279" customFormat="1" ht="57.75" customHeight="1" x14ac:dyDescent="0.25">
      <c r="A466" s="14">
        <v>45937</v>
      </c>
      <c r="B466" s="41" t="s">
        <v>3758</v>
      </c>
      <c r="C466" s="41" t="s">
        <v>3759</v>
      </c>
      <c r="D466" s="41"/>
      <c r="E466" s="42" t="s">
        <v>39</v>
      </c>
      <c r="F466" s="19">
        <v>1</v>
      </c>
      <c r="G466" s="43"/>
      <c r="H466" s="43"/>
      <c r="I466" s="268" t="s">
        <v>3760</v>
      </c>
      <c r="J466" s="45">
        <v>75</v>
      </c>
      <c r="K466" s="46" t="s">
        <v>3751</v>
      </c>
      <c r="L466" s="47" t="s">
        <v>63</v>
      </c>
      <c r="M466" s="73" t="s">
        <v>42</v>
      </c>
      <c r="N466" s="77" t="s">
        <v>3761</v>
      </c>
      <c r="O466" s="49" t="s">
        <v>3762</v>
      </c>
      <c r="P466" s="194" t="s">
        <v>3763</v>
      </c>
      <c r="Q466" s="49" t="s">
        <v>3764</v>
      </c>
      <c r="R466" s="50">
        <v>41</v>
      </c>
      <c r="S466" s="50">
        <v>85</v>
      </c>
      <c r="T466" s="51" t="s">
        <v>47</v>
      </c>
      <c r="U466" s="51">
        <v>29</v>
      </c>
      <c r="V466" s="75">
        <f>U466*90</f>
        <v>2610</v>
      </c>
      <c r="W466" s="51" t="s">
        <v>510</v>
      </c>
      <c r="X466" s="202" t="s">
        <v>538</v>
      </c>
      <c r="Y466" s="199" t="s">
        <v>324</v>
      </c>
      <c r="Z466" s="169"/>
      <c r="AA466" s="170" t="s">
        <v>2953</v>
      </c>
      <c r="AB466" s="243" t="s">
        <v>3151</v>
      </c>
      <c r="AC466" s="35">
        <f>4771</f>
        <v>4771</v>
      </c>
      <c r="AE466" s="137" t="s">
        <v>3569</v>
      </c>
      <c r="AF466" s="318"/>
      <c r="AG466" s="138" t="s">
        <v>56</v>
      </c>
      <c r="AH466" s="310" t="s">
        <v>355</v>
      </c>
      <c r="AI466" s="318"/>
      <c r="AJ466" s="318"/>
      <c r="AK466" s="318"/>
      <c r="AL466" s="318" t="s">
        <v>55</v>
      </c>
    </row>
    <row r="467" spans="1:38" s="200" customFormat="1" ht="195" x14ac:dyDescent="0.25">
      <c r="A467" s="14">
        <v>45937</v>
      </c>
      <c r="B467" s="41" t="s">
        <v>3765</v>
      </c>
      <c r="C467" s="41" t="s">
        <v>3766</v>
      </c>
      <c r="D467" s="41"/>
      <c r="E467" s="42" t="s">
        <v>39</v>
      </c>
      <c r="F467" s="19">
        <v>2</v>
      </c>
      <c r="G467" s="43"/>
      <c r="H467" s="43"/>
      <c r="I467" s="268" t="s">
        <v>3767</v>
      </c>
      <c r="J467" s="45">
        <v>20</v>
      </c>
      <c r="K467" s="46" t="s">
        <v>3717</v>
      </c>
      <c r="L467" s="47" t="s">
        <v>63</v>
      </c>
      <c r="M467" s="47" t="s">
        <v>55</v>
      </c>
      <c r="N467" s="77" t="s">
        <v>3768</v>
      </c>
      <c r="O467" s="49"/>
      <c r="P467" s="49" t="s">
        <v>3769</v>
      </c>
      <c r="Q467" s="49" t="s">
        <v>3753</v>
      </c>
      <c r="R467" s="50">
        <v>92</v>
      </c>
      <c r="S467" s="50">
        <v>347</v>
      </c>
      <c r="T467" s="51" t="s">
        <v>67</v>
      </c>
      <c r="U467" s="51">
        <v>67</v>
      </c>
      <c r="V467" s="75">
        <f t="shared" ref="V467:V481" si="15">U467*J467</f>
        <v>1340</v>
      </c>
      <c r="W467" s="51" t="s">
        <v>510</v>
      </c>
      <c r="X467" s="198" t="s">
        <v>3770</v>
      </c>
      <c r="Y467" s="199" t="s">
        <v>1862</v>
      </c>
      <c r="Z467" s="169"/>
      <c r="AA467" s="170" t="s">
        <v>2558</v>
      </c>
      <c r="AB467" s="243" t="s">
        <v>3771</v>
      </c>
      <c r="AC467" s="35">
        <v>5289.8</v>
      </c>
      <c r="AE467" s="137" t="s">
        <v>3569</v>
      </c>
      <c r="AF467" s="138"/>
      <c r="AG467" s="138" t="s">
        <v>56</v>
      </c>
      <c r="AH467" s="138" t="s">
        <v>56</v>
      </c>
      <c r="AI467" s="138"/>
      <c r="AJ467" s="138" t="s">
        <v>56</v>
      </c>
      <c r="AK467" s="138" t="s">
        <v>3772</v>
      </c>
      <c r="AL467" s="251" t="s">
        <v>3773</v>
      </c>
    </row>
    <row r="468" spans="1:38" s="200" customFormat="1" ht="45" customHeight="1" x14ac:dyDescent="0.25">
      <c r="A468" s="14">
        <v>45936</v>
      </c>
      <c r="B468" s="41" t="s">
        <v>3774</v>
      </c>
      <c r="C468" s="41" t="s">
        <v>3775</v>
      </c>
      <c r="D468" s="41"/>
      <c r="E468" s="42" t="s">
        <v>39</v>
      </c>
      <c r="F468" s="19">
        <v>1</v>
      </c>
      <c r="G468" s="43"/>
      <c r="H468" s="43"/>
      <c r="I468" s="268" t="s">
        <v>3776</v>
      </c>
      <c r="J468" s="45">
        <v>400</v>
      </c>
      <c r="K468" s="46" t="s">
        <v>3777</v>
      </c>
      <c r="L468" s="47" t="s">
        <v>63</v>
      </c>
      <c r="M468" s="73" t="s">
        <v>42</v>
      </c>
      <c r="N468" s="77" t="s">
        <v>3778</v>
      </c>
      <c r="O468" s="49" t="s">
        <v>3779</v>
      </c>
      <c r="P468" s="49" t="s">
        <v>3780</v>
      </c>
      <c r="Q468" s="49" t="s">
        <v>3781</v>
      </c>
      <c r="R468" s="50">
        <v>17</v>
      </c>
      <c r="S468" s="50">
        <v>96</v>
      </c>
      <c r="T468" s="51" t="s">
        <v>47</v>
      </c>
      <c r="U468" s="51">
        <v>1</v>
      </c>
      <c r="V468" s="52">
        <f t="shared" si="15"/>
        <v>400</v>
      </c>
      <c r="W468" s="51" t="s">
        <v>510</v>
      </c>
      <c r="X468" s="198" t="s">
        <v>3782</v>
      </c>
      <c r="Y468" s="199" t="s">
        <v>82</v>
      </c>
      <c r="Z468" s="169"/>
      <c r="AA468" s="170" t="s">
        <v>3729</v>
      </c>
      <c r="AB468" s="243" t="s">
        <v>3209</v>
      </c>
      <c r="AC468" s="172">
        <v>9508</v>
      </c>
      <c r="AE468" s="137" t="s">
        <v>3756</v>
      </c>
      <c r="AF468" s="138" t="s">
        <v>354</v>
      </c>
      <c r="AG468" s="138" t="s">
        <v>56</v>
      </c>
      <c r="AH468" s="138" t="s">
        <v>86</v>
      </c>
      <c r="AI468" s="138"/>
      <c r="AJ468" s="138" t="s">
        <v>56</v>
      </c>
      <c r="AK468" s="138" t="s">
        <v>2284</v>
      </c>
      <c r="AL468" s="222" t="s">
        <v>55</v>
      </c>
    </row>
    <row r="469" spans="1:38" s="200" customFormat="1" ht="196.5" customHeight="1" x14ac:dyDescent="0.25">
      <c r="A469" s="14">
        <v>45936</v>
      </c>
      <c r="B469" s="41" t="s">
        <v>3783</v>
      </c>
      <c r="C469" s="41" t="s">
        <v>3784</v>
      </c>
      <c r="D469" s="41"/>
      <c r="E469" s="42" t="s">
        <v>39</v>
      </c>
      <c r="F469" s="19">
        <v>1</v>
      </c>
      <c r="G469" s="43"/>
      <c r="H469" s="43"/>
      <c r="I469" s="268" t="s">
        <v>3785</v>
      </c>
      <c r="J469" s="45">
        <v>5</v>
      </c>
      <c r="K469" s="46" t="s">
        <v>3786</v>
      </c>
      <c r="L469" s="47" t="s">
        <v>63</v>
      </c>
      <c r="M469" s="47" t="s">
        <v>55</v>
      </c>
      <c r="N469" s="77" t="s">
        <v>3787</v>
      </c>
      <c r="O469" s="49"/>
      <c r="P469" s="49" t="s">
        <v>3788</v>
      </c>
      <c r="Q469" s="49" t="s">
        <v>3753</v>
      </c>
      <c r="R469" s="50">
        <v>4</v>
      </c>
      <c r="S469" s="50">
        <v>8</v>
      </c>
      <c r="T469" s="51" t="s">
        <v>96</v>
      </c>
      <c r="U469" s="51">
        <v>9</v>
      </c>
      <c r="V469" s="52">
        <f t="shared" si="15"/>
        <v>45</v>
      </c>
      <c r="W469" s="51" t="s">
        <v>350</v>
      </c>
      <c r="X469" s="202" t="s">
        <v>3789</v>
      </c>
      <c r="Y469" s="199" t="s">
        <v>50</v>
      </c>
      <c r="Z469" s="269"/>
      <c r="AA469" s="170" t="s">
        <v>3624</v>
      </c>
      <c r="AB469" s="243" t="s">
        <v>2090</v>
      </c>
      <c r="AC469" s="172">
        <v>2120</v>
      </c>
      <c r="AE469" s="137" t="s">
        <v>3790</v>
      </c>
      <c r="AF469" s="138" t="s">
        <v>354</v>
      </c>
      <c r="AG469" s="138" t="s">
        <v>56</v>
      </c>
      <c r="AH469" s="138" t="s">
        <v>56</v>
      </c>
      <c r="AI469" s="138"/>
      <c r="AJ469" s="138"/>
      <c r="AK469" s="138"/>
      <c r="AL469" s="251" t="s">
        <v>3791</v>
      </c>
    </row>
    <row r="470" spans="1:38" s="200" customFormat="1" ht="29.25" customHeight="1" x14ac:dyDescent="0.25">
      <c r="A470" s="14">
        <v>45936</v>
      </c>
      <c r="B470" s="41" t="s">
        <v>3792</v>
      </c>
      <c r="C470" s="41" t="s">
        <v>3793</v>
      </c>
      <c r="D470" s="41"/>
      <c r="E470" s="42" t="s">
        <v>39</v>
      </c>
      <c r="F470" s="43"/>
      <c r="G470" s="43"/>
      <c r="H470" s="19">
        <v>1</v>
      </c>
      <c r="I470" s="245" t="s">
        <v>3794</v>
      </c>
      <c r="J470" s="45">
        <v>7</v>
      </c>
      <c r="K470" s="46" t="s">
        <v>3795</v>
      </c>
      <c r="L470" s="47" t="s">
        <v>63</v>
      </c>
      <c r="M470" s="73" t="s">
        <v>42</v>
      </c>
      <c r="N470" s="77" t="s">
        <v>3796</v>
      </c>
      <c r="O470" s="49" t="s">
        <v>3797</v>
      </c>
      <c r="P470" s="49" t="s">
        <v>3428</v>
      </c>
      <c r="Q470" s="49" t="s">
        <v>3798</v>
      </c>
      <c r="R470" s="50">
        <v>31</v>
      </c>
      <c r="S470" s="50">
        <v>265</v>
      </c>
      <c r="T470" s="51" t="s">
        <v>47</v>
      </c>
      <c r="U470" s="319">
        <v>83</v>
      </c>
      <c r="V470" s="52">
        <f t="shared" si="15"/>
        <v>581</v>
      </c>
      <c r="W470" s="51" t="s">
        <v>350</v>
      </c>
      <c r="X470" s="198" t="s">
        <v>3799</v>
      </c>
      <c r="Y470" s="199" t="s">
        <v>70</v>
      </c>
      <c r="Z470" s="169"/>
      <c r="AA470" s="170" t="s">
        <v>3116</v>
      </c>
      <c r="AB470" s="243" t="s">
        <v>3586</v>
      </c>
      <c r="AC470" s="172">
        <v>5905.75</v>
      </c>
      <c r="AE470" s="137" t="s">
        <v>3569</v>
      </c>
      <c r="AF470" s="138" t="s">
        <v>354</v>
      </c>
      <c r="AG470" s="138" t="s">
        <v>56</v>
      </c>
      <c r="AH470" s="138" t="s">
        <v>56</v>
      </c>
      <c r="AI470" s="138"/>
      <c r="AJ470" s="138"/>
      <c r="AK470" s="138"/>
      <c r="AL470" s="222" t="s">
        <v>55</v>
      </c>
    </row>
    <row r="471" spans="1:38" s="200" customFormat="1" ht="120" customHeight="1" x14ac:dyDescent="0.25">
      <c r="A471" s="14">
        <v>45936</v>
      </c>
      <c r="B471" s="41" t="s">
        <v>3800</v>
      </c>
      <c r="C471" s="41" t="s">
        <v>3801</v>
      </c>
      <c r="D471" s="41" t="s">
        <v>3802</v>
      </c>
      <c r="E471" s="42" t="s">
        <v>39</v>
      </c>
      <c r="F471" s="43"/>
      <c r="G471" s="43"/>
      <c r="H471" s="19">
        <v>1</v>
      </c>
      <c r="I471" s="268" t="s">
        <v>3803</v>
      </c>
      <c r="J471" s="45">
        <v>40</v>
      </c>
      <c r="K471" s="46" t="s">
        <v>3804</v>
      </c>
      <c r="L471" s="47" t="s">
        <v>63</v>
      </c>
      <c r="M471" s="73" t="s">
        <v>42</v>
      </c>
      <c r="N471" s="77" t="s">
        <v>3805</v>
      </c>
      <c r="O471" s="49" t="s">
        <v>3806</v>
      </c>
      <c r="P471" s="49" t="s">
        <v>3807</v>
      </c>
      <c r="Q471" s="49" t="s">
        <v>3808</v>
      </c>
      <c r="R471" s="92">
        <v>146</v>
      </c>
      <c r="S471" s="50">
        <v>563</v>
      </c>
      <c r="T471" s="51" t="s">
        <v>141</v>
      </c>
      <c r="U471" s="51">
        <v>52</v>
      </c>
      <c r="V471" s="75">
        <f t="shared" si="15"/>
        <v>2080</v>
      </c>
      <c r="W471" s="51" t="s">
        <v>142</v>
      </c>
      <c r="X471" s="198" t="s">
        <v>1243</v>
      </c>
      <c r="Y471" s="199" t="s">
        <v>82</v>
      </c>
      <c r="Z471" s="169"/>
      <c r="AA471" s="170" t="s">
        <v>3809</v>
      </c>
      <c r="AB471" s="243" t="s">
        <v>2090</v>
      </c>
      <c r="AC471" s="172">
        <v>12588</v>
      </c>
      <c r="AE471" s="255" t="s">
        <v>3810</v>
      </c>
      <c r="AF471" s="138"/>
      <c r="AG471" s="138" t="s">
        <v>56</v>
      </c>
      <c r="AH471" s="138" t="s">
        <v>56</v>
      </c>
      <c r="AI471" s="138"/>
      <c r="AJ471" s="138"/>
      <c r="AK471" s="138"/>
      <c r="AL471" s="222" t="s">
        <v>55</v>
      </c>
    </row>
    <row r="472" spans="1:38" s="200" customFormat="1" ht="36.75" customHeight="1" x14ac:dyDescent="0.25">
      <c r="A472" s="14">
        <v>45933</v>
      </c>
      <c r="B472" s="41" t="s">
        <v>3811</v>
      </c>
      <c r="C472" s="41" t="s">
        <v>3812</v>
      </c>
      <c r="D472" s="41" t="s">
        <v>3813</v>
      </c>
      <c r="E472" s="42" t="s">
        <v>39</v>
      </c>
      <c r="F472" s="19">
        <v>1</v>
      </c>
      <c r="G472" s="43"/>
      <c r="H472" s="43"/>
      <c r="I472" s="320" t="s">
        <v>3814</v>
      </c>
      <c r="J472" s="45">
        <v>3</v>
      </c>
      <c r="K472" s="46" t="s">
        <v>3815</v>
      </c>
      <c r="L472" s="50" t="s">
        <v>63</v>
      </c>
      <c r="M472" s="47" t="s">
        <v>42</v>
      </c>
      <c r="N472" s="77" t="s">
        <v>3816</v>
      </c>
      <c r="O472" s="49"/>
      <c r="P472" s="49"/>
      <c r="Q472" s="49"/>
      <c r="R472" s="50">
        <v>87</v>
      </c>
      <c r="S472" s="50">
        <v>413</v>
      </c>
      <c r="T472" s="51" t="s">
        <v>180</v>
      </c>
      <c r="U472" s="51">
        <v>8</v>
      </c>
      <c r="V472" s="52">
        <f t="shared" si="15"/>
        <v>24</v>
      </c>
      <c r="W472" s="51" t="s">
        <v>350</v>
      </c>
      <c r="X472" s="198" t="s">
        <v>3817</v>
      </c>
      <c r="Y472" s="199" t="s">
        <v>50</v>
      </c>
      <c r="Z472" s="169"/>
      <c r="AA472" s="170" t="s">
        <v>3818</v>
      </c>
      <c r="AB472" s="243" t="s">
        <v>3819</v>
      </c>
      <c r="AC472" s="35">
        <f>6600*J472/25+100</f>
        <v>892</v>
      </c>
      <c r="AE472" s="137" t="s">
        <v>2776</v>
      </c>
      <c r="AF472" s="138"/>
      <c r="AG472" s="138" t="s">
        <v>56</v>
      </c>
      <c r="AH472" s="138" t="s">
        <v>86</v>
      </c>
      <c r="AI472" s="138"/>
      <c r="AJ472" s="138"/>
      <c r="AK472" s="138"/>
      <c r="AL472" s="222"/>
    </row>
    <row r="473" spans="1:38" s="200" customFormat="1" ht="48" customHeight="1" x14ac:dyDescent="0.25">
      <c r="A473" s="14">
        <v>45933</v>
      </c>
      <c r="B473" s="41" t="s">
        <v>3820</v>
      </c>
      <c r="C473" s="41" t="s">
        <v>3821</v>
      </c>
      <c r="D473" s="41"/>
      <c r="E473" s="42" t="s">
        <v>39</v>
      </c>
      <c r="F473" s="43"/>
      <c r="G473" s="43"/>
      <c r="H473" s="19">
        <v>1</v>
      </c>
      <c r="I473" s="268" t="s">
        <v>3822</v>
      </c>
      <c r="J473" s="45">
        <v>40</v>
      </c>
      <c r="K473" s="46" t="s">
        <v>3823</v>
      </c>
      <c r="L473" s="47" t="s">
        <v>63</v>
      </c>
      <c r="M473" s="73" t="s">
        <v>42</v>
      </c>
      <c r="N473" s="77" t="s">
        <v>3824</v>
      </c>
      <c r="O473" s="49" t="s">
        <v>3825</v>
      </c>
      <c r="P473" s="49" t="s">
        <v>3826</v>
      </c>
      <c r="Q473" s="49" t="s">
        <v>3806</v>
      </c>
      <c r="R473" s="50">
        <v>97</v>
      </c>
      <c r="S473" s="50">
        <v>539</v>
      </c>
      <c r="T473" s="51" t="s">
        <v>47</v>
      </c>
      <c r="U473" s="51">
        <v>10</v>
      </c>
      <c r="V473" s="52">
        <f t="shared" si="15"/>
        <v>400</v>
      </c>
      <c r="W473" s="51" t="s">
        <v>350</v>
      </c>
      <c r="X473" s="198" t="s">
        <v>2825</v>
      </c>
      <c r="Y473" s="199" t="s">
        <v>1862</v>
      </c>
      <c r="Z473" s="169"/>
      <c r="AA473" s="170" t="s">
        <v>3827</v>
      </c>
      <c r="AB473" s="243" t="s">
        <v>3828</v>
      </c>
      <c r="AC473" s="172">
        <v>10044</v>
      </c>
      <c r="AE473" s="137" t="s">
        <v>3829</v>
      </c>
      <c r="AF473" s="138" t="s">
        <v>354</v>
      </c>
      <c r="AG473" s="138" t="s">
        <v>56</v>
      </c>
      <c r="AH473" s="138" t="s">
        <v>56</v>
      </c>
      <c r="AI473" s="138"/>
      <c r="AJ473" s="138"/>
      <c r="AK473" s="138"/>
      <c r="AL473" s="138"/>
    </row>
    <row r="474" spans="1:38" s="200" customFormat="1" ht="51.75" customHeight="1" x14ac:dyDescent="0.25">
      <c r="A474" s="14">
        <v>45932</v>
      </c>
      <c r="B474" s="41" t="s">
        <v>3830</v>
      </c>
      <c r="C474" s="41" t="s">
        <v>3831</v>
      </c>
      <c r="D474" s="41" t="s">
        <v>3832</v>
      </c>
      <c r="E474" s="42" t="s">
        <v>39</v>
      </c>
      <c r="F474" s="19">
        <v>1</v>
      </c>
      <c r="G474" s="43"/>
      <c r="H474" s="43"/>
      <c r="I474" s="268" t="s">
        <v>3833</v>
      </c>
      <c r="J474" s="45">
        <f>50-36</f>
        <v>14</v>
      </c>
      <c r="K474" s="46" t="s">
        <v>3834</v>
      </c>
      <c r="L474" s="47" t="s">
        <v>63</v>
      </c>
      <c r="M474" s="73" t="s">
        <v>42</v>
      </c>
      <c r="N474" s="77" t="s">
        <v>3835</v>
      </c>
      <c r="O474" s="49"/>
      <c r="P474" s="49" t="s">
        <v>3836</v>
      </c>
      <c r="Q474" s="49" t="s">
        <v>3837</v>
      </c>
      <c r="R474" s="50">
        <v>45</v>
      </c>
      <c r="S474" s="50">
        <v>89</v>
      </c>
      <c r="T474" s="51" t="s">
        <v>96</v>
      </c>
      <c r="U474" s="51">
        <v>7</v>
      </c>
      <c r="V474" s="52">
        <f t="shared" si="15"/>
        <v>98</v>
      </c>
      <c r="W474" s="51" t="s">
        <v>68</v>
      </c>
      <c r="X474" s="198" t="s">
        <v>3680</v>
      </c>
      <c r="Y474" s="199" t="s">
        <v>70</v>
      </c>
      <c r="Z474" s="169"/>
      <c r="AA474" s="170" t="s">
        <v>3838</v>
      </c>
      <c r="AB474" s="243" t="s">
        <v>3839</v>
      </c>
      <c r="AC474" s="35">
        <f>2128.5*(J474/50)</f>
        <v>595.98</v>
      </c>
      <c r="AE474" s="137" t="s">
        <v>3840</v>
      </c>
      <c r="AF474" s="138"/>
      <c r="AG474" s="255" t="s">
        <v>3841</v>
      </c>
      <c r="AH474" s="138" t="s">
        <v>56</v>
      </c>
      <c r="AI474" s="137" t="s">
        <v>3842</v>
      </c>
      <c r="AJ474" s="255" t="s">
        <v>3843</v>
      </c>
      <c r="AK474" s="137" t="s">
        <v>3844</v>
      </c>
      <c r="AL474" s="222"/>
    </row>
    <row r="475" spans="1:38" ht="161.25" customHeight="1" x14ac:dyDescent="0.25">
      <c r="A475" s="14">
        <v>45931</v>
      </c>
      <c r="B475" s="41" t="s">
        <v>3845</v>
      </c>
      <c r="C475" s="41" t="s">
        <v>3846</v>
      </c>
      <c r="D475" s="41" t="s">
        <v>3847</v>
      </c>
      <c r="E475" s="42" t="s">
        <v>39</v>
      </c>
      <c r="F475" s="43"/>
      <c r="G475" s="43"/>
      <c r="H475" s="19">
        <v>1</v>
      </c>
      <c r="I475" s="268" t="s">
        <v>3848</v>
      </c>
      <c r="J475" s="45">
        <f>368-60-120-110</f>
        <v>78</v>
      </c>
      <c r="K475" s="46" t="s">
        <v>3849</v>
      </c>
      <c r="L475" s="47" t="s">
        <v>63</v>
      </c>
      <c r="M475" s="73" t="s">
        <v>42</v>
      </c>
      <c r="N475" s="77" t="s">
        <v>3850</v>
      </c>
      <c r="O475" s="49"/>
      <c r="P475" s="49" t="s">
        <v>3851</v>
      </c>
      <c r="Q475" s="49" t="s">
        <v>3852</v>
      </c>
      <c r="R475" s="50">
        <v>2</v>
      </c>
      <c r="S475" s="50">
        <v>4</v>
      </c>
      <c r="T475" s="51" t="s">
        <v>96</v>
      </c>
      <c r="U475" s="51">
        <v>0</v>
      </c>
      <c r="V475" s="52">
        <f t="shared" si="15"/>
        <v>0</v>
      </c>
      <c r="W475" s="51" t="s">
        <v>350</v>
      </c>
      <c r="X475" s="198" t="s">
        <v>482</v>
      </c>
      <c r="Y475" s="199" t="s">
        <v>50</v>
      </c>
      <c r="Z475" s="169" t="s">
        <v>483</v>
      </c>
      <c r="AA475" s="170" t="s">
        <v>3853</v>
      </c>
      <c r="AB475" s="243" t="s">
        <v>3854</v>
      </c>
      <c r="AC475" s="35">
        <f>6403.2*J475/368</f>
        <v>1357.2</v>
      </c>
      <c r="AE475" s="137" t="s">
        <v>2776</v>
      </c>
      <c r="AF475" s="138" t="s">
        <v>354</v>
      </c>
      <c r="AG475" s="138" t="s">
        <v>56</v>
      </c>
      <c r="AH475" s="138" t="s">
        <v>56</v>
      </c>
      <c r="AI475" s="138"/>
      <c r="AJ475" s="138" t="s">
        <v>56</v>
      </c>
      <c r="AK475" s="138" t="s">
        <v>1527</v>
      </c>
      <c r="AL475" s="222"/>
    </row>
    <row r="476" spans="1:38" ht="182.25" customHeight="1" x14ac:dyDescent="0.25">
      <c r="A476" s="14">
        <v>45931</v>
      </c>
      <c r="B476" s="41" t="s">
        <v>3855</v>
      </c>
      <c r="C476" s="41" t="s">
        <v>3856</v>
      </c>
      <c r="D476" s="41" t="s">
        <v>3857</v>
      </c>
      <c r="E476" s="51" t="s">
        <v>39</v>
      </c>
      <c r="F476" s="321">
        <v>1</v>
      </c>
      <c r="G476" s="43"/>
      <c r="H476" s="43"/>
      <c r="I476" s="268" t="s">
        <v>3858</v>
      </c>
      <c r="J476" s="45">
        <f>188-50-60-50</f>
        <v>28</v>
      </c>
      <c r="K476" s="46" t="s">
        <v>3859</v>
      </c>
      <c r="L476" s="47" t="s">
        <v>63</v>
      </c>
      <c r="M476" s="73" t="s">
        <v>42</v>
      </c>
      <c r="N476" s="77" t="s">
        <v>3860</v>
      </c>
      <c r="O476" s="49" t="s">
        <v>3861</v>
      </c>
      <c r="P476" s="49" t="s">
        <v>3862</v>
      </c>
      <c r="Q476" s="49" t="s">
        <v>3863</v>
      </c>
      <c r="R476" s="92">
        <v>148</v>
      </c>
      <c r="S476" s="50">
        <v>675</v>
      </c>
      <c r="T476" s="51" t="s">
        <v>141</v>
      </c>
      <c r="U476" s="51">
        <v>2</v>
      </c>
      <c r="V476" s="52">
        <f t="shared" si="15"/>
        <v>56</v>
      </c>
      <c r="W476" s="51" t="s">
        <v>350</v>
      </c>
      <c r="X476" s="198" t="s">
        <v>482</v>
      </c>
      <c r="Y476" s="199" t="s">
        <v>50</v>
      </c>
      <c r="Z476" s="169"/>
      <c r="AA476" s="170" t="s">
        <v>3864</v>
      </c>
      <c r="AB476" s="243" t="s">
        <v>3865</v>
      </c>
      <c r="AC476" s="35">
        <v>6017.2</v>
      </c>
      <c r="AE476" s="137" t="s">
        <v>2776</v>
      </c>
      <c r="AF476" s="138" t="s">
        <v>354</v>
      </c>
      <c r="AG476" s="138" t="s">
        <v>56</v>
      </c>
      <c r="AH476" s="138" t="s">
        <v>56</v>
      </c>
      <c r="AI476" s="138"/>
      <c r="AJ476" s="138" t="s">
        <v>56</v>
      </c>
      <c r="AK476" s="138" t="s">
        <v>2284</v>
      </c>
      <c r="AL476" s="222"/>
    </row>
    <row r="477" spans="1:38" s="200" customFormat="1" ht="104.25" customHeight="1" x14ac:dyDescent="0.25">
      <c r="A477" s="14">
        <v>45931</v>
      </c>
      <c r="B477" s="41" t="s">
        <v>3866</v>
      </c>
      <c r="C477" s="41" t="s">
        <v>3867</v>
      </c>
      <c r="D477" s="41" t="s">
        <v>3868</v>
      </c>
      <c r="E477" s="42" t="s">
        <v>39</v>
      </c>
      <c r="F477" s="43"/>
      <c r="G477" s="43"/>
      <c r="H477" s="19">
        <v>3</v>
      </c>
      <c r="I477" s="268" t="s">
        <v>3869</v>
      </c>
      <c r="J477" s="45">
        <v>32</v>
      </c>
      <c r="K477" s="46" t="s">
        <v>3870</v>
      </c>
      <c r="L477" s="47" t="s">
        <v>63</v>
      </c>
      <c r="M477" s="73" t="s">
        <v>42</v>
      </c>
      <c r="N477" s="77" t="s">
        <v>3871</v>
      </c>
      <c r="O477" s="49" t="s">
        <v>3836</v>
      </c>
      <c r="P477" s="49"/>
      <c r="Q477" s="49" t="s">
        <v>3837</v>
      </c>
      <c r="R477" s="50">
        <v>1</v>
      </c>
      <c r="S477" s="50">
        <v>1</v>
      </c>
      <c r="T477" s="51" t="s">
        <v>393</v>
      </c>
      <c r="U477" s="51">
        <v>1</v>
      </c>
      <c r="V477" s="52">
        <f t="shared" si="15"/>
        <v>32</v>
      </c>
      <c r="W477" s="51" t="s">
        <v>350</v>
      </c>
      <c r="X477" s="198" t="s">
        <v>482</v>
      </c>
      <c r="Y477" s="199" t="s">
        <v>50</v>
      </c>
      <c r="Z477" s="169" t="s">
        <v>483</v>
      </c>
      <c r="AA477" s="170" t="s">
        <v>3872</v>
      </c>
      <c r="AB477" s="243" t="s">
        <v>3873</v>
      </c>
      <c r="AC477" s="322">
        <f>5255 * J477/188</f>
        <v>894.468085106383</v>
      </c>
      <c r="AE477" s="255" t="s">
        <v>3874</v>
      </c>
      <c r="AF477" s="138"/>
      <c r="AG477" s="138" t="s">
        <v>56</v>
      </c>
      <c r="AH477" s="138" t="s">
        <v>56</v>
      </c>
      <c r="AI477" s="138"/>
      <c r="AJ477" s="138" t="s">
        <v>56</v>
      </c>
      <c r="AK477" s="138" t="s">
        <v>2284</v>
      </c>
      <c r="AL477" s="222"/>
    </row>
    <row r="478" spans="1:38" s="200" customFormat="1" ht="30" customHeight="1" x14ac:dyDescent="0.25">
      <c r="A478" s="14">
        <v>45930</v>
      </c>
      <c r="B478" s="41" t="s">
        <v>3875</v>
      </c>
      <c r="C478" s="41" t="s">
        <v>3876</v>
      </c>
      <c r="D478" s="41"/>
      <c r="E478" s="42" t="s">
        <v>39</v>
      </c>
      <c r="F478" s="19">
        <v>1</v>
      </c>
      <c r="G478" s="43"/>
      <c r="H478" s="43"/>
      <c r="I478" s="268" t="s">
        <v>3877</v>
      </c>
      <c r="J478" s="45">
        <v>20</v>
      </c>
      <c r="K478" s="46" t="s">
        <v>3878</v>
      </c>
      <c r="L478" s="47" t="s">
        <v>63</v>
      </c>
      <c r="M478" s="73" t="s">
        <v>42</v>
      </c>
      <c r="N478" s="77" t="s">
        <v>3879</v>
      </c>
      <c r="O478" s="49" t="s">
        <v>3880</v>
      </c>
      <c r="P478" s="49" t="s">
        <v>3881</v>
      </c>
      <c r="Q478" s="49" t="s">
        <v>3882</v>
      </c>
      <c r="R478" s="50">
        <v>65</v>
      </c>
      <c r="S478" s="50">
        <v>380</v>
      </c>
      <c r="T478" s="51" t="s">
        <v>47</v>
      </c>
      <c r="U478" s="51">
        <v>0</v>
      </c>
      <c r="V478" s="52">
        <f t="shared" si="15"/>
        <v>0</v>
      </c>
      <c r="W478" s="51" t="s">
        <v>350</v>
      </c>
      <c r="X478" s="198" t="s">
        <v>1915</v>
      </c>
      <c r="Y478" s="199" t="s">
        <v>50</v>
      </c>
      <c r="Z478" s="169"/>
      <c r="AA478" s="170" t="s">
        <v>3720</v>
      </c>
      <c r="AB478" s="243" t="s">
        <v>3883</v>
      </c>
      <c r="AC478" s="172">
        <v>7180</v>
      </c>
      <c r="AE478" s="137" t="s">
        <v>3829</v>
      </c>
      <c r="AF478" s="138"/>
      <c r="AG478" s="138" t="s">
        <v>56</v>
      </c>
      <c r="AH478" s="138" t="s">
        <v>86</v>
      </c>
      <c r="AI478" s="138"/>
      <c r="AJ478" s="138"/>
      <c r="AK478" s="138"/>
      <c r="AL478" s="138"/>
    </row>
    <row r="479" spans="1:38" s="200" customFormat="1" ht="113.25" customHeight="1" x14ac:dyDescent="0.25">
      <c r="A479" s="14">
        <v>45929</v>
      </c>
      <c r="B479" s="41" t="s">
        <v>3884</v>
      </c>
      <c r="C479" s="41" t="s">
        <v>3885</v>
      </c>
      <c r="D479" s="41" t="s">
        <v>3886</v>
      </c>
      <c r="E479" s="42" t="s">
        <v>39</v>
      </c>
      <c r="F479" s="43"/>
      <c r="G479" s="43"/>
      <c r="H479" s="19">
        <v>2</v>
      </c>
      <c r="I479" s="268" t="s">
        <v>3887</v>
      </c>
      <c r="J479" s="45">
        <v>190</v>
      </c>
      <c r="K479" s="46" t="s">
        <v>3888</v>
      </c>
      <c r="L479" s="47" t="s">
        <v>63</v>
      </c>
      <c r="M479" s="73" t="s">
        <v>42</v>
      </c>
      <c r="N479" s="77" t="s">
        <v>3889</v>
      </c>
      <c r="O479" s="49" t="s">
        <v>3890</v>
      </c>
      <c r="P479" s="49" t="s">
        <v>3891</v>
      </c>
      <c r="Q479" s="49" t="s">
        <v>3837</v>
      </c>
      <c r="R479" s="50">
        <v>4</v>
      </c>
      <c r="S479" s="50">
        <v>9</v>
      </c>
      <c r="T479" s="51" t="s">
        <v>47</v>
      </c>
      <c r="U479" s="51">
        <v>0</v>
      </c>
      <c r="V479" s="52">
        <f t="shared" si="15"/>
        <v>0</v>
      </c>
      <c r="W479" s="323" t="s">
        <v>3892</v>
      </c>
      <c r="X479" s="202" t="s">
        <v>3893</v>
      </c>
      <c r="Y479" s="263" t="s">
        <v>324</v>
      </c>
      <c r="Z479" s="169"/>
      <c r="AA479" s="170" t="s">
        <v>2566</v>
      </c>
      <c r="AB479" s="243" t="s">
        <v>3894</v>
      </c>
      <c r="AC479" s="172">
        <v>2571.75</v>
      </c>
      <c r="AE479" s="137" t="s">
        <v>3895</v>
      </c>
      <c r="AF479" s="138"/>
      <c r="AG479" s="138" t="s">
        <v>56</v>
      </c>
      <c r="AH479" s="138" t="s">
        <v>56</v>
      </c>
      <c r="AI479" s="138"/>
      <c r="AJ479" s="138" t="s">
        <v>3896</v>
      </c>
      <c r="AK479" s="138" t="s">
        <v>74</v>
      </c>
      <c r="AL479" s="222"/>
    </row>
    <row r="480" spans="1:38" s="200" customFormat="1" ht="180" x14ac:dyDescent="0.25">
      <c r="A480" s="14">
        <v>45929</v>
      </c>
      <c r="B480" s="41" t="s">
        <v>3897</v>
      </c>
      <c r="C480" s="41" t="s">
        <v>3898</v>
      </c>
      <c r="D480" s="41"/>
      <c r="E480" s="42" t="s">
        <v>39</v>
      </c>
      <c r="F480" s="19">
        <v>1</v>
      </c>
      <c r="G480" s="43"/>
      <c r="H480" s="43"/>
      <c r="I480" s="268" t="s">
        <v>3899</v>
      </c>
      <c r="J480" s="45">
        <v>5</v>
      </c>
      <c r="K480" s="46" t="s">
        <v>3900</v>
      </c>
      <c r="L480" s="47" t="s">
        <v>63</v>
      </c>
      <c r="M480" s="73" t="s">
        <v>42</v>
      </c>
      <c r="N480" s="77" t="s">
        <v>3901</v>
      </c>
      <c r="O480" s="49"/>
      <c r="P480" s="49" t="s">
        <v>3902</v>
      </c>
      <c r="Q480" s="49" t="s">
        <v>3903</v>
      </c>
      <c r="R480" s="50">
        <v>75</v>
      </c>
      <c r="S480" s="50">
        <v>451</v>
      </c>
      <c r="T480" s="51" t="s">
        <v>67</v>
      </c>
      <c r="U480" s="51">
        <v>33</v>
      </c>
      <c r="V480" s="52">
        <f t="shared" si="15"/>
        <v>165</v>
      </c>
      <c r="W480" s="51" t="s">
        <v>350</v>
      </c>
      <c r="X480" s="198" t="s">
        <v>265</v>
      </c>
      <c r="Y480" s="199" t="s">
        <v>82</v>
      </c>
      <c r="Z480" s="169" t="s">
        <v>3904</v>
      </c>
      <c r="AA480" s="170" t="s">
        <v>3720</v>
      </c>
      <c r="AB480" s="243" t="s">
        <v>3883</v>
      </c>
      <c r="AC480" s="172">
        <v>6515</v>
      </c>
      <c r="AE480" s="137" t="s">
        <v>3905</v>
      </c>
      <c r="AF480" s="138"/>
      <c r="AG480" s="138" t="s">
        <v>56</v>
      </c>
      <c r="AH480" s="138" t="s">
        <v>56</v>
      </c>
      <c r="AI480" s="138"/>
      <c r="AJ480" s="138"/>
      <c r="AK480" s="138"/>
      <c r="AL480" s="138"/>
    </row>
    <row r="481" spans="1:38" s="200" customFormat="1" ht="105" x14ac:dyDescent="0.25">
      <c r="A481" s="14">
        <v>45929</v>
      </c>
      <c r="B481" s="41" t="s">
        <v>3906</v>
      </c>
      <c r="C481" s="41" t="s">
        <v>3876</v>
      </c>
      <c r="D481" s="41"/>
      <c r="E481" s="42" t="s">
        <v>39</v>
      </c>
      <c r="F481" s="19">
        <v>1</v>
      </c>
      <c r="G481" s="43"/>
      <c r="H481" s="43"/>
      <c r="I481" s="268" t="s">
        <v>3907</v>
      </c>
      <c r="J481" s="45">
        <v>50</v>
      </c>
      <c r="K481" s="46" t="s">
        <v>3908</v>
      </c>
      <c r="L481" s="47" t="s">
        <v>63</v>
      </c>
      <c r="M481" s="73" t="s">
        <v>42</v>
      </c>
      <c r="N481" s="77" t="s">
        <v>3909</v>
      </c>
      <c r="O481" s="49" t="s">
        <v>3781</v>
      </c>
      <c r="P481" s="49" t="s">
        <v>3806</v>
      </c>
      <c r="Q481" s="49" t="s">
        <v>3910</v>
      </c>
      <c r="R481" s="50">
        <v>67</v>
      </c>
      <c r="S481" s="50">
        <v>257</v>
      </c>
      <c r="T481" s="51" t="s">
        <v>47</v>
      </c>
      <c r="U481" s="51">
        <v>6</v>
      </c>
      <c r="V481" s="52">
        <f t="shared" si="15"/>
        <v>300</v>
      </c>
      <c r="W481" s="51" t="s">
        <v>350</v>
      </c>
      <c r="X481" s="198" t="s">
        <v>3911</v>
      </c>
      <c r="Y481" s="199" t="s">
        <v>70</v>
      </c>
      <c r="Z481" s="169"/>
      <c r="AA481" s="170" t="s">
        <v>3720</v>
      </c>
      <c r="AB481" s="243" t="s">
        <v>3883</v>
      </c>
      <c r="AC481" s="172">
        <v>7785</v>
      </c>
      <c r="AE481" s="255" t="s">
        <v>3912</v>
      </c>
      <c r="AF481" s="138"/>
      <c r="AG481" s="138" t="s">
        <v>56</v>
      </c>
      <c r="AH481" s="138" t="s">
        <v>56</v>
      </c>
      <c r="AI481" s="138" t="s">
        <v>3913</v>
      </c>
      <c r="AJ481" s="138"/>
      <c r="AK481" s="138"/>
      <c r="AL481" s="222"/>
    </row>
    <row r="482" spans="1:38" s="279" customFormat="1" ht="113.25" customHeight="1" x14ac:dyDescent="0.25">
      <c r="A482" s="14">
        <v>45929</v>
      </c>
      <c r="B482" s="41" t="s">
        <v>3914</v>
      </c>
      <c r="C482" s="41" t="s">
        <v>3915</v>
      </c>
      <c r="D482" s="41"/>
      <c r="E482" s="42" t="s">
        <v>39</v>
      </c>
      <c r="F482" s="19">
        <v>2</v>
      </c>
      <c r="G482" s="43"/>
      <c r="H482" s="43"/>
      <c r="I482" s="268" t="s">
        <v>3916</v>
      </c>
      <c r="J482" s="45">
        <v>15</v>
      </c>
      <c r="K482" s="46" t="s">
        <v>3900</v>
      </c>
      <c r="L482" s="47" t="s">
        <v>63</v>
      </c>
      <c r="M482" s="73" t="s">
        <v>42</v>
      </c>
      <c r="N482" s="77" t="s">
        <v>3666</v>
      </c>
      <c r="O482" s="49" t="s">
        <v>3917</v>
      </c>
      <c r="P482" s="49" t="s">
        <v>3918</v>
      </c>
      <c r="Q482" s="49" t="s">
        <v>3902</v>
      </c>
      <c r="R482" s="50">
        <v>41</v>
      </c>
      <c r="S482" s="50">
        <v>85</v>
      </c>
      <c r="T482" s="51" t="s">
        <v>47</v>
      </c>
      <c r="U482" s="51">
        <v>29</v>
      </c>
      <c r="V482" s="75">
        <f>U482*90</f>
        <v>2610</v>
      </c>
      <c r="W482" s="51" t="s">
        <v>510</v>
      </c>
      <c r="X482" s="202" t="s">
        <v>538</v>
      </c>
      <c r="Y482" s="199" t="s">
        <v>324</v>
      </c>
      <c r="Z482" s="169"/>
      <c r="AA482" s="170" t="s">
        <v>2953</v>
      </c>
      <c r="AB482" s="243" t="s">
        <v>3151</v>
      </c>
      <c r="AC482" s="35">
        <f>2587.5+850</f>
        <v>3437.5</v>
      </c>
      <c r="AE482" s="137" t="s">
        <v>148</v>
      </c>
      <c r="AF482" s="318"/>
      <c r="AG482" s="138" t="s">
        <v>56</v>
      </c>
      <c r="AH482" s="310" t="s">
        <v>355</v>
      </c>
      <c r="AI482" s="318"/>
      <c r="AJ482" s="318"/>
      <c r="AK482" s="318"/>
      <c r="AL482" s="318"/>
    </row>
    <row r="483" spans="1:38" s="200" customFormat="1" ht="120" x14ac:dyDescent="0.25">
      <c r="A483" s="14">
        <v>45926</v>
      </c>
      <c r="B483" s="41" t="s">
        <v>3919</v>
      </c>
      <c r="C483" s="41" t="s">
        <v>3920</v>
      </c>
      <c r="D483" s="41"/>
      <c r="E483" s="42" t="s">
        <v>39</v>
      </c>
      <c r="F483" s="19">
        <v>1</v>
      </c>
      <c r="G483" s="43"/>
      <c r="H483" s="43"/>
      <c r="I483" s="245" t="s">
        <v>3921</v>
      </c>
      <c r="J483" s="45">
        <v>24</v>
      </c>
      <c r="K483" s="46" t="s">
        <v>3922</v>
      </c>
      <c r="L483" s="47" t="s">
        <v>63</v>
      </c>
      <c r="M483" s="73" t="s">
        <v>42</v>
      </c>
      <c r="N483" s="77" t="s">
        <v>240</v>
      </c>
      <c r="O483" s="49"/>
      <c r="P483" s="49" t="s">
        <v>3923</v>
      </c>
      <c r="Q483" s="49" t="s">
        <v>3924</v>
      </c>
      <c r="R483" s="50">
        <v>1</v>
      </c>
      <c r="S483" s="50">
        <v>40</v>
      </c>
      <c r="T483" s="51" t="s">
        <v>96</v>
      </c>
      <c r="U483" s="51">
        <v>47</v>
      </c>
      <c r="V483" s="75">
        <f t="shared" ref="V483:V546" si="16">U483*J483</f>
        <v>1128</v>
      </c>
      <c r="W483" s="51" t="s">
        <v>350</v>
      </c>
      <c r="X483" s="198" t="s">
        <v>3495</v>
      </c>
      <c r="Y483" s="199" t="s">
        <v>144</v>
      </c>
      <c r="Z483" s="169"/>
      <c r="AA483" s="170" t="s">
        <v>3925</v>
      </c>
      <c r="AB483" s="243" t="s">
        <v>3894</v>
      </c>
      <c r="AC483" s="172">
        <v>3420</v>
      </c>
      <c r="AE483" s="137" t="s">
        <v>3926</v>
      </c>
      <c r="AF483" s="138"/>
      <c r="AG483" s="138" t="s">
        <v>56</v>
      </c>
      <c r="AH483" s="138" t="s">
        <v>86</v>
      </c>
      <c r="AI483" s="138"/>
      <c r="AJ483" s="138" t="s">
        <v>56</v>
      </c>
      <c r="AK483" s="222" t="s">
        <v>74</v>
      </c>
      <c r="AL483" s="222"/>
    </row>
    <row r="484" spans="1:38" ht="60" customHeight="1" x14ac:dyDescent="0.25">
      <c r="A484" s="14">
        <v>45926</v>
      </c>
      <c r="B484" s="95" t="s">
        <v>3927</v>
      </c>
      <c r="C484" s="95" t="s">
        <v>3731</v>
      </c>
      <c r="D484" s="95" t="s">
        <v>3928</v>
      </c>
      <c r="E484" s="96" t="s">
        <v>39</v>
      </c>
      <c r="F484" s="97"/>
      <c r="G484" s="97"/>
      <c r="H484" s="19">
        <v>1</v>
      </c>
      <c r="I484" s="245" t="s">
        <v>3929</v>
      </c>
      <c r="J484" s="98">
        <v>10</v>
      </c>
      <c r="K484" s="270" t="s">
        <v>3930</v>
      </c>
      <c r="L484" s="103" t="s">
        <v>63</v>
      </c>
      <c r="M484" s="319" t="s">
        <v>3931</v>
      </c>
      <c r="N484" s="77" t="s">
        <v>3932</v>
      </c>
      <c r="O484" s="102" t="s">
        <v>3933</v>
      </c>
      <c r="P484" s="102" t="s">
        <v>3934</v>
      </c>
      <c r="Q484" s="102" t="s">
        <v>3935</v>
      </c>
      <c r="R484" s="103">
        <v>103</v>
      </c>
      <c r="S484" s="103">
        <v>542</v>
      </c>
      <c r="T484" s="96" t="s">
        <v>180</v>
      </c>
      <c r="U484" s="96">
        <v>6</v>
      </c>
      <c r="V484" s="104">
        <f t="shared" si="16"/>
        <v>60</v>
      </c>
      <c r="W484" s="96" t="s">
        <v>3936</v>
      </c>
      <c r="X484" s="198" t="s">
        <v>3937</v>
      </c>
      <c r="Y484" s="168" t="s">
        <v>50</v>
      </c>
      <c r="Z484" s="169"/>
      <c r="AA484" s="170" t="s">
        <v>3736</v>
      </c>
      <c r="AB484" s="243" t="s">
        <v>3471</v>
      </c>
      <c r="AC484" s="35">
        <v>12504</v>
      </c>
      <c r="AE484" s="137" t="s">
        <v>2776</v>
      </c>
      <c r="AF484" s="138"/>
      <c r="AG484" s="138" t="s">
        <v>56</v>
      </c>
      <c r="AH484" s="138" t="s">
        <v>56</v>
      </c>
      <c r="AI484" s="138"/>
      <c r="AJ484" s="138"/>
      <c r="AK484" s="138"/>
      <c r="AL484" s="138"/>
    </row>
    <row r="485" spans="1:38" s="200" customFormat="1" ht="135" x14ac:dyDescent="0.25">
      <c r="A485" s="14">
        <v>45925</v>
      </c>
      <c r="B485" s="41" t="s">
        <v>3938</v>
      </c>
      <c r="C485" s="41" t="s">
        <v>3939</v>
      </c>
      <c r="D485" s="41"/>
      <c r="E485" s="42" t="s">
        <v>39</v>
      </c>
      <c r="F485" s="43"/>
      <c r="G485" s="43"/>
      <c r="H485" s="19">
        <v>1</v>
      </c>
      <c r="I485" s="245" t="s">
        <v>3940</v>
      </c>
      <c r="J485" s="45">
        <v>35</v>
      </c>
      <c r="K485" s="46" t="s">
        <v>3941</v>
      </c>
      <c r="L485" s="47" t="s">
        <v>63</v>
      </c>
      <c r="M485" s="47" t="s">
        <v>42</v>
      </c>
      <c r="N485" s="77" t="s">
        <v>3942</v>
      </c>
      <c r="O485" s="49" t="s">
        <v>3943</v>
      </c>
      <c r="P485" s="49" t="s">
        <v>3944</v>
      </c>
      <c r="Q485" s="49" t="s">
        <v>3945</v>
      </c>
      <c r="R485" s="92">
        <v>249</v>
      </c>
      <c r="S485" s="50">
        <v>879</v>
      </c>
      <c r="T485" s="51" t="s">
        <v>933</v>
      </c>
      <c r="U485" s="51">
        <v>4</v>
      </c>
      <c r="V485" s="52">
        <f t="shared" si="16"/>
        <v>140</v>
      </c>
      <c r="W485" s="51" t="s">
        <v>350</v>
      </c>
      <c r="X485" s="198" t="s">
        <v>210</v>
      </c>
      <c r="Y485" s="199" t="s">
        <v>50</v>
      </c>
      <c r="Z485" s="169"/>
      <c r="AA485" s="170" t="s">
        <v>3729</v>
      </c>
      <c r="AB485" s="243" t="s">
        <v>3662</v>
      </c>
      <c r="AC485" s="35">
        <v>22449</v>
      </c>
      <c r="AE485" s="137" t="s">
        <v>148</v>
      </c>
      <c r="AF485" s="138"/>
      <c r="AG485" s="138" t="s">
        <v>56</v>
      </c>
      <c r="AH485" s="138" t="s">
        <v>56</v>
      </c>
      <c r="AI485" s="138"/>
      <c r="AJ485" s="138"/>
      <c r="AK485" s="138"/>
      <c r="AL485" s="222"/>
    </row>
    <row r="486" spans="1:38" s="200" customFormat="1" ht="47.25" customHeight="1" x14ac:dyDescent="0.25">
      <c r="A486" s="14">
        <v>45924</v>
      </c>
      <c r="B486" s="82" t="s">
        <v>3946</v>
      </c>
      <c r="C486" s="41" t="s">
        <v>3947</v>
      </c>
      <c r="D486" s="41" t="s">
        <v>3948</v>
      </c>
      <c r="E486" s="42" t="s">
        <v>39</v>
      </c>
      <c r="F486" s="19">
        <v>1</v>
      </c>
      <c r="G486" s="43"/>
      <c r="H486" s="43"/>
      <c r="I486" s="245" t="s">
        <v>3949</v>
      </c>
      <c r="J486" s="45">
        <v>98</v>
      </c>
      <c r="K486" s="46" t="s">
        <v>9912</v>
      </c>
      <c r="L486" s="47" t="s">
        <v>63</v>
      </c>
      <c r="M486" s="47" t="s">
        <v>42</v>
      </c>
      <c r="N486" s="77" t="s">
        <v>3950</v>
      </c>
      <c r="O486" s="49"/>
      <c r="P486" s="49" t="s">
        <v>3951</v>
      </c>
      <c r="Q486" s="49" t="s">
        <v>3952</v>
      </c>
      <c r="R486" s="50">
        <v>8</v>
      </c>
      <c r="S486" s="50">
        <v>165</v>
      </c>
      <c r="T486" s="51" t="s">
        <v>96</v>
      </c>
      <c r="U486" s="51">
        <v>0</v>
      </c>
      <c r="V486" s="52">
        <f t="shared" si="16"/>
        <v>0</v>
      </c>
      <c r="W486" s="51" t="s">
        <v>350</v>
      </c>
      <c r="X486" s="198" t="s">
        <v>2338</v>
      </c>
      <c r="Y486" s="199" t="s">
        <v>50</v>
      </c>
      <c r="Z486" s="169"/>
      <c r="AA486" s="170" t="s">
        <v>3953</v>
      </c>
      <c r="AB486" s="243" t="s">
        <v>3954</v>
      </c>
      <c r="AC486" s="172">
        <v>6124.4</v>
      </c>
      <c r="AE486" s="137" t="s">
        <v>148</v>
      </c>
      <c r="AF486" s="138"/>
      <c r="AG486" s="138" t="s">
        <v>56</v>
      </c>
      <c r="AH486" s="138" t="s">
        <v>56</v>
      </c>
      <c r="AI486" s="138"/>
      <c r="AJ486" s="138" t="s">
        <v>3955</v>
      </c>
      <c r="AK486" s="138" t="s">
        <v>74</v>
      </c>
      <c r="AL486" s="138"/>
    </row>
    <row r="487" spans="1:38" s="200" customFormat="1" ht="48.75" customHeight="1" x14ac:dyDescent="0.25">
      <c r="A487" s="14">
        <v>45924</v>
      </c>
      <c r="B487" s="41" t="s">
        <v>3956</v>
      </c>
      <c r="C487" s="41" t="s">
        <v>3957</v>
      </c>
      <c r="D487" s="41"/>
      <c r="E487" s="42" t="s">
        <v>39</v>
      </c>
      <c r="F487" s="19">
        <v>1</v>
      </c>
      <c r="G487" s="43"/>
      <c r="H487" s="43"/>
      <c r="I487" s="245" t="s">
        <v>3958</v>
      </c>
      <c r="J487" s="45">
        <v>10</v>
      </c>
      <c r="K487" s="46" t="s">
        <v>3959</v>
      </c>
      <c r="L487" s="47" t="s">
        <v>63</v>
      </c>
      <c r="M487" s="47" t="s">
        <v>42</v>
      </c>
      <c r="N487" s="77" t="s">
        <v>3960</v>
      </c>
      <c r="O487" s="49"/>
      <c r="P487" s="49" t="s">
        <v>3961</v>
      </c>
      <c r="Q487" s="49" t="s">
        <v>3951</v>
      </c>
      <c r="R487" s="50">
        <v>41</v>
      </c>
      <c r="S487" s="50">
        <v>604</v>
      </c>
      <c r="T487" s="51" t="s">
        <v>96</v>
      </c>
      <c r="U487" s="51">
        <v>57</v>
      </c>
      <c r="V487" s="75">
        <f t="shared" si="16"/>
        <v>570</v>
      </c>
      <c r="W487" s="51" t="s">
        <v>68</v>
      </c>
      <c r="X487" s="198" t="s">
        <v>3962</v>
      </c>
      <c r="Y487" s="199" t="s">
        <v>3963</v>
      </c>
      <c r="Z487" s="169"/>
      <c r="AA487" s="170" t="s">
        <v>3624</v>
      </c>
      <c r="AB487" s="243" t="s">
        <v>2090</v>
      </c>
      <c r="AC487" s="172">
        <v>4815.8</v>
      </c>
      <c r="AE487" s="137" t="s">
        <v>148</v>
      </c>
      <c r="AF487" s="138"/>
      <c r="AG487" s="138" t="s">
        <v>56</v>
      </c>
      <c r="AH487" s="138" t="s">
        <v>56</v>
      </c>
      <c r="AI487" s="138"/>
      <c r="AJ487" s="138"/>
      <c r="AK487" s="138"/>
      <c r="AL487" s="222"/>
    </row>
    <row r="488" spans="1:38" ht="227.25" customHeight="1" x14ac:dyDescent="0.25">
      <c r="A488" s="14">
        <v>45923</v>
      </c>
      <c r="B488" s="82" t="s">
        <v>3964</v>
      </c>
      <c r="C488" s="82" t="s">
        <v>3965</v>
      </c>
      <c r="D488" s="82" t="s">
        <v>3966</v>
      </c>
      <c r="E488" s="51" t="s">
        <v>39</v>
      </c>
      <c r="F488" s="19">
        <v>1</v>
      </c>
      <c r="G488" s="108"/>
      <c r="H488" s="108"/>
      <c r="I488" s="245" t="s">
        <v>3967</v>
      </c>
      <c r="J488" s="110">
        <v>40</v>
      </c>
      <c r="K488" s="111" t="s">
        <v>3968</v>
      </c>
      <c r="L488" s="47" t="s">
        <v>63</v>
      </c>
      <c r="M488" s="324" t="s">
        <v>42</v>
      </c>
      <c r="N488" s="77" t="s">
        <v>3969</v>
      </c>
      <c r="O488" s="49" t="s">
        <v>3970</v>
      </c>
      <c r="P488" s="49" t="s">
        <v>3971</v>
      </c>
      <c r="Q488" s="49" t="s">
        <v>3972</v>
      </c>
      <c r="R488" s="50">
        <v>116</v>
      </c>
      <c r="S488" s="50">
        <v>480</v>
      </c>
      <c r="T488" s="51" t="s">
        <v>141</v>
      </c>
      <c r="U488" s="51">
        <v>18</v>
      </c>
      <c r="V488" s="75">
        <f t="shared" si="16"/>
        <v>720</v>
      </c>
      <c r="W488" s="51" t="s">
        <v>3973</v>
      </c>
      <c r="X488" s="202" t="s">
        <v>538</v>
      </c>
      <c r="Y488" s="199" t="s">
        <v>3963</v>
      </c>
      <c r="Z488" s="169"/>
      <c r="AA488" s="170" t="s">
        <v>3974</v>
      </c>
      <c r="AB488" s="243" t="s">
        <v>3975</v>
      </c>
      <c r="AC488" s="82">
        <f>7140</f>
        <v>7140</v>
      </c>
      <c r="AE488" s="137" t="s">
        <v>148</v>
      </c>
      <c r="AF488" s="138"/>
      <c r="AG488" s="138" t="s">
        <v>56</v>
      </c>
      <c r="AH488" s="138" t="s">
        <v>56</v>
      </c>
      <c r="AI488" s="138"/>
      <c r="AJ488" s="138"/>
      <c r="AK488" s="138"/>
      <c r="AL488" s="222"/>
    </row>
    <row r="489" spans="1:38" s="200" customFormat="1" ht="51.75" customHeight="1" x14ac:dyDescent="0.25">
      <c r="A489" s="14">
        <v>45923</v>
      </c>
      <c r="B489" s="41" t="s">
        <v>3976</v>
      </c>
      <c r="C489" s="41" t="s">
        <v>3977</v>
      </c>
      <c r="D489" s="41"/>
      <c r="E489" s="42" t="s">
        <v>39</v>
      </c>
      <c r="F489" s="43"/>
      <c r="G489" s="43"/>
      <c r="H489" s="19">
        <v>2</v>
      </c>
      <c r="I489" s="245" t="s">
        <v>3978</v>
      </c>
      <c r="J489" s="45">
        <v>120</v>
      </c>
      <c r="K489" s="46" t="s">
        <v>3968</v>
      </c>
      <c r="L489" s="47" t="s">
        <v>63</v>
      </c>
      <c r="M489" s="73" t="s">
        <v>42</v>
      </c>
      <c r="N489" s="77" t="s">
        <v>3979</v>
      </c>
      <c r="O489" s="49" t="s">
        <v>3980</v>
      </c>
      <c r="P489" s="49" t="s">
        <v>3981</v>
      </c>
      <c r="Q489" s="49" t="s">
        <v>3972</v>
      </c>
      <c r="R489" s="92">
        <v>141</v>
      </c>
      <c r="S489" s="50">
        <v>384</v>
      </c>
      <c r="T489" s="51" t="s">
        <v>180</v>
      </c>
      <c r="U489" s="51">
        <v>4</v>
      </c>
      <c r="V489" s="52">
        <f t="shared" si="16"/>
        <v>480</v>
      </c>
      <c r="W489" s="51" t="s">
        <v>350</v>
      </c>
      <c r="X489" s="198" t="s">
        <v>69</v>
      </c>
      <c r="Y489" s="199" t="s">
        <v>2880</v>
      </c>
      <c r="Z489" s="169"/>
      <c r="AA489" s="170" t="s">
        <v>1863</v>
      </c>
      <c r="AB489" s="243" t="s">
        <v>3982</v>
      </c>
      <c r="AC489" s="172">
        <v>21172.400000000001</v>
      </c>
      <c r="AE489" s="137" t="s">
        <v>3829</v>
      </c>
      <c r="AF489" s="138" t="s">
        <v>354</v>
      </c>
      <c r="AG489" s="138" t="s">
        <v>56</v>
      </c>
      <c r="AH489" s="138" t="s">
        <v>56</v>
      </c>
      <c r="AI489" s="138"/>
      <c r="AJ489" s="138" t="s">
        <v>56</v>
      </c>
      <c r="AK489" s="138" t="s">
        <v>3983</v>
      </c>
      <c r="AL489" s="138"/>
    </row>
    <row r="490" spans="1:38" ht="150" x14ac:dyDescent="0.25">
      <c r="A490" s="14">
        <v>45923</v>
      </c>
      <c r="B490" s="41" t="s">
        <v>3200</v>
      </c>
      <c r="C490" s="41" t="s">
        <v>3201</v>
      </c>
      <c r="D490" s="281" t="s">
        <v>3202</v>
      </c>
      <c r="E490" s="42" t="s">
        <v>39</v>
      </c>
      <c r="F490" s="19">
        <v>1</v>
      </c>
      <c r="G490" s="43"/>
      <c r="H490" s="43"/>
      <c r="I490" s="245" t="s">
        <v>3984</v>
      </c>
      <c r="J490" s="45">
        <v>300</v>
      </c>
      <c r="K490" s="46" t="s">
        <v>3968</v>
      </c>
      <c r="L490" s="50" t="s">
        <v>63</v>
      </c>
      <c r="M490" s="47" t="s">
        <v>55</v>
      </c>
      <c r="N490" s="77" t="s">
        <v>3985</v>
      </c>
      <c r="O490" s="49" t="s">
        <v>3206</v>
      </c>
      <c r="P490" s="49" t="s">
        <v>3207</v>
      </c>
      <c r="Q490" s="49" t="s">
        <v>3208</v>
      </c>
      <c r="R490" s="50">
        <v>115</v>
      </c>
      <c r="S490" s="50">
        <v>382</v>
      </c>
      <c r="T490" s="51" t="s">
        <v>141</v>
      </c>
      <c r="U490" s="51">
        <v>0</v>
      </c>
      <c r="V490" s="52">
        <f t="shared" si="16"/>
        <v>0</v>
      </c>
      <c r="W490" s="51" t="s">
        <v>350</v>
      </c>
      <c r="X490" s="198" t="s">
        <v>2234</v>
      </c>
      <c r="Y490" s="168" t="s">
        <v>144</v>
      </c>
      <c r="Z490" s="169"/>
      <c r="AA490" s="170" t="s">
        <v>2566</v>
      </c>
      <c r="AB490" s="243" t="s">
        <v>3209</v>
      </c>
      <c r="AC490" s="35">
        <f>43930*J490/500</f>
        <v>26358</v>
      </c>
      <c r="AE490" s="137" t="s">
        <v>85</v>
      </c>
      <c r="AF490" s="138" t="s">
        <v>354</v>
      </c>
      <c r="AG490" s="138" t="s">
        <v>56</v>
      </c>
      <c r="AH490" s="138" t="s">
        <v>56</v>
      </c>
      <c r="AI490" s="138"/>
      <c r="AJ490" s="138" t="s">
        <v>56</v>
      </c>
      <c r="AK490" s="222" t="s">
        <v>74</v>
      </c>
      <c r="AL490" s="222"/>
    </row>
    <row r="491" spans="1:38" s="200" customFormat="1" ht="120" x14ac:dyDescent="0.25">
      <c r="A491" s="14">
        <v>45923</v>
      </c>
      <c r="B491" s="41" t="s">
        <v>3986</v>
      </c>
      <c r="C491" s="41" t="s">
        <v>3987</v>
      </c>
      <c r="D491" s="41"/>
      <c r="E491" s="42" t="s">
        <v>39</v>
      </c>
      <c r="F491" s="19">
        <v>1</v>
      </c>
      <c r="G491" s="43"/>
      <c r="H491" s="43"/>
      <c r="I491" s="245" t="s">
        <v>3988</v>
      </c>
      <c r="J491" s="45">
        <v>32</v>
      </c>
      <c r="K491" s="46" t="s">
        <v>3989</v>
      </c>
      <c r="L491" s="47" t="s">
        <v>63</v>
      </c>
      <c r="M491" s="47" t="s">
        <v>42</v>
      </c>
      <c r="N491" s="77" t="s">
        <v>3990</v>
      </c>
      <c r="O491" s="49"/>
      <c r="P491" s="49" t="s">
        <v>3991</v>
      </c>
      <c r="Q491" s="49" t="s">
        <v>3992</v>
      </c>
      <c r="R491" s="50">
        <v>64</v>
      </c>
      <c r="S491" s="50">
        <v>392</v>
      </c>
      <c r="T491" s="51" t="s">
        <v>67</v>
      </c>
      <c r="U491" s="51">
        <v>10</v>
      </c>
      <c r="V491" s="52">
        <f t="shared" si="16"/>
        <v>320</v>
      </c>
      <c r="W491" s="51" t="s">
        <v>68</v>
      </c>
      <c r="X491" s="198" t="s">
        <v>3993</v>
      </c>
      <c r="Y491" s="199" t="s">
        <v>1862</v>
      </c>
      <c r="Z491" s="169"/>
      <c r="AA491" s="170" t="s">
        <v>3809</v>
      </c>
      <c r="AB491" s="243" t="s">
        <v>3994</v>
      </c>
      <c r="AC491" s="172">
        <v>3418.24</v>
      </c>
      <c r="AE491" s="137" t="s">
        <v>3829</v>
      </c>
      <c r="AF491" s="138" t="s">
        <v>354</v>
      </c>
      <c r="AG491" s="138" t="s">
        <v>56</v>
      </c>
      <c r="AH491" s="138" t="s">
        <v>56</v>
      </c>
      <c r="AI491" s="138"/>
      <c r="AJ491" s="138" t="s">
        <v>3995</v>
      </c>
      <c r="AK491" s="138" t="s">
        <v>2864</v>
      </c>
      <c r="AL491" s="138"/>
    </row>
    <row r="492" spans="1:38" s="200" customFormat="1" ht="196.5" x14ac:dyDescent="0.25">
      <c r="A492" s="14">
        <v>45922</v>
      </c>
      <c r="B492" s="95" t="s">
        <v>3996</v>
      </c>
      <c r="C492" s="95" t="s">
        <v>3997</v>
      </c>
      <c r="D492" s="95"/>
      <c r="E492" s="96" t="s">
        <v>39</v>
      </c>
      <c r="F492" s="97"/>
      <c r="G492" s="97"/>
      <c r="H492" s="19">
        <v>1</v>
      </c>
      <c r="I492" s="245" t="s">
        <v>9857</v>
      </c>
      <c r="J492" s="98">
        <v>16</v>
      </c>
      <c r="K492" s="99" t="s">
        <v>3998</v>
      </c>
      <c r="L492" s="100" t="s">
        <v>63</v>
      </c>
      <c r="M492" s="96" t="s">
        <v>42</v>
      </c>
      <c r="N492" s="101" t="s">
        <v>3999</v>
      </c>
      <c r="O492" s="102" t="s">
        <v>4000</v>
      </c>
      <c r="P492" s="102" t="s">
        <v>4001</v>
      </c>
      <c r="Q492" s="102" t="s">
        <v>3943</v>
      </c>
      <c r="R492" s="103">
        <v>61</v>
      </c>
      <c r="S492" s="103">
        <v>400</v>
      </c>
      <c r="T492" s="96" t="s">
        <v>47</v>
      </c>
      <c r="U492" s="96">
        <v>0</v>
      </c>
      <c r="V492" s="104">
        <f t="shared" si="16"/>
        <v>0</v>
      </c>
      <c r="W492" s="96" t="s">
        <v>350</v>
      </c>
      <c r="X492" s="198" t="s">
        <v>934</v>
      </c>
      <c r="Y492" s="199" t="s">
        <v>82</v>
      </c>
      <c r="Z492" s="169" t="s">
        <v>4002</v>
      </c>
      <c r="AA492" s="170" t="s">
        <v>3818</v>
      </c>
      <c r="AB492" s="243" t="s">
        <v>4003</v>
      </c>
      <c r="AC492" s="172">
        <v>8796.48</v>
      </c>
      <c r="AE492" s="137" t="s">
        <v>4004</v>
      </c>
      <c r="AF492" s="138"/>
      <c r="AG492" s="138" t="s">
        <v>56</v>
      </c>
      <c r="AH492" s="138" t="s">
        <v>56</v>
      </c>
      <c r="AI492" s="138"/>
      <c r="AJ492" s="138"/>
      <c r="AK492" s="138"/>
      <c r="AL492" s="138"/>
    </row>
    <row r="493" spans="1:38" ht="375" x14ac:dyDescent="0.25">
      <c r="A493" s="14">
        <v>45922</v>
      </c>
      <c r="B493" s="41" t="s">
        <v>4005</v>
      </c>
      <c r="C493" s="41" t="s">
        <v>4006</v>
      </c>
      <c r="D493" s="41" t="s">
        <v>4007</v>
      </c>
      <c r="E493" s="42" t="s">
        <v>39</v>
      </c>
      <c r="F493" s="19">
        <v>3</v>
      </c>
      <c r="G493" s="19" t="s">
        <v>4008</v>
      </c>
      <c r="H493" s="43"/>
      <c r="I493" s="245" t="s">
        <v>4009</v>
      </c>
      <c r="J493" s="45">
        <f>270-173</f>
        <v>97</v>
      </c>
      <c r="K493" s="46" t="s">
        <v>4010</v>
      </c>
      <c r="L493" s="47" t="s">
        <v>63</v>
      </c>
      <c r="M493" s="73" t="s">
        <v>42</v>
      </c>
      <c r="N493" s="77" t="s">
        <v>4011</v>
      </c>
      <c r="O493" s="49" t="s">
        <v>4012</v>
      </c>
      <c r="P493" s="49" t="s">
        <v>4013</v>
      </c>
      <c r="Q493" s="49" t="s">
        <v>4014</v>
      </c>
      <c r="R493" s="50">
        <v>22</v>
      </c>
      <c r="S493" s="50">
        <v>45</v>
      </c>
      <c r="T493" s="51" t="s">
        <v>47</v>
      </c>
      <c r="U493" s="51">
        <v>10</v>
      </c>
      <c r="V493" s="75">
        <f t="shared" si="16"/>
        <v>970</v>
      </c>
      <c r="W493" s="51" t="s">
        <v>221</v>
      </c>
      <c r="X493" s="325" t="s">
        <v>4015</v>
      </c>
      <c r="Y493" s="199" t="s">
        <v>82</v>
      </c>
      <c r="Z493" s="169" t="s">
        <v>4016</v>
      </c>
      <c r="AA493" s="170" t="s">
        <v>4017</v>
      </c>
      <c r="AB493" s="243" t="s">
        <v>4018</v>
      </c>
      <c r="AC493" s="35">
        <f>6655.5*J493/270</f>
        <v>2391.0500000000002</v>
      </c>
      <c r="AE493" s="137" t="s">
        <v>4004</v>
      </c>
      <c r="AF493" s="138" t="s">
        <v>354</v>
      </c>
      <c r="AG493" s="138" t="s">
        <v>56</v>
      </c>
      <c r="AH493" s="138" t="s">
        <v>56</v>
      </c>
      <c r="AI493" s="138"/>
      <c r="AJ493" s="138" t="s">
        <v>56</v>
      </c>
      <c r="AK493" s="222" t="s">
        <v>74</v>
      </c>
      <c r="AL493" s="222"/>
    </row>
    <row r="494" spans="1:38" s="200" customFormat="1" ht="60.75" customHeight="1" x14ac:dyDescent="0.25">
      <c r="A494" s="14">
        <v>45919</v>
      </c>
      <c r="B494" s="41" t="s">
        <v>4019</v>
      </c>
      <c r="C494" s="41" t="s">
        <v>4020</v>
      </c>
      <c r="D494" s="41"/>
      <c r="E494" s="42" t="s">
        <v>39</v>
      </c>
      <c r="F494" s="19">
        <v>1</v>
      </c>
      <c r="G494" s="43"/>
      <c r="H494" s="43"/>
      <c r="I494" s="245" t="s">
        <v>4021</v>
      </c>
      <c r="J494" s="45">
        <v>5</v>
      </c>
      <c r="K494" s="46" t="s">
        <v>4022</v>
      </c>
      <c r="L494" s="47" t="s">
        <v>63</v>
      </c>
      <c r="M494" s="73" t="s">
        <v>42</v>
      </c>
      <c r="N494" s="250" t="s">
        <v>4023</v>
      </c>
      <c r="O494" s="49"/>
      <c r="P494" s="49" t="s">
        <v>3980</v>
      </c>
      <c r="Q494" s="49" t="s">
        <v>4024</v>
      </c>
      <c r="R494" s="50">
        <v>128</v>
      </c>
      <c r="S494" s="50">
        <v>375</v>
      </c>
      <c r="T494" s="51" t="s">
        <v>67</v>
      </c>
      <c r="U494" s="51">
        <v>49</v>
      </c>
      <c r="V494" s="52">
        <f t="shared" si="16"/>
        <v>245</v>
      </c>
      <c r="W494" s="51" t="s">
        <v>142</v>
      </c>
      <c r="X494" s="198" t="s">
        <v>4025</v>
      </c>
      <c r="Y494" s="199" t="s">
        <v>82</v>
      </c>
      <c r="Z494" s="169"/>
      <c r="AA494" s="170" t="s">
        <v>2566</v>
      </c>
      <c r="AB494" s="243" t="s">
        <v>3009</v>
      </c>
      <c r="AC494" s="172">
        <v>9065</v>
      </c>
      <c r="AE494" s="137" t="s">
        <v>3829</v>
      </c>
      <c r="AF494" s="138"/>
      <c r="AG494" s="138" t="s">
        <v>56</v>
      </c>
      <c r="AH494" s="138" t="s">
        <v>56</v>
      </c>
      <c r="AI494" s="138"/>
      <c r="AJ494" s="138"/>
      <c r="AK494" s="138"/>
      <c r="AL494" s="138"/>
    </row>
    <row r="495" spans="1:38" s="200" customFormat="1" ht="135" customHeight="1" x14ac:dyDescent="0.25">
      <c r="A495" s="14">
        <v>45919</v>
      </c>
      <c r="B495" s="95" t="s">
        <v>3996</v>
      </c>
      <c r="C495" s="95" t="s">
        <v>4026</v>
      </c>
      <c r="D495" s="95" t="s">
        <v>4027</v>
      </c>
      <c r="E495" s="96" t="s">
        <v>39</v>
      </c>
      <c r="F495" s="97"/>
      <c r="G495" s="97"/>
      <c r="H495" s="19">
        <v>1</v>
      </c>
      <c r="I495" s="245" t="s">
        <v>4028</v>
      </c>
      <c r="J495" s="98">
        <v>16</v>
      </c>
      <c r="K495" s="99" t="s">
        <v>4029</v>
      </c>
      <c r="L495" s="100" t="s">
        <v>63</v>
      </c>
      <c r="M495" s="96" t="s">
        <v>42</v>
      </c>
      <c r="N495" s="101" t="s">
        <v>4030</v>
      </c>
      <c r="O495" s="102" t="s">
        <v>4031</v>
      </c>
      <c r="P495" s="102"/>
      <c r="Q495" s="102"/>
      <c r="R495" s="103">
        <v>52</v>
      </c>
      <c r="S495" s="103">
        <v>333</v>
      </c>
      <c r="T495" s="96" t="s">
        <v>47</v>
      </c>
      <c r="U495" s="96">
        <v>0</v>
      </c>
      <c r="V495" s="104">
        <f t="shared" si="16"/>
        <v>0</v>
      </c>
      <c r="W495" s="96" t="s">
        <v>350</v>
      </c>
      <c r="X495" s="198" t="s">
        <v>934</v>
      </c>
      <c r="Y495" s="199" t="s">
        <v>82</v>
      </c>
      <c r="Z495" s="169" t="s">
        <v>4002</v>
      </c>
      <c r="AA495" s="170" t="s">
        <v>4032</v>
      </c>
      <c r="AB495" s="243" t="s">
        <v>4003</v>
      </c>
      <c r="AC495" s="172">
        <v>7424.16</v>
      </c>
      <c r="AE495" s="137" t="s">
        <v>3569</v>
      </c>
      <c r="AF495" s="138"/>
      <c r="AG495" s="138" t="s">
        <v>56</v>
      </c>
      <c r="AH495" s="138" t="s">
        <v>56</v>
      </c>
      <c r="AI495" s="138"/>
      <c r="AJ495" s="138"/>
      <c r="AK495" s="138"/>
      <c r="AL495" s="138"/>
    </row>
    <row r="496" spans="1:38" s="200" customFormat="1" ht="104.25" customHeight="1" x14ac:dyDescent="0.25">
      <c r="A496" s="14">
        <v>45919</v>
      </c>
      <c r="B496" s="41" t="s">
        <v>4033</v>
      </c>
      <c r="C496" s="41" t="s">
        <v>4034</v>
      </c>
      <c r="D496" s="41"/>
      <c r="E496" s="42" t="s">
        <v>39</v>
      </c>
      <c r="F496" s="19">
        <v>1</v>
      </c>
      <c r="G496" s="43"/>
      <c r="H496" s="43"/>
      <c r="I496" s="245" t="s">
        <v>4035</v>
      </c>
      <c r="J496" s="45">
        <v>15</v>
      </c>
      <c r="K496" s="46" t="s">
        <v>4022</v>
      </c>
      <c r="L496" s="47" t="s">
        <v>63</v>
      </c>
      <c r="M496" s="73" t="s">
        <v>42</v>
      </c>
      <c r="N496" s="77" t="s">
        <v>4036</v>
      </c>
      <c r="O496" s="49" t="s">
        <v>4037</v>
      </c>
      <c r="P496" s="49" t="s">
        <v>4038</v>
      </c>
      <c r="Q496" s="49" t="s">
        <v>4039</v>
      </c>
      <c r="R496" s="50">
        <v>107</v>
      </c>
      <c r="S496" s="50">
        <v>305</v>
      </c>
      <c r="T496" s="51" t="s">
        <v>180</v>
      </c>
      <c r="U496" s="51">
        <v>0</v>
      </c>
      <c r="V496" s="52">
        <f t="shared" si="16"/>
        <v>0</v>
      </c>
      <c r="W496" s="51" t="s">
        <v>350</v>
      </c>
      <c r="X496" s="198" t="s">
        <v>4040</v>
      </c>
      <c r="Y496" s="199" t="s">
        <v>50</v>
      </c>
      <c r="Z496" s="169"/>
      <c r="AA496" s="170" t="s">
        <v>2663</v>
      </c>
      <c r="AB496" s="243" t="s">
        <v>4041</v>
      </c>
      <c r="AC496" s="172">
        <v>8026</v>
      </c>
      <c r="AE496" s="137" t="s">
        <v>3829</v>
      </c>
      <c r="AF496" s="138"/>
      <c r="AG496" s="138" t="s">
        <v>56</v>
      </c>
      <c r="AH496" s="138" t="s">
        <v>56</v>
      </c>
      <c r="AI496" s="138"/>
      <c r="AJ496" s="138"/>
      <c r="AK496" s="138"/>
      <c r="AL496" s="138"/>
    </row>
    <row r="497" spans="1:39" s="200" customFormat="1" ht="57" customHeight="1" x14ac:dyDescent="0.25">
      <c r="A497" s="14">
        <v>45919</v>
      </c>
      <c r="B497" s="41" t="s">
        <v>4042</v>
      </c>
      <c r="C497" s="41" t="s">
        <v>4043</v>
      </c>
      <c r="D497" s="41" t="s">
        <v>4044</v>
      </c>
      <c r="E497" s="42" t="s">
        <v>39</v>
      </c>
      <c r="F497" s="43"/>
      <c r="G497" s="43"/>
      <c r="H497" s="19">
        <v>1</v>
      </c>
      <c r="I497" s="245" t="s">
        <v>4045</v>
      </c>
      <c r="J497" s="45">
        <v>4</v>
      </c>
      <c r="K497" s="46" t="s">
        <v>4046</v>
      </c>
      <c r="L497" s="47" t="s">
        <v>63</v>
      </c>
      <c r="M497" s="47" t="s">
        <v>55</v>
      </c>
      <c r="N497" s="77" t="s">
        <v>4047</v>
      </c>
      <c r="O497" s="49" t="s">
        <v>4048</v>
      </c>
      <c r="P497" s="49" t="s">
        <v>4049</v>
      </c>
      <c r="Q497" s="49" t="s">
        <v>4050</v>
      </c>
      <c r="R497" s="50" t="s">
        <v>51</v>
      </c>
      <c r="S497" s="50">
        <v>578</v>
      </c>
      <c r="T497" s="51" t="s">
        <v>47</v>
      </c>
      <c r="U497" s="51">
        <v>31</v>
      </c>
      <c r="V497" s="52">
        <f t="shared" si="16"/>
        <v>124</v>
      </c>
      <c r="W497" s="51" t="s">
        <v>68</v>
      </c>
      <c r="X497" s="198" t="s">
        <v>4051</v>
      </c>
      <c r="Y497" s="199" t="s">
        <v>3963</v>
      </c>
      <c r="Z497" s="169"/>
      <c r="AA497" s="170" t="s">
        <v>4052</v>
      </c>
      <c r="AB497" s="243" t="s">
        <v>2664</v>
      </c>
      <c r="AC497" s="172">
        <v>3885.2</v>
      </c>
      <c r="AE497" s="137" t="s">
        <v>3829</v>
      </c>
      <c r="AF497" s="138" t="s">
        <v>354</v>
      </c>
      <c r="AG497" s="138" t="s">
        <v>56</v>
      </c>
      <c r="AH497" s="138" t="s">
        <v>56</v>
      </c>
      <c r="AI497" s="138"/>
      <c r="AJ497" s="138" t="s">
        <v>56</v>
      </c>
      <c r="AK497" s="138" t="s">
        <v>2284</v>
      </c>
      <c r="AL497" s="138"/>
    </row>
    <row r="498" spans="1:39" s="200" customFormat="1" ht="125.25" customHeight="1" x14ac:dyDescent="0.25">
      <c r="A498" s="14">
        <v>45919</v>
      </c>
      <c r="B498" s="41" t="s">
        <v>4053</v>
      </c>
      <c r="C498" s="41" t="s">
        <v>4054</v>
      </c>
      <c r="D498" s="41"/>
      <c r="E498" s="42" t="s">
        <v>39</v>
      </c>
      <c r="F498" s="43"/>
      <c r="G498" s="43"/>
      <c r="H498" s="19">
        <v>1</v>
      </c>
      <c r="I498" s="245" t="s">
        <v>4055</v>
      </c>
      <c r="J498" s="45">
        <v>29</v>
      </c>
      <c r="K498" s="46" t="s">
        <v>4046</v>
      </c>
      <c r="L498" s="47" t="s">
        <v>63</v>
      </c>
      <c r="M498" s="73" t="s">
        <v>42</v>
      </c>
      <c r="N498" s="77" t="s">
        <v>4056</v>
      </c>
      <c r="O498" s="49" t="s">
        <v>4057</v>
      </c>
      <c r="P498" s="49" t="s">
        <v>4058</v>
      </c>
      <c r="Q498" s="49" t="s">
        <v>4059</v>
      </c>
      <c r="R498" s="92">
        <v>170</v>
      </c>
      <c r="S498" s="50">
        <v>863</v>
      </c>
      <c r="T498" s="51" t="s">
        <v>141</v>
      </c>
      <c r="U498" s="51">
        <v>11</v>
      </c>
      <c r="V498" s="52">
        <f t="shared" si="16"/>
        <v>319</v>
      </c>
      <c r="W498" s="51" t="s">
        <v>350</v>
      </c>
      <c r="X498" s="198" t="s">
        <v>4060</v>
      </c>
      <c r="Y498" s="199" t="s">
        <v>144</v>
      </c>
      <c r="Z498" s="169"/>
      <c r="AA498" s="170" t="s">
        <v>4061</v>
      </c>
      <c r="AB498" s="243" t="s">
        <v>3828</v>
      </c>
      <c r="AC498" s="172">
        <v>17584.439999999999</v>
      </c>
      <c r="AE498" s="137" t="s">
        <v>3569</v>
      </c>
      <c r="AF498" s="138"/>
      <c r="AG498" s="138" t="s">
        <v>56</v>
      </c>
      <c r="AH498" s="138" t="s">
        <v>56</v>
      </c>
      <c r="AI498" s="138"/>
      <c r="AJ498" s="138"/>
      <c r="AK498" s="138"/>
      <c r="AL498" s="138"/>
    </row>
    <row r="499" spans="1:39" s="200" customFormat="1" ht="73.5" customHeight="1" x14ac:dyDescent="0.25">
      <c r="A499" s="14">
        <v>45919</v>
      </c>
      <c r="B499" s="41" t="s">
        <v>4062</v>
      </c>
      <c r="C499" s="41" t="s">
        <v>4063</v>
      </c>
      <c r="D499" s="41"/>
      <c r="E499" s="42" t="s">
        <v>39</v>
      </c>
      <c r="F499" s="43"/>
      <c r="G499" s="43"/>
      <c r="H499" s="19">
        <v>1</v>
      </c>
      <c r="I499" s="245" t="s">
        <v>4064</v>
      </c>
      <c r="J499" s="45">
        <v>80</v>
      </c>
      <c r="K499" s="46" t="s">
        <v>4046</v>
      </c>
      <c r="L499" s="47" t="s">
        <v>63</v>
      </c>
      <c r="M499" s="73" t="s">
        <v>42</v>
      </c>
      <c r="N499" s="77" t="s">
        <v>4065</v>
      </c>
      <c r="O499" s="49" t="s">
        <v>4050</v>
      </c>
      <c r="P499" s="49" t="s">
        <v>4066</v>
      </c>
      <c r="Q499" s="49" t="s">
        <v>4067</v>
      </c>
      <c r="R499" s="50">
        <v>33</v>
      </c>
      <c r="S499" s="50">
        <v>113</v>
      </c>
      <c r="T499" s="51" t="s">
        <v>47</v>
      </c>
      <c r="U499" s="51">
        <v>4</v>
      </c>
      <c r="V499" s="52">
        <f t="shared" si="16"/>
        <v>320</v>
      </c>
      <c r="W499" s="51" t="s">
        <v>350</v>
      </c>
      <c r="X499" s="198" t="s">
        <v>4068</v>
      </c>
      <c r="Y499" s="199" t="s">
        <v>82</v>
      </c>
      <c r="Z499" s="169"/>
      <c r="AA499" s="170" t="s">
        <v>3729</v>
      </c>
      <c r="AB499" s="243" t="s">
        <v>2681</v>
      </c>
      <c r="AC499" s="172">
        <v>3500.4</v>
      </c>
      <c r="AE499" s="137" t="s">
        <v>3829</v>
      </c>
      <c r="AF499" s="138"/>
      <c r="AG499" s="138" t="s">
        <v>56</v>
      </c>
      <c r="AH499" s="138" t="s">
        <v>56</v>
      </c>
      <c r="AI499" s="138"/>
      <c r="AJ499" s="138"/>
      <c r="AK499" s="138"/>
      <c r="AL499" s="138"/>
    </row>
    <row r="500" spans="1:39" ht="76.5" x14ac:dyDescent="0.25">
      <c r="A500" s="14">
        <v>45918</v>
      </c>
      <c r="B500" s="41" t="s">
        <v>4069</v>
      </c>
      <c r="C500" s="41" t="s">
        <v>4070</v>
      </c>
      <c r="D500" s="41"/>
      <c r="E500" s="42" t="s">
        <v>39</v>
      </c>
      <c r="F500" s="43"/>
      <c r="G500" s="43"/>
      <c r="H500" s="19">
        <v>1</v>
      </c>
      <c r="I500" s="245" t="s">
        <v>4071</v>
      </c>
      <c r="J500" s="45">
        <v>425</v>
      </c>
      <c r="K500" s="46" t="s">
        <v>4072</v>
      </c>
      <c r="L500" s="47" t="s">
        <v>63</v>
      </c>
      <c r="M500" s="73" t="s">
        <v>42</v>
      </c>
      <c r="N500" s="77" t="s">
        <v>4073</v>
      </c>
      <c r="O500" s="49"/>
      <c r="P500" s="49" t="s">
        <v>4074</v>
      </c>
      <c r="Q500" s="49" t="s">
        <v>4050</v>
      </c>
      <c r="R500" s="50">
        <v>1</v>
      </c>
      <c r="S500" s="50">
        <v>2</v>
      </c>
      <c r="T500" s="51" t="s">
        <v>96</v>
      </c>
      <c r="U500" s="51">
        <v>0</v>
      </c>
      <c r="V500" s="52">
        <f t="shared" si="16"/>
        <v>0</v>
      </c>
      <c r="W500" s="51" t="s">
        <v>350</v>
      </c>
      <c r="X500" s="198" t="s">
        <v>4075</v>
      </c>
      <c r="Y500" s="168" t="s">
        <v>324</v>
      </c>
      <c r="Z500" s="169"/>
      <c r="AA500" s="170" t="s">
        <v>2566</v>
      </c>
      <c r="AB500" s="243" t="s">
        <v>3771</v>
      </c>
      <c r="AC500" s="172">
        <v>5928.75</v>
      </c>
      <c r="AE500" s="137" t="s">
        <v>3569</v>
      </c>
      <c r="AF500" s="138"/>
      <c r="AG500" s="138" t="s">
        <v>56</v>
      </c>
      <c r="AH500" s="138" t="s">
        <v>56</v>
      </c>
      <c r="AI500" s="138"/>
      <c r="AJ500" s="138" t="s">
        <v>56</v>
      </c>
      <c r="AK500" s="222" t="s">
        <v>74</v>
      </c>
      <c r="AL500" s="222"/>
    </row>
    <row r="501" spans="1:39" s="200" customFormat="1" ht="150" x14ac:dyDescent="0.25">
      <c r="A501" s="14">
        <v>45918</v>
      </c>
      <c r="B501" s="41" t="s">
        <v>4062</v>
      </c>
      <c r="C501" s="41" t="s">
        <v>4076</v>
      </c>
      <c r="D501" s="41"/>
      <c r="E501" s="42" t="s">
        <v>39</v>
      </c>
      <c r="F501" s="43"/>
      <c r="G501" s="43"/>
      <c r="H501" s="19">
        <v>1</v>
      </c>
      <c r="I501" s="245" t="s">
        <v>4077</v>
      </c>
      <c r="J501" s="45">
        <v>180</v>
      </c>
      <c r="K501" s="46" t="s">
        <v>4078</v>
      </c>
      <c r="L501" s="47" t="s">
        <v>63</v>
      </c>
      <c r="M501" s="47" t="s">
        <v>55</v>
      </c>
      <c r="N501" s="77" t="s">
        <v>4079</v>
      </c>
      <c r="O501" s="49" t="s">
        <v>4080</v>
      </c>
      <c r="P501" s="49"/>
      <c r="Q501" s="49" t="s">
        <v>4081</v>
      </c>
      <c r="R501" s="50">
        <v>20</v>
      </c>
      <c r="S501" s="50">
        <v>183</v>
      </c>
      <c r="T501" s="51" t="s">
        <v>158</v>
      </c>
      <c r="U501" s="51">
        <v>30</v>
      </c>
      <c r="V501" s="75">
        <f t="shared" si="16"/>
        <v>5400</v>
      </c>
      <c r="W501" s="51" t="s">
        <v>350</v>
      </c>
      <c r="X501" s="198" t="s">
        <v>2816</v>
      </c>
      <c r="Y501" s="199" t="s">
        <v>50</v>
      </c>
      <c r="Z501" s="169"/>
      <c r="AA501" s="170" t="s">
        <v>3088</v>
      </c>
      <c r="AB501" s="243" t="s">
        <v>2681</v>
      </c>
      <c r="AC501" s="172">
        <v>18970.2</v>
      </c>
      <c r="AE501" s="137" t="s">
        <v>3829</v>
      </c>
      <c r="AF501" s="138"/>
      <c r="AG501" s="138" t="s">
        <v>56</v>
      </c>
      <c r="AH501" s="138" t="s">
        <v>86</v>
      </c>
      <c r="AI501" s="138"/>
      <c r="AJ501" s="255" t="s">
        <v>4082</v>
      </c>
      <c r="AK501" s="138" t="s">
        <v>74</v>
      </c>
      <c r="AL501" s="138"/>
    </row>
    <row r="502" spans="1:39" s="200" customFormat="1" ht="59.25" customHeight="1" x14ac:dyDescent="0.25">
      <c r="A502" s="14">
        <v>45917</v>
      </c>
      <c r="B502" s="41" t="s">
        <v>4083</v>
      </c>
      <c r="C502" s="41" t="s">
        <v>4084</v>
      </c>
      <c r="D502" s="41"/>
      <c r="E502" s="42" t="s">
        <v>39</v>
      </c>
      <c r="F502" s="19">
        <v>1</v>
      </c>
      <c r="G502" s="43"/>
      <c r="H502" s="43"/>
      <c r="I502" s="245" t="s">
        <v>4085</v>
      </c>
      <c r="J502" s="45">
        <v>5</v>
      </c>
      <c r="K502" s="46" t="s">
        <v>4086</v>
      </c>
      <c r="L502" s="47" t="s">
        <v>63</v>
      </c>
      <c r="M502" s="47" t="s">
        <v>42</v>
      </c>
      <c r="N502" s="77" t="s">
        <v>1563</v>
      </c>
      <c r="O502" s="49"/>
      <c r="P502" s="49" t="s">
        <v>4087</v>
      </c>
      <c r="Q502" s="49" t="s">
        <v>3206</v>
      </c>
      <c r="R502" s="50">
        <v>24</v>
      </c>
      <c r="S502" s="50">
        <v>137</v>
      </c>
      <c r="T502" s="51" t="s">
        <v>96</v>
      </c>
      <c r="U502" s="51">
        <v>7</v>
      </c>
      <c r="V502" s="52">
        <f t="shared" si="16"/>
        <v>35</v>
      </c>
      <c r="W502" s="51" t="s">
        <v>350</v>
      </c>
      <c r="X502" s="198" t="s">
        <v>881</v>
      </c>
      <c r="Y502" s="199" t="s">
        <v>50</v>
      </c>
      <c r="Z502" s="169"/>
      <c r="AA502" s="170" t="s">
        <v>3827</v>
      </c>
      <c r="AB502" s="243" t="s">
        <v>3828</v>
      </c>
      <c r="AC502" s="172">
        <v>3445</v>
      </c>
      <c r="AE502" s="137" t="s">
        <v>4004</v>
      </c>
      <c r="AF502" s="138"/>
      <c r="AG502" s="138" t="s">
        <v>56</v>
      </c>
      <c r="AH502" s="138" t="s">
        <v>86</v>
      </c>
      <c r="AI502" s="138"/>
      <c r="AJ502" s="138" t="s">
        <v>56</v>
      </c>
      <c r="AK502" s="138" t="s">
        <v>2284</v>
      </c>
      <c r="AL502" s="138"/>
    </row>
    <row r="503" spans="1:39" s="200" customFormat="1" ht="63" customHeight="1" x14ac:dyDescent="0.25">
      <c r="A503" s="14">
        <v>45916</v>
      </c>
      <c r="B503" s="41" t="s">
        <v>4088</v>
      </c>
      <c r="C503" s="41" t="s">
        <v>4089</v>
      </c>
      <c r="D503" s="41"/>
      <c r="E503" s="42" t="s">
        <v>39</v>
      </c>
      <c r="F503" s="19">
        <v>1</v>
      </c>
      <c r="G503" s="43"/>
      <c r="H503" s="43"/>
      <c r="I503" s="245" t="s">
        <v>4090</v>
      </c>
      <c r="J503" s="45">
        <v>14</v>
      </c>
      <c r="K503" s="46" t="s">
        <v>4091</v>
      </c>
      <c r="L503" s="47" t="s">
        <v>63</v>
      </c>
      <c r="M503" s="47" t="s">
        <v>42</v>
      </c>
      <c r="N503" s="77" t="s">
        <v>4092</v>
      </c>
      <c r="O503" s="49" t="s">
        <v>4093</v>
      </c>
      <c r="P503" s="49" t="s">
        <v>4094</v>
      </c>
      <c r="Q503" s="49" t="s">
        <v>4087</v>
      </c>
      <c r="R503" s="50">
        <v>51</v>
      </c>
      <c r="S503" s="50">
        <v>556</v>
      </c>
      <c r="T503" s="51" t="s">
        <v>47</v>
      </c>
      <c r="U503" s="51">
        <v>8</v>
      </c>
      <c r="V503" s="52">
        <f t="shared" si="16"/>
        <v>112</v>
      </c>
      <c r="W503" s="51" t="s">
        <v>350</v>
      </c>
      <c r="X503" s="198" t="s">
        <v>4095</v>
      </c>
      <c r="Y503" s="199" t="s">
        <v>82</v>
      </c>
      <c r="Z503" s="169"/>
      <c r="AA503" s="170" t="s">
        <v>3827</v>
      </c>
      <c r="AB503" s="243" t="s">
        <v>3828</v>
      </c>
      <c r="AC503" s="172">
        <v>5199.6000000000004</v>
      </c>
      <c r="AE503" s="137" t="s">
        <v>3829</v>
      </c>
      <c r="AF503" s="138"/>
      <c r="AG503" s="138" t="s">
        <v>56</v>
      </c>
      <c r="AH503" s="138" t="s">
        <v>86</v>
      </c>
      <c r="AI503" s="138"/>
      <c r="AJ503" s="138" t="s">
        <v>56</v>
      </c>
      <c r="AK503" s="138" t="s">
        <v>74</v>
      </c>
      <c r="AL503" s="138"/>
    </row>
    <row r="504" spans="1:39" ht="215.25" customHeight="1" x14ac:dyDescent="0.25">
      <c r="A504" s="14">
        <v>45916</v>
      </c>
      <c r="B504" s="41" t="s">
        <v>3956</v>
      </c>
      <c r="C504" s="281" t="s">
        <v>4096</v>
      </c>
      <c r="D504" s="41"/>
      <c r="E504" s="42" t="s">
        <v>39</v>
      </c>
      <c r="F504" s="43"/>
      <c r="G504" s="43"/>
      <c r="H504" s="19">
        <v>2</v>
      </c>
      <c r="I504" s="245" t="s">
        <v>4097</v>
      </c>
      <c r="J504" s="45">
        <v>130</v>
      </c>
      <c r="K504" s="46" t="s">
        <v>4091</v>
      </c>
      <c r="L504" s="47" t="s">
        <v>63</v>
      </c>
      <c r="M504" s="47" t="s">
        <v>55</v>
      </c>
      <c r="N504" s="101" t="s">
        <v>4098</v>
      </c>
      <c r="O504" s="49" t="s">
        <v>4099</v>
      </c>
      <c r="P504" s="49" t="s">
        <v>4100</v>
      </c>
      <c r="Q504" s="49" t="s">
        <v>4101</v>
      </c>
      <c r="R504" s="50">
        <v>10</v>
      </c>
      <c r="S504" s="50">
        <v>21</v>
      </c>
      <c r="T504" s="51" t="s">
        <v>47</v>
      </c>
      <c r="U504" s="51">
        <v>6</v>
      </c>
      <c r="V504" s="75">
        <f t="shared" si="16"/>
        <v>780</v>
      </c>
      <c r="W504" s="51" t="s">
        <v>350</v>
      </c>
      <c r="X504" s="198" t="s">
        <v>4040</v>
      </c>
      <c r="Y504" s="168" t="s">
        <v>50</v>
      </c>
      <c r="Z504" s="269"/>
      <c r="AA504" s="170" t="s">
        <v>3624</v>
      </c>
      <c r="AB504" s="243" t="s">
        <v>2090</v>
      </c>
      <c r="AC504" s="172">
        <v>3295.5</v>
      </c>
      <c r="AE504" s="137" t="s">
        <v>4004</v>
      </c>
      <c r="AF504" s="138"/>
      <c r="AG504" s="138" t="s">
        <v>56</v>
      </c>
      <c r="AH504" s="138" t="s">
        <v>56</v>
      </c>
      <c r="AI504" s="138"/>
      <c r="AJ504" s="138" t="s">
        <v>56</v>
      </c>
      <c r="AK504" s="138" t="s">
        <v>74</v>
      </c>
      <c r="AL504" s="222"/>
    </row>
    <row r="505" spans="1:39" s="200" customFormat="1" ht="135" x14ac:dyDescent="0.25">
      <c r="A505" s="14">
        <v>45916</v>
      </c>
      <c r="B505" s="41" t="s">
        <v>3956</v>
      </c>
      <c r="C505" s="41" t="s">
        <v>4096</v>
      </c>
      <c r="D505" s="41"/>
      <c r="E505" s="42" t="s">
        <v>39</v>
      </c>
      <c r="F505" s="43"/>
      <c r="G505" s="43"/>
      <c r="H505" s="19">
        <v>1</v>
      </c>
      <c r="I505" s="245" t="s">
        <v>4102</v>
      </c>
      <c r="J505" s="45">
        <v>130</v>
      </c>
      <c r="K505" s="46" t="s">
        <v>4091</v>
      </c>
      <c r="L505" s="47" t="s">
        <v>63</v>
      </c>
      <c r="M505" s="47" t="s">
        <v>55</v>
      </c>
      <c r="N505" s="101" t="s">
        <v>4103</v>
      </c>
      <c r="O505" s="49"/>
      <c r="P505" s="49" t="s">
        <v>4101</v>
      </c>
      <c r="Q505" s="49" t="s">
        <v>4080</v>
      </c>
      <c r="R505" s="50">
        <v>2</v>
      </c>
      <c r="S505" s="50">
        <v>4</v>
      </c>
      <c r="T505" s="51" t="s">
        <v>96</v>
      </c>
      <c r="U505" s="51">
        <v>11</v>
      </c>
      <c r="V505" s="75">
        <f t="shared" si="16"/>
        <v>1430</v>
      </c>
      <c r="W505" s="51" t="s">
        <v>350</v>
      </c>
      <c r="X505" s="198" t="s">
        <v>4040</v>
      </c>
      <c r="Y505" s="199" t="s">
        <v>50</v>
      </c>
      <c r="Z505" s="269"/>
      <c r="AA505" s="170" t="s">
        <v>3624</v>
      </c>
      <c r="AB505" s="243" t="s">
        <v>2090</v>
      </c>
      <c r="AC505" s="309">
        <v>7967.5</v>
      </c>
      <c r="AE505" s="137" t="s">
        <v>4004</v>
      </c>
      <c r="AF505" s="138"/>
      <c r="AG505" s="138" t="s">
        <v>56</v>
      </c>
      <c r="AH505" s="138" t="s">
        <v>56</v>
      </c>
      <c r="AI505" s="138"/>
      <c r="AJ505" s="138" t="s">
        <v>56</v>
      </c>
      <c r="AK505" s="138" t="s">
        <v>74</v>
      </c>
      <c r="AL505" s="222"/>
    </row>
    <row r="506" spans="1:39" s="200" customFormat="1" ht="215.25" customHeight="1" x14ac:dyDescent="0.25">
      <c r="A506" s="14">
        <v>45916</v>
      </c>
      <c r="B506" s="41" t="s">
        <v>4104</v>
      </c>
      <c r="C506" s="41" t="s">
        <v>4105</v>
      </c>
      <c r="D506" s="41" t="s">
        <v>4106</v>
      </c>
      <c r="E506" s="42" t="s">
        <v>39</v>
      </c>
      <c r="F506" s="43"/>
      <c r="G506" s="43"/>
      <c r="H506" s="19">
        <v>1</v>
      </c>
      <c r="I506" s="245" t="s">
        <v>4107</v>
      </c>
      <c r="J506" s="45">
        <v>192</v>
      </c>
      <c r="K506" s="46" t="s">
        <v>4091</v>
      </c>
      <c r="L506" s="47" t="s">
        <v>63</v>
      </c>
      <c r="M506" s="73" t="s">
        <v>42</v>
      </c>
      <c r="N506" s="77" t="s">
        <v>4108</v>
      </c>
      <c r="O506" s="49"/>
      <c r="P506" s="49" t="s">
        <v>4081</v>
      </c>
      <c r="Q506" s="49" t="s">
        <v>4109</v>
      </c>
      <c r="R506" s="50">
        <v>33</v>
      </c>
      <c r="S506" s="50">
        <v>167</v>
      </c>
      <c r="T506" s="51" t="s">
        <v>96</v>
      </c>
      <c r="U506" s="51">
        <v>5</v>
      </c>
      <c r="V506" s="75">
        <f t="shared" si="16"/>
        <v>960</v>
      </c>
      <c r="W506" s="51" t="s">
        <v>350</v>
      </c>
      <c r="X506" s="202" t="s">
        <v>1982</v>
      </c>
      <c r="Y506" s="199" t="s">
        <v>82</v>
      </c>
      <c r="Z506" s="169" t="s">
        <v>3703</v>
      </c>
      <c r="AA506" s="170" t="s">
        <v>3704</v>
      </c>
      <c r="AB506" s="243" t="s">
        <v>3705</v>
      </c>
      <c r="AC506" s="35">
        <f>11796*J506/200</f>
        <v>11324.16</v>
      </c>
      <c r="AE506" s="137" t="s">
        <v>3829</v>
      </c>
      <c r="AF506" s="138"/>
      <c r="AG506" s="138" t="s">
        <v>56</v>
      </c>
      <c r="AH506" s="138" t="s">
        <v>56</v>
      </c>
      <c r="AI506" s="138"/>
      <c r="AJ506" s="138" t="s">
        <v>56</v>
      </c>
      <c r="AK506" s="138" t="s">
        <v>74</v>
      </c>
      <c r="AL506" s="222"/>
      <c r="AM506"/>
    </row>
    <row r="507" spans="1:39" ht="63.75" customHeight="1" x14ac:dyDescent="0.25">
      <c r="A507" s="14">
        <v>45916</v>
      </c>
      <c r="B507" s="41" t="s">
        <v>4110</v>
      </c>
      <c r="C507" s="41" t="s">
        <v>4111</v>
      </c>
      <c r="D507" s="41" t="s">
        <v>4112</v>
      </c>
      <c r="E507" s="319" t="s">
        <v>39</v>
      </c>
      <c r="F507" s="43"/>
      <c r="G507" s="43"/>
      <c r="H507" s="19">
        <v>1</v>
      </c>
      <c r="I507" s="245" t="s">
        <v>4113</v>
      </c>
      <c r="J507" s="45">
        <v>3</v>
      </c>
      <c r="K507" s="46" t="s">
        <v>4114</v>
      </c>
      <c r="L507" s="47" t="s">
        <v>63</v>
      </c>
      <c r="M507" s="47" t="s">
        <v>42</v>
      </c>
      <c r="N507" s="250" t="s">
        <v>4115</v>
      </c>
      <c r="O507" s="49" t="s">
        <v>4116</v>
      </c>
      <c r="P507" s="49" t="s">
        <v>4117</v>
      </c>
      <c r="Q507" s="49" t="s">
        <v>4118</v>
      </c>
      <c r="R507" s="50">
        <v>106</v>
      </c>
      <c r="S507" s="50">
        <v>608</v>
      </c>
      <c r="T507" s="51" t="s">
        <v>141</v>
      </c>
      <c r="U507" s="51">
        <v>38</v>
      </c>
      <c r="V507" s="52">
        <f t="shared" si="16"/>
        <v>114</v>
      </c>
      <c r="W507" s="51" t="s">
        <v>3973</v>
      </c>
      <c r="X507" s="198" t="s">
        <v>511</v>
      </c>
      <c r="Y507" s="168" t="s">
        <v>144</v>
      </c>
      <c r="Z507" s="169"/>
      <c r="AA507" s="170" t="s">
        <v>4119</v>
      </c>
      <c r="AB507" s="243" t="s">
        <v>4120</v>
      </c>
      <c r="AC507" s="35">
        <v>4691.25</v>
      </c>
      <c r="AE507" s="137" t="s">
        <v>4004</v>
      </c>
      <c r="AF507" s="138" t="s">
        <v>354</v>
      </c>
      <c r="AG507" s="138" t="s">
        <v>56</v>
      </c>
      <c r="AH507" s="138" t="s">
        <v>56</v>
      </c>
      <c r="AI507" s="138"/>
      <c r="AJ507" s="138" t="s">
        <v>56</v>
      </c>
      <c r="AK507" s="138" t="s">
        <v>74</v>
      </c>
      <c r="AL507" s="222"/>
    </row>
    <row r="508" spans="1:39" ht="105" x14ac:dyDescent="0.25">
      <c r="A508" s="14">
        <v>45915</v>
      </c>
      <c r="B508" s="41" t="s">
        <v>4121</v>
      </c>
      <c r="C508" s="41" t="s">
        <v>4122</v>
      </c>
      <c r="D508" s="41" t="s">
        <v>4123</v>
      </c>
      <c r="E508" s="42" t="s">
        <v>39</v>
      </c>
      <c r="F508" s="19">
        <v>1</v>
      </c>
      <c r="G508" s="43"/>
      <c r="H508" s="43"/>
      <c r="I508" s="245" t="s">
        <v>4124</v>
      </c>
      <c r="J508" s="45">
        <v>130</v>
      </c>
      <c r="K508" s="46" t="s">
        <v>4125</v>
      </c>
      <c r="L508" s="47" t="s">
        <v>63</v>
      </c>
      <c r="M508" s="47" t="s">
        <v>55</v>
      </c>
      <c r="N508" s="77" t="s">
        <v>4126</v>
      </c>
      <c r="O508" s="49" t="s">
        <v>4127</v>
      </c>
      <c r="P508" s="49" t="s">
        <v>4128</v>
      </c>
      <c r="Q508" s="49" t="s">
        <v>4129</v>
      </c>
      <c r="R508" s="50">
        <v>85</v>
      </c>
      <c r="S508" s="50">
        <v>207</v>
      </c>
      <c r="T508" s="51" t="s">
        <v>180</v>
      </c>
      <c r="U508" s="51">
        <v>6</v>
      </c>
      <c r="V508" s="75">
        <f t="shared" si="16"/>
        <v>780</v>
      </c>
      <c r="W508" s="51" t="s">
        <v>350</v>
      </c>
      <c r="X508" s="198" t="s">
        <v>4040</v>
      </c>
      <c r="Y508" s="168" t="s">
        <v>50</v>
      </c>
      <c r="Z508" s="169"/>
      <c r="AA508" s="170" t="s">
        <v>3809</v>
      </c>
      <c r="AB508" s="243" t="s">
        <v>2664</v>
      </c>
      <c r="AC508" s="309">
        <f>8368.1 * J508/130</f>
        <v>8368.1</v>
      </c>
      <c r="AE508" s="137" t="s">
        <v>4004</v>
      </c>
      <c r="AF508" s="138"/>
      <c r="AG508" s="138" t="s">
        <v>56</v>
      </c>
      <c r="AH508" s="138" t="s">
        <v>56</v>
      </c>
      <c r="AI508" s="138"/>
      <c r="AJ508" s="138" t="s">
        <v>56</v>
      </c>
      <c r="AK508" s="138" t="s">
        <v>74</v>
      </c>
      <c r="AL508" s="222"/>
    </row>
    <row r="509" spans="1:39" s="200" customFormat="1" ht="36" customHeight="1" x14ac:dyDescent="0.25">
      <c r="A509" s="14">
        <v>45915</v>
      </c>
      <c r="B509" s="41" t="s">
        <v>3730</v>
      </c>
      <c r="C509" s="41" t="s">
        <v>4130</v>
      </c>
      <c r="D509" s="41"/>
      <c r="E509" s="42" t="s">
        <v>39</v>
      </c>
      <c r="F509" s="43"/>
      <c r="G509" s="43"/>
      <c r="H509" s="19">
        <v>1</v>
      </c>
      <c r="I509" s="245" t="s">
        <v>4131</v>
      </c>
      <c r="J509" s="45">
        <v>254</v>
      </c>
      <c r="K509" s="46" t="s">
        <v>9913</v>
      </c>
      <c r="L509" s="47" t="s">
        <v>63</v>
      </c>
      <c r="M509" s="47" t="s">
        <v>55</v>
      </c>
      <c r="N509" s="77" t="s">
        <v>4132</v>
      </c>
      <c r="O509" s="49"/>
      <c r="P509" s="49" t="s">
        <v>4133</v>
      </c>
      <c r="Q509" s="49" t="s">
        <v>4134</v>
      </c>
      <c r="R509" s="50">
        <v>8</v>
      </c>
      <c r="S509" s="50">
        <v>23</v>
      </c>
      <c r="T509" s="51" t="s">
        <v>96</v>
      </c>
      <c r="U509" s="51">
        <v>1</v>
      </c>
      <c r="V509" s="52">
        <f t="shared" si="16"/>
        <v>254</v>
      </c>
      <c r="W509" s="51" t="s">
        <v>221</v>
      </c>
      <c r="X509" s="198" t="s">
        <v>4135</v>
      </c>
      <c r="Y509" s="199" t="s">
        <v>144</v>
      </c>
      <c r="Z509" s="269"/>
      <c r="AA509" s="170" t="s">
        <v>4136</v>
      </c>
      <c r="AB509" s="243" t="s">
        <v>4137</v>
      </c>
      <c r="AC509" s="172">
        <v>4252.18</v>
      </c>
      <c r="AE509" s="137" t="s">
        <v>3829</v>
      </c>
      <c r="AF509" s="138" t="s">
        <v>354</v>
      </c>
      <c r="AG509" s="138" t="s">
        <v>56</v>
      </c>
      <c r="AH509" s="138" t="s">
        <v>56</v>
      </c>
      <c r="AI509" s="138"/>
      <c r="AJ509" s="138"/>
      <c r="AK509" s="138"/>
      <c r="AL509" s="138"/>
    </row>
    <row r="510" spans="1:39" s="200" customFormat="1" ht="66" customHeight="1" x14ac:dyDescent="0.25">
      <c r="A510" s="14">
        <v>45915</v>
      </c>
      <c r="B510" s="41" t="s">
        <v>3730</v>
      </c>
      <c r="C510" s="41" t="s">
        <v>4138</v>
      </c>
      <c r="D510" s="41" t="s">
        <v>4139</v>
      </c>
      <c r="E510" s="42" t="s">
        <v>39</v>
      </c>
      <c r="F510" s="43"/>
      <c r="G510" s="43"/>
      <c r="H510" s="19">
        <v>1</v>
      </c>
      <c r="I510" s="245" t="s">
        <v>4140</v>
      </c>
      <c r="J510" s="45">
        <v>145</v>
      </c>
      <c r="K510" s="46" t="s">
        <v>9913</v>
      </c>
      <c r="L510" s="47" t="s">
        <v>63</v>
      </c>
      <c r="M510" s="47" t="s">
        <v>55</v>
      </c>
      <c r="N510" s="77" t="s">
        <v>4141</v>
      </c>
      <c r="O510" s="49" t="s">
        <v>4142</v>
      </c>
      <c r="P510" s="49" t="s">
        <v>4143</v>
      </c>
      <c r="Q510" s="49" t="s">
        <v>4101</v>
      </c>
      <c r="R510" s="50">
        <v>64</v>
      </c>
      <c r="S510" s="50">
        <v>163</v>
      </c>
      <c r="T510" s="51" t="s">
        <v>47</v>
      </c>
      <c r="U510" s="51">
        <v>18</v>
      </c>
      <c r="V510" s="75">
        <f t="shared" si="16"/>
        <v>2610</v>
      </c>
      <c r="W510" s="51" t="s">
        <v>4144</v>
      </c>
      <c r="X510" s="198" t="s">
        <v>4145</v>
      </c>
      <c r="Y510" s="199" t="s">
        <v>82</v>
      </c>
      <c r="Z510" s="269"/>
      <c r="AA510" s="170" t="s">
        <v>4146</v>
      </c>
      <c r="AB510" s="243" t="s">
        <v>4137</v>
      </c>
      <c r="AC510" s="172">
        <v>12409.1</v>
      </c>
      <c r="AE510" s="137" t="s">
        <v>4004</v>
      </c>
      <c r="AF510" s="138" t="s">
        <v>354</v>
      </c>
      <c r="AG510" s="138" t="s">
        <v>56</v>
      </c>
      <c r="AH510" s="138" t="s">
        <v>626</v>
      </c>
      <c r="AI510" s="138"/>
      <c r="AJ510" s="138" t="s">
        <v>56</v>
      </c>
      <c r="AK510" s="138" t="s">
        <v>74</v>
      </c>
      <c r="AL510" s="138"/>
    </row>
    <row r="511" spans="1:39" s="200" customFormat="1" ht="282" customHeight="1" x14ac:dyDescent="0.25">
      <c r="A511" s="14">
        <v>45912</v>
      </c>
      <c r="B511" s="41" t="s">
        <v>4147</v>
      </c>
      <c r="C511" s="41" t="s">
        <v>4148</v>
      </c>
      <c r="D511" s="41" t="s">
        <v>4149</v>
      </c>
      <c r="E511" s="42" t="s">
        <v>39</v>
      </c>
      <c r="F511" s="19">
        <v>1</v>
      </c>
      <c r="G511" s="43"/>
      <c r="H511" s="43"/>
      <c r="I511" s="245" t="s">
        <v>4150</v>
      </c>
      <c r="J511" s="45">
        <v>2</v>
      </c>
      <c r="K511" s="46" t="s">
        <v>10005</v>
      </c>
      <c r="L511" s="47" t="s">
        <v>63</v>
      </c>
      <c r="M511" s="47" t="s">
        <v>42</v>
      </c>
      <c r="N511" s="77" t="s">
        <v>4151</v>
      </c>
      <c r="O511" s="49" t="s">
        <v>4109</v>
      </c>
      <c r="P511" s="49" t="s">
        <v>4152</v>
      </c>
      <c r="Q511" s="49" t="s">
        <v>4153</v>
      </c>
      <c r="R511" s="50">
        <v>70</v>
      </c>
      <c r="S511" s="50">
        <v>239</v>
      </c>
      <c r="T511" s="51" t="s">
        <v>47</v>
      </c>
      <c r="U511" s="51">
        <v>12</v>
      </c>
      <c r="V511" s="52">
        <f t="shared" si="16"/>
        <v>24</v>
      </c>
      <c r="W511" s="51" t="s">
        <v>68</v>
      </c>
      <c r="X511" s="258" t="s">
        <v>232</v>
      </c>
      <c r="Y511" s="199" t="s">
        <v>50</v>
      </c>
      <c r="Z511" s="169"/>
      <c r="AA511" s="170" t="s">
        <v>2663</v>
      </c>
      <c r="AB511" s="243" t="s">
        <v>4041</v>
      </c>
      <c r="AC511" s="172">
        <v>5398.6</v>
      </c>
      <c r="AE511" s="137" t="s">
        <v>4004</v>
      </c>
      <c r="AF511" s="138"/>
      <c r="AG511" s="138" t="s">
        <v>56</v>
      </c>
      <c r="AH511" s="138" t="s">
        <v>56</v>
      </c>
      <c r="AI511" s="138"/>
      <c r="AJ511" s="138" t="s">
        <v>56</v>
      </c>
      <c r="AK511" s="138" t="s">
        <v>4154</v>
      </c>
      <c r="AL511" s="138"/>
    </row>
    <row r="512" spans="1:39" s="200" customFormat="1" ht="90" x14ac:dyDescent="0.25">
      <c r="A512" s="14">
        <v>45912</v>
      </c>
      <c r="B512" s="41" t="s">
        <v>4155</v>
      </c>
      <c r="C512" s="41" t="s">
        <v>4156</v>
      </c>
      <c r="D512" s="41"/>
      <c r="E512" s="42" t="s">
        <v>39</v>
      </c>
      <c r="F512" s="43"/>
      <c r="G512" s="43"/>
      <c r="H512" s="19">
        <v>1</v>
      </c>
      <c r="I512" s="245" t="s">
        <v>4157</v>
      </c>
      <c r="J512" s="45">
        <v>6</v>
      </c>
      <c r="K512" s="46" t="s">
        <v>4091</v>
      </c>
      <c r="L512" s="47" t="s">
        <v>63</v>
      </c>
      <c r="M512" s="127" t="s">
        <v>42</v>
      </c>
      <c r="N512" s="77" t="s">
        <v>4158</v>
      </c>
      <c r="O512" s="49"/>
      <c r="P512" s="49" t="s">
        <v>4159</v>
      </c>
      <c r="Q512" s="49" t="s">
        <v>4160</v>
      </c>
      <c r="R512" s="50">
        <v>75</v>
      </c>
      <c r="S512" s="50">
        <v>517</v>
      </c>
      <c r="T512" s="51" t="s">
        <v>67</v>
      </c>
      <c r="U512" s="51">
        <v>57</v>
      </c>
      <c r="V512" s="52">
        <f t="shared" si="16"/>
        <v>342</v>
      </c>
      <c r="W512" s="51" t="s">
        <v>221</v>
      </c>
      <c r="X512" s="198" t="s">
        <v>1046</v>
      </c>
      <c r="Y512" s="199" t="s">
        <v>70</v>
      </c>
      <c r="Z512" s="169"/>
      <c r="AA512" s="170" t="s">
        <v>3704</v>
      </c>
      <c r="AB512" s="243" t="s">
        <v>4161</v>
      </c>
      <c r="AC512" s="172">
        <v>3949.2</v>
      </c>
      <c r="AE512" s="137" t="s">
        <v>3829</v>
      </c>
      <c r="AF512" s="138"/>
      <c r="AG512" s="138" t="s">
        <v>56</v>
      </c>
      <c r="AH512" s="138" t="s">
        <v>56</v>
      </c>
      <c r="AI512" s="138"/>
      <c r="AJ512" s="255" t="s">
        <v>4162</v>
      </c>
      <c r="AK512" s="255" t="s">
        <v>4162</v>
      </c>
      <c r="AL512" s="138"/>
    </row>
    <row r="513" spans="1:38" s="200" customFormat="1" ht="90" x14ac:dyDescent="0.25">
      <c r="A513" s="14">
        <v>45912</v>
      </c>
      <c r="B513" s="41" t="s">
        <v>3986</v>
      </c>
      <c r="C513" s="41" t="s">
        <v>4163</v>
      </c>
      <c r="D513" s="41" t="s">
        <v>4164</v>
      </c>
      <c r="E513" s="42" t="s">
        <v>39</v>
      </c>
      <c r="F513" s="19">
        <v>1</v>
      </c>
      <c r="G513" s="43"/>
      <c r="H513" s="43"/>
      <c r="I513" s="245" t="s">
        <v>4165</v>
      </c>
      <c r="J513" s="45">
        <v>20</v>
      </c>
      <c r="K513" s="46" t="s">
        <v>9914</v>
      </c>
      <c r="L513" s="47" t="s">
        <v>63</v>
      </c>
      <c r="M513" s="47" t="s">
        <v>55</v>
      </c>
      <c r="N513" s="77" t="s">
        <v>4166</v>
      </c>
      <c r="O513" s="49" t="s">
        <v>4167</v>
      </c>
      <c r="P513" s="49" t="s">
        <v>4168</v>
      </c>
      <c r="Q513" s="49" t="s">
        <v>4134</v>
      </c>
      <c r="R513" s="50">
        <v>36</v>
      </c>
      <c r="S513" s="50">
        <v>680</v>
      </c>
      <c r="T513" s="51" t="s">
        <v>549</v>
      </c>
      <c r="U513" s="51">
        <v>1</v>
      </c>
      <c r="V513" s="52">
        <f t="shared" si="16"/>
        <v>20</v>
      </c>
      <c r="W513" s="51" t="s">
        <v>142</v>
      </c>
      <c r="X513" s="198" t="s">
        <v>4169</v>
      </c>
      <c r="Y513" s="199" t="s">
        <v>82</v>
      </c>
      <c r="Z513" s="269"/>
      <c r="AA513" s="170" t="s">
        <v>3809</v>
      </c>
      <c r="AB513" s="243" t="s">
        <v>3994</v>
      </c>
      <c r="AC513" s="172">
        <v>5530.4</v>
      </c>
      <c r="AE513" s="137" t="s">
        <v>3829</v>
      </c>
      <c r="AF513" s="138"/>
      <c r="AG513" s="138" t="s">
        <v>56</v>
      </c>
      <c r="AH513" s="138" t="s">
        <v>56</v>
      </c>
      <c r="AI513" s="138"/>
      <c r="AJ513" s="138"/>
      <c r="AK513" s="138"/>
      <c r="AL513" s="138"/>
    </row>
    <row r="514" spans="1:38" s="200" customFormat="1" ht="135" x14ac:dyDescent="0.25">
      <c r="A514" s="14">
        <v>45912</v>
      </c>
      <c r="B514" s="41" t="s">
        <v>4170</v>
      </c>
      <c r="C514" s="41" t="s">
        <v>4171</v>
      </c>
      <c r="D514" s="41"/>
      <c r="E514" s="42" t="s">
        <v>39</v>
      </c>
      <c r="F514" s="19">
        <v>1</v>
      </c>
      <c r="G514" s="43"/>
      <c r="H514" s="43"/>
      <c r="I514" s="245" t="s">
        <v>4172</v>
      </c>
      <c r="J514" s="45">
        <v>9</v>
      </c>
      <c r="K514" s="46" t="s">
        <v>4181</v>
      </c>
      <c r="L514" s="47" t="s">
        <v>63</v>
      </c>
      <c r="M514" s="47" t="s">
        <v>42</v>
      </c>
      <c r="N514" s="77" t="s">
        <v>4173</v>
      </c>
      <c r="O514" s="49" t="s">
        <v>4174</v>
      </c>
      <c r="P514" s="49" t="s">
        <v>4109</v>
      </c>
      <c r="Q514" s="49" t="s">
        <v>4175</v>
      </c>
      <c r="R514" s="50">
        <v>15</v>
      </c>
      <c r="S514" s="50">
        <v>27</v>
      </c>
      <c r="T514" s="51" t="s">
        <v>47</v>
      </c>
      <c r="U514" s="51">
        <v>3</v>
      </c>
      <c r="V514" s="52">
        <f t="shared" si="16"/>
        <v>27</v>
      </c>
      <c r="W514" s="51" t="s">
        <v>4176</v>
      </c>
      <c r="X514" s="258" t="s">
        <v>232</v>
      </c>
      <c r="Y514" s="199" t="s">
        <v>50</v>
      </c>
      <c r="Z514" s="169"/>
      <c r="AA514" s="170" t="s">
        <v>2663</v>
      </c>
      <c r="AB514" s="243" t="s">
        <v>4041</v>
      </c>
      <c r="AC514" s="172">
        <v>2112.75</v>
      </c>
      <c r="AE514" s="137" t="s">
        <v>4004</v>
      </c>
      <c r="AF514" s="138"/>
      <c r="AG514" s="138" t="s">
        <v>56</v>
      </c>
      <c r="AH514" s="138" t="s">
        <v>56</v>
      </c>
      <c r="AI514" s="138"/>
      <c r="AJ514" s="138" t="s">
        <v>56</v>
      </c>
      <c r="AK514" s="138" t="s">
        <v>74</v>
      </c>
      <c r="AL514" s="138"/>
    </row>
    <row r="515" spans="1:38" ht="167.25" customHeight="1" x14ac:dyDescent="0.25">
      <c r="A515" s="14">
        <v>45912</v>
      </c>
      <c r="B515" s="82" t="s">
        <v>4177</v>
      </c>
      <c r="C515" s="82" t="s">
        <v>4178</v>
      </c>
      <c r="D515" s="82" t="s">
        <v>4179</v>
      </c>
      <c r="E515" s="51" t="s">
        <v>39</v>
      </c>
      <c r="F515" s="19">
        <v>1</v>
      </c>
      <c r="G515" s="108"/>
      <c r="H515" s="108"/>
      <c r="I515" s="245" t="s">
        <v>4180</v>
      </c>
      <c r="J515" s="110">
        <v>40</v>
      </c>
      <c r="K515" s="111" t="s">
        <v>4181</v>
      </c>
      <c r="L515" s="47" t="s">
        <v>63</v>
      </c>
      <c r="M515" s="47" t="s">
        <v>42</v>
      </c>
      <c r="N515" s="77" t="s">
        <v>4182</v>
      </c>
      <c r="O515" s="49" t="s">
        <v>4168</v>
      </c>
      <c r="P515" s="49" t="s">
        <v>4100</v>
      </c>
      <c r="Q515" s="49" t="s">
        <v>4183</v>
      </c>
      <c r="R515" s="50">
        <v>41</v>
      </c>
      <c r="S515" s="50">
        <v>85</v>
      </c>
      <c r="T515" s="51" t="s">
        <v>47</v>
      </c>
      <c r="U515" s="51">
        <v>30</v>
      </c>
      <c r="V515" s="75">
        <f t="shared" si="16"/>
        <v>1200</v>
      </c>
      <c r="W515" s="51" t="s">
        <v>4184</v>
      </c>
      <c r="X515" s="202" t="s">
        <v>538</v>
      </c>
      <c r="Y515" s="168" t="s">
        <v>3963</v>
      </c>
      <c r="Z515" s="169" t="s">
        <v>4185</v>
      </c>
      <c r="AA515" s="170" t="s">
        <v>3974</v>
      </c>
      <c r="AB515" s="243" t="s">
        <v>4186</v>
      </c>
      <c r="AC515" s="82">
        <f>5601</f>
        <v>5601</v>
      </c>
      <c r="AE515" s="137" t="s">
        <v>4187</v>
      </c>
      <c r="AF515" s="138"/>
      <c r="AG515" s="138" t="s">
        <v>56</v>
      </c>
      <c r="AH515" s="137" t="s">
        <v>4188</v>
      </c>
      <c r="AI515" s="138"/>
      <c r="AJ515" s="138" t="s">
        <v>56</v>
      </c>
      <c r="AK515" s="138" t="s">
        <v>4189</v>
      </c>
      <c r="AL515" s="222"/>
    </row>
    <row r="516" spans="1:38" ht="288.75" x14ac:dyDescent="0.25">
      <c r="A516" s="14">
        <v>45912</v>
      </c>
      <c r="B516" s="41" t="s">
        <v>4121</v>
      </c>
      <c r="C516" s="41" t="s">
        <v>4190</v>
      </c>
      <c r="D516" s="41"/>
      <c r="E516" s="42" t="s">
        <v>39</v>
      </c>
      <c r="F516" s="43"/>
      <c r="G516" s="43"/>
      <c r="H516" s="19">
        <v>2</v>
      </c>
      <c r="I516" s="245" t="s">
        <v>4191</v>
      </c>
      <c r="J516" s="45">
        <v>130</v>
      </c>
      <c r="K516" s="46" t="s">
        <v>9915</v>
      </c>
      <c r="L516" s="47" t="s">
        <v>63</v>
      </c>
      <c r="M516" s="47" t="s">
        <v>42</v>
      </c>
      <c r="N516" s="101" t="s">
        <v>4192</v>
      </c>
      <c r="O516" s="49"/>
      <c r="P516" s="49" t="s">
        <v>4193</v>
      </c>
      <c r="Q516" s="49" t="s">
        <v>4194</v>
      </c>
      <c r="R516" s="50">
        <v>7</v>
      </c>
      <c r="S516" s="50">
        <v>8</v>
      </c>
      <c r="T516" s="51" t="s">
        <v>96</v>
      </c>
      <c r="U516" s="51">
        <v>12</v>
      </c>
      <c r="V516" s="75">
        <f t="shared" si="16"/>
        <v>1560</v>
      </c>
      <c r="W516" s="51" t="s">
        <v>350</v>
      </c>
      <c r="X516" s="198" t="s">
        <v>4040</v>
      </c>
      <c r="Y516" s="199" t="s">
        <v>50</v>
      </c>
      <c r="Z516" s="269"/>
      <c r="AA516" s="170" t="s">
        <v>4052</v>
      </c>
      <c r="AB516" s="243" t="s">
        <v>2664</v>
      </c>
      <c r="AC516" s="35">
        <v>3458</v>
      </c>
      <c r="AE516" s="137" t="s">
        <v>4004</v>
      </c>
      <c r="AF516" s="138"/>
      <c r="AG516" s="138" t="s">
        <v>56</v>
      </c>
      <c r="AH516" s="138" t="s">
        <v>56</v>
      </c>
      <c r="AI516" s="138"/>
      <c r="AJ516" s="138" t="s">
        <v>56</v>
      </c>
      <c r="AK516" s="138" t="s">
        <v>74</v>
      </c>
      <c r="AL516" s="138"/>
    </row>
    <row r="517" spans="1:38" s="200" customFormat="1" ht="54.75" customHeight="1" x14ac:dyDescent="0.25">
      <c r="A517" s="14">
        <v>45911</v>
      </c>
      <c r="B517" s="41" t="s">
        <v>4195</v>
      </c>
      <c r="C517" s="41" t="s">
        <v>4196</v>
      </c>
      <c r="D517" s="41" t="s">
        <v>4197</v>
      </c>
      <c r="E517" s="42" t="s">
        <v>39</v>
      </c>
      <c r="F517" s="19">
        <v>1</v>
      </c>
      <c r="G517" s="43"/>
      <c r="H517" s="43"/>
      <c r="I517" s="245" t="s">
        <v>4198</v>
      </c>
      <c r="J517" s="45">
        <v>200</v>
      </c>
      <c r="K517" s="46" t="s">
        <v>9916</v>
      </c>
      <c r="L517" s="47" t="s">
        <v>63</v>
      </c>
      <c r="M517" s="47" t="s">
        <v>42</v>
      </c>
      <c r="N517" s="77" t="s">
        <v>518</v>
      </c>
      <c r="O517" s="49" t="s">
        <v>4199</v>
      </c>
      <c r="P517" s="49" t="s">
        <v>4200</v>
      </c>
      <c r="Q517" s="49" t="s">
        <v>4201</v>
      </c>
      <c r="R517" s="50">
        <v>6</v>
      </c>
      <c r="S517" s="50">
        <v>10</v>
      </c>
      <c r="T517" s="51" t="s">
        <v>47</v>
      </c>
      <c r="U517" s="51">
        <v>1</v>
      </c>
      <c r="V517" s="52">
        <f t="shared" si="16"/>
        <v>200</v>
      </c>
      <c r="W517" s="51" t="s">
        <v>350</v>
      </c>
      <c r="X517" s="198" t="s">
        <v>4202</v>
      </c>
      <c r="Y517" s="199" t="s">
        <v>50</v>
      </c>
      <c r="Z517" s="169"/>
      <c r="AA517" s="170" t="s">
        <v>4061</v>
      </c>
      <c r="AB517" s="243" t="s">
        <v>3828</v>
      </c>
      <c r="AC517" s="172">
        <v>3720</v>
      </c>
      <c r="AE517" s="137" t="s">
        <v>4203</v>
      </c>
      <c r="AF517" s="138"/>
      <c r="AG517" s="138" t="s">
        <v>56</v>
      </c>
      <c r="AH517" s="138" t="s">
        <v>56</v>
      </c>
      <c r="AI517" s="138"/>
      <c r="AJ517" s="138"/>
      <c r="AK517" s="138"/>
      <c r="AL517" s="138"/>
    </row>
    <row r="518" spans="1:38" s="200" customFormat="1" ht="35.25" customHeight="1" x14ac:dyDescent="0.25">
      <c r="A518" s="14">
        <v>45910</v>
      </c>
      <c r="B518" s="41" t="s">
        <v>4204</v>
      </c>
      <c r="C518" s="41" t="s">
        <v>4205</v>
      </c>
      <c r="D518" s="41" t="s">
        <v>4206</v>
      </c>
      <c r="E518" s="42" t="s">
        <v>39</v>
      </c>
      <c r="F518" s="19">
        <v>1</v>
      </c>
      <c r="G518" s="43"/>
      <c r="H518" s="43"/>
      <c r="I518" s="245" t="s">
        <v>4207</v>
      </c>
      <c r="J518" s="45">
        <v>121</v>
      </c>
      <c r="K518" s="46" t="s">
        <v>9917</v>
      </c>
      <c r="L518" s="47" t="s">
        <v>63</v>
      </c>
      <c r="M518" s="47" t="s">
        <v>42</v>
      </c>
      <c r="N518" s="77" t="s">
        <v>868</v>
      </c>
      <c r="O518" s="49" t="s">
        <v>4099</v>
      </c>
      <c r="P518" s="49" t="s">
        <v>4142</v>
      </c>
      <c r="Q518" s="49" t="s">
        <v>4143</v>
      </c>
      <c r="R518" s="50">
        <v>35</v>
      </c>
      <c r="S518" s="50">
        <v>64</v>
      </c>
      <c r="T518" s="51" t="s">
        <v>47</v>
      </c>
      <c r="U518" s="51">
        <v>2</v>
      </c>
      <c r="V518" s="52">
        <f t="shared" si="16"/>
        <v>242</v>
      </c>
      <c r="W518" s="51" t="s">
        <v>350</v>
      </c>
      <c r="X518" s="198" t="s">
        <v>69</v>
      </c>
      <c r="Y518" s="199" t="s">
        <v>70</v>
      </c>
      <c r="Z518" s="169"/>
      <c r="AA518" s="170" t="s">
        <v>3827</v>
      </c>
      <c r="AB518" s="243" t="s">
        <v>3828</v>
      </c>
      <c r="AC518" s="172">
        <v>3281.32</v>
      </c>
      <c r="AE518" s="137" t="s">
        <v>4203</v>
      </c>
      <c r="AF518" s="138" t="s">
        <v>354</v>
      </c>
      <c r="AG518" s="138" t="s">
        <v>56</v>
      </c>
      <c r="AH518" s="138" t="s">
        <v>56</v>
      </c>
      <c r="AI518" s="138"/>
      <c r="AJ518" s="138"/>
      <c r="AK518" s="138"/>
      <c r="AL518" s="138"/>
    </row>
    <row r="519" spans="1:38" s="200" customFormat="1" ht="48" customHeight="1" x14ac:dyDescent="0.25">
      <c r="A519" s="14">
        <v>45909</v>
      </c>
      <c r="B519" s="326" t="s">
        <v>4208</v>
      </c>
      <c r="C519" s="204" t="s">
        <v>4209</v>
      </c>
      <c r="D519" s="326" t="s">
        <v>4210</v>
      </c>
      <c r="E519" s="205" t="s">
        <v>39</v>
      </c>
      <c r="F519" s="143"/>
      <c r="G519" s="143"/>
      <c r="H519" s="206">
        <v>1</v>
      </c>
      <c r="I519" s="312" t="s">
        <v>4211</v>
      </c>
      <c r="J519" s="207">
        <v>1</v>
      </c>
      <c r="K519" s="248" t="s">
        <v>4212</v>
      </c>
      <c r="L519" s="208" t="s">
        <v>63</v>
      </c>
      <c r="M519" s="208" t="s">
        <v>42</v>
      </c>
      <c r="N519" s="250" t="s">
        <v>4213</v>
      </c>
      <c r="O519" s="210" t="s">
        <v>4214</v>
      </c>
      <c r="P519" s="210" t="s">
        <v>4215</v>
      </c>
      <c r="Q519" s="210" t="s">
        <v>4216</v>
      </c>
      <c r="R519" s="267">
        <v>172</v>
      </c>
      <c r="S519" s="267">
        <v>1108</v>
      </c>
      <c r="T519" s="212" t="s">
        <v>2482</v>
      </c>
      <c r="U519" s="212">
        <v>22</v>
      </c>
      <c r="V519" s="213">
        <f t="shared" si="16"/>
        <v>22</v>
      </c>
      <c r="W519" s="212" t="s">
        <v>350</v>
      </c>
      <c r="X519" s="327" t="s">
        <v>210</v>
      </c>
      <c r="Y519" s="199" t="s">
        <v>50</v>
      </c>
      <c r="Z519" s="169"/>
      <c r="AA519" s="170" t="s">
        <v>4032</v>
      </c>
      <c r="AB519" s="243" t="s">
        <v>4217</v>
      </c>
      <c r="AC519" s="35">
        <f>12949*J519/23</f>
        <v>563</v>
      </c>
      <c r="AE519" s="137" t="s">
        <v>4004</v>
      </c>
      <c r="AF519" s="138"/>
      <c r="AG519" s="138" t="s">
        <v>56</v>
      </c>
      <c r="AH519" s="138" t="s">
        <v>56</v>
      </c>
      <c r="AI519" s="138"/>
      <c r="AJ519" s="138"/>
      <c r="AK519" s="138"/>
      <c r="AL519" s="138"/>
    </row>
    <row r="520" spans="1:38" s="200" customFormat="1" ht="48" customHeight="1" x14ac:dyDescent="0.25">
      <c r="A520" s="14">
        <v>45909</v>
      </c>
      <c r="B520" s="41" t="s">
        <v>4218</v>
      </c>
      <c r="C520" s="41" t="s">
        <v>4219</v>
      </c>
      <c r="D520" s="41"/>
      <c r="E520" s="42" t="s">
        <v>39</v>
      </c>
      <c r="F520" s="19" t="s">
        <v>259</v>
      </c>
      <c r="G520" s="43"/>
      <c r="H520" s="43"/>
      <c r="I520" s="245" t="s">
        <v>4220</v>
      </c>
      <c r="J520" s="45">
        <v>50</v>
      </c>
      <c r="K520" s="46" t="s">
        <v>9976</v>
      </c>
      <c r="L520" s="47" t="s">
        <v>63</v>
      </c>
      <c r="M520" s="73" t="s">
        <v>42</v>
      </c>
      <c r="N520" s="77" t="s">
        <v>4221</v>
      </c>
      <c r="O520" s="49"/>
      <c r="P520" s="49"/>
      <c r="Q520" s="49"/>
      <c r="R520" s="50">
        <v>0</v>
      </c>
      <c r="S520" s="50">
        <v>0</v>
      </c>
      <c r="T520" s="51">
        <v>0</v>
      </c>
      <c r="U520" s="51">
        <v>0</v>
      </c>
      <c r="V520" s="75">
        <f t="shared" si="16"/>
        <v>0</v>
      </c>
      <c r="W520" s="51" t="s">
        <v>350</v>
      </c>
      <c r="X520" s="198" t="s">
        <v>4222</v>
      </c>
      <c r="Y520" s="199" t="s">
        <v>82</v>
      </c>
      <c r="Z520" s="169"/>
      <c r="AA520" s="170" t="s">
        <v>3818</v>
      </c>
      <c r="AB520" s="243" t="s">
        <v>4223</v>
      </c>
      <c r="AC520" s="328"/>
      <c r="AE520" s="137" t="s">
        <v>3829</v>
      </c>
      <c r="AF520" s="138"/>
      <c r="AG520" s="138" t="s">
        <v>56</v>
      </c>
      <c r="AH520" s="138" t="s">
        <v>86</v>
      </c>
      <c r="AI520" s="138"/>
      <c r="AJ520" s="138" t="s">
        <v>56</v>
      </c>
      <c r="AK520" s="138" t="s">
        <v>2284</v>
      </c>
      <c r="AL520" s="222"/>
    </row>
    <row r="521" spans="1:38" s="200" customFormat="1" ht="135" x14ac:dyDescent="0.25">
      <c r="A521" s="14">
        <v>45908</v>
      </c>
      <c r="B521" s="95" t="s">
        <v>4224</v>
      </c>
      <c r="C521" s="95" t="s">
        <v>4225</v>
      </c>
      <c r="D521" s="95" t="s">
        <v>4226</v>
      </c>
      <c r="E521" s="96" t="s">
        <v>39</v>
      </c>
      <c r="F521" s="19">
        <v>1</v>
      </c>
      <c r="G521" s="97"/>
      <c r="H521" s="97"/>
      <c r="I521" s="245" t="s">
        <v>4227</v>
      </c>
      <c r="J521" s="98">
        <v>200</v>
      </c>
      <c r="K521" s="270" t="s">
        <v>4228</v>
      </c>
      <c r="L521" s="100" t="s">
        <v>63</v>
      </c>
      <c r="M521" s="100" t="s">
        <v>42</v>
      </c>
      <c r="N521" s="101" t="s">
        <v>4229</v>
      </c>
      <c r="O521" s="102" t="s">
        <v>4230</v>
      </c>
      <c r="P521" s="102" t="s">
        <v>4231</v>
      </c>
      <c r="Q521" s="102" t="s">
        <v>4232</v>
      </c>
      <c r="R521" s="103">
        <v>81</v>
      </c>
      <c r="S521" s="103">
        <v>372</v>
      </c>
      <c r="T521" s="96" t="s">
        <v>180</v>
      </c>
      <c r="U521" s="96">
        <v>0</v>
      </c>
      <c r="V521" s="104">
        <f t="shared" si="16"/>
        <v>0</v>
      </c>
      <c r="W521" s="96" t="s">
        <v>350</v>
      </c>
      <c r="X521" s="198" t="s">
        <v>69</v>
      </c>
      <c r="Y521" s="199" t="s">
        <v>70</v>
      </c>
      <c r="Z521" s="169"/>
      <c r="AA521" s="170" t="s">
        <v>4052</v>
      </c>
      <c r="AB521" s="243" t="s">
        <v>3994</v>
      </c>
      <c r="AC521" s="172">
        <v>35340</v>
      </c>
      <c r="AE521" s="137" t="s">
        <v>73</v>
      </c>
      <c r="AF521" s="138" t="s">
        <v>354</v>
      </c>
      <c r="AG521" s="138" t="s">
        <v>56</v>
      </c>
      <c r="AH521" s="138" t="s">
        <v>56</v>
      </c>
      <c r="AI521" s="138"/>
      <c r="AJ521" s="138" t="s">
        <v>56</v>
      </c>
      <c r="AK521" s="138" t="s">
        <v>2284</v>
      </c>
      <c r="AL521" s="138"/>
    </row>
    <row r="522" spans="1:38" ht="48.75" customHeight="1" x14ac:dyDescent="0.25">
      <c r="A522" s="14">
        <v>45908</v>
      </c>
      <c r="B522" s="41" t="s">
        <v>4233</v>
      </c>
      <c r="C522" s="41" t="s">
        <v>4234</v>
      </c>
      <c r="D522" s="41" t="s">
        <v>4235</v>
      </c>
      <c r="E522" s="42" t="s">
        <v>39</v>
      </c>
      <c r="F522" s="19">
        <v>2</v>
      </c>
      <c r="G522" s="43"/>
      <c r="H522" s="43"/>
      <c r="I522" s="245" t="s">
        <v>4236</v>
      </c>
      <c r="J522" s="45">
        <v>10</v>
      </c>
      <c r="K522" s="46" t="s">
        <v>9918</v>
      </c>
      <c r="L522" s="47" t="s">
        <v>63</v>
      </c>
      <c r="M522" s="127" t="s">
        <v>42</v>
      </c>
      <c r="N522" s="77" t="s">
        <v>762</v>
      </c>
      <c r="O522" s="49" t="s">
        <v>4237</v>
      </c>
      <c r="P522" s="49" t="s">
        <v>4193</v>
      </c>
      <c r="Q522" s="49" t="s">
        <v>4238</v>
      </c>
      <c r="R522" s="50">
        <v>63</v>
      </c>
      <c r="S522" s="50">
        <v>788</v>
      </c>
      <c r="T522" s="51" t="s">
        <v>47</v>
      </c>
      <c r="U522" s="51">
        <v>16</v>
      </c>
      <c r="V522" s="52">
        <f t="shared" si="16"/>
        <v>160</v>
      </c>
      <c r="W522" s="329" t="s">
        <v>221</v>
      </c>
      <c r="X522" s="198" t="s">
        <v>1046</v>
      </c>
      <c r="Y522" s="168" t="s">
        <v>70</v>
      </c>
      <c r="Z522" s="169"/>
      <c r="AA522" s="170" t="s">
        <v>4239</v>
      </c>
      <c r="AB522" s="243" t="s">
        <v>4240</v>
      </c>
      <c r="AC522" s="172">
        <v>3238.2</v>
      </c>
      <c r="AE522" s="137" t="s">
        <v>73</v>
      </c>
      <c r="AF522" s="138"/>
      <c r="AG522" s="138" t="s">
        <v>56</v>
      </c>
      <c r="AH522" s="138" t="s">
        <v>626</v>
      </c>
      <c r="AI522" s="138"/>
      <c r="AJ522" s="138" t="s">
        <v>56</v>
      </c>
      <c r="AK522" s="138" t="s">
        <v>2284</v>
      </c>
      <c r="AL522" s="138"/>
    </row>
    <row r="523" spans="1:38" s="200" customFormat="1" ht="49.5" customHeight="1" x14ac:dyDescent="0.25">
      <c r="A523" s="14">
        <v>45908</v>
      </c>
      <c r="B523" s="41" t="s">
        <v>4241</v>
      </c>
      <c r="C523" s="41" t="s">
        <v>4242</v>
      </c>
      <c r="D523" s="41"/>
      <c r="E523" s="42" t="s">
        <v>2399</v>
      </c>
      <c r="F523" s="43"/>
      <c r="G523" s="43"/>
      <c r="H523" s="43"/>
      <c r="I523" s="245" t="s">
        <v>4243</v>
      </c>
      <c r="J523" s="45">
        <v>150</v>
      </c>
      <c r="K523" s="46" t="s">
        <v>9919</v>
      </c>
      <c r="L523" s="47" t="s">
        <v>42</v>
      </c>
      <c r="M523" s="47" t="s">
        <v>42</v>
      </c>
      <c r="N523" s="77" t="s">
        <v>4244</v>
      </c>
      <c r="O523" s="49"/>
      <c r="P523" s="49"/>
      <c r="Q523" s="49"/>
      <c r="R523" s="50">
        <v>0</v>
      </c>
      <c r="S523" s="50">
        <v>0</v>
      </c>
      <c r="T523" s="51">
        <v>0</v>
      </c>
      <c r="U523" s="51">
        <v>2</v>
      </c>
      <c r="V523" s="52">
        <f t="shared" si="16"/>
        <v>300</v>
      </c>
      <c r="W523" s="329" t="s">
        <v>221</v>
      </c>
      <c r="X523" s="198" t="s">
        <v>4245</v>
      </c>
      <c r="Y523" s="199" t="s">
        <v>82</v>
      </c>
      <c r="Z523" s="169"/>
      <c r="AA523" s="170" t="s">
        <v>4239</v>
      </c>
      <c r="AB523" s="243" t="s">
        <v>4246</v>
      </c>
      <c r="AC523" s="172">
        <v>4155</v>
      </c>
      <c r="AE523" s="137" t="s">
        <v>2776</v>
      </c>
      <c r="AF523" s="138"/>
      <c r="AG523" s="138" t="s">
        <v>56</v>
      </c>
      <c r="AH523" s="138" t="s">
        <v>626</v>
      </c>
      <c r="AI523" s="138"/>
      <c r="AJ523" s="138" t="s">
        <v>56</v>
      </c>
      <c r="AK523" s="138" t="s">
        <v>74</v>
      </c>
      <c r="AL523" s="138"/>
    </row>
    <row r="524" spans="1:38" s="200" customFormat="1" ht="39.75" customHeight="1" x14ac:dyDescent="0.25">
      <c r="A524" s="14">
        <v>45908</v>
      </c>
      <c r="B524" s="41" t="s">
        <v>4247</v>
      </c>
      <c r="C524" s="41" t="s">
        <v>4209</v>
      </c>
      <c r="D524" s="41" t="s">
        <v>4248</v>
      </c>
      <c r="E524" s="42" t="s">
        <v>39</v>
      </c>
      <c r="F524" s="43"/>
      <c r="G524" s="43"/>
      <c r="H524" s="19">
        <v>1</v>
      </c>
      <c r="I524" s="245" t="s">
        <v>4249</v>
      </c>
      <c r="J524" s="45">
        <v>22</v>
      </c>
      <c r="K524" s="46" t="s">
        <v>4250</v>
      </c>
      <c r="L524" s="47" t="s">
        <v>63</v>
      </c>
      <c r="M524" s="47" t="s">
        <v>42</v>
      </c>
      <c r="N524" s="77" t="s">
        <v>4251</v>
      </c>
      <c r="O524" s="49" t="s">
        <v>4214</v>
      </c>
      <c r="P524" s="49" t="s">
        <v>4215</v>
      </c>
      <c r="Q524" s="49" t="s">
        <v>4216</v>
      </c>
      <c r="R524" s="92">
        <v>172</v>
      </c>
      <c r="S524" s="92">
        <v>1108</v>
      </c>
      <c r="T524" s="51" t="s">
        <v>2482</v>
      </c>
      <c r="U524" s="51">
        <v>22</v>
      </c>
      <c r="V524" s="75">
        <f t="shared" si="16"/>
        <v>484</v>
      </c>
      <c r="W524" s="51" t="s">
        <v>350</v>
      </c>
      <c r="X524" s="198" t="s">
        <v>210</v>
      </c>
      <c r="Y524" s="199" t="s">
        <v>50</v>
      </c>
      <c r="Z524" s="169"/>
      <c r="AA524" s="170" t="s">
        <v>4032</v>
      </c>
      <c r="AB524" s="243" t="s">
        <v>4217</v>
      </c>
      <c r="AC524" s="35">
        <f>1270+1000+(12949*J524/23)</f>
        <v>14656</v>
      </c>
      <c r="AE524" s="137" t="s">
        <v>4004</v>
      </c>
      <c r="AF524" s="138"/>
      <c r="AG524" s="138" t="s">
        <v>56</v>
      </c>
      <c r="AH524" s="138" t="s">
        <v>56</v>
      </c>
      <c r="AI524" s="138"/>
      <c r="AJ524" s="138"/>
      <c r="AK524" s="138"/>
      <c r="AL524" s="138"/>
    </row>
    <row r="525" spans="1:38" s="200" customFormat="1" ht="33" customHeight="1" x14ac:dyDescent="0.25">
      <c r="A525" s="14">
        <v>45908</v>
      </c>
      <c r="B525" s="41" t="s">
        <v>4252</v>
      </c>
      <c r="C525" s="41" t="s">
        <v>4253</v>
      </c>
      <c r="D525" s="41"/>
      <c r="E525" s="42" t="s">
        <v>39</v>
      </c>
      <c r="F525" s="19">
        <v>1</v>
      </c>
      <c r="G525" s="43"/>
      <c r="H525" s="43"/>
      <c r="I525" s="245" t="s">
        <v>4254</v>
      </c>
      <c r="J525" s="45">
        <v>254</v>
      </c>
      <c r="K525" s="46" t="s">
        <v>9977</v>
      </c>
      <c r="L525" s="47" t="s">
        <v>63</v>
      </c>
      <c r="M525" s="73" t="s">
        <v>42</v>
      </c>
      <c r="N525" s="77" t="s">
        <v>4132</v>
      </c>
      <c r="O525" s="49" t="s">
        <v>4255</v>
      </c>
      <c r="P525" s="49" t="s">
        <v>4256</v>
      </c>
      <c r="Q525" s="49" t="s">
        <v>4257</v>
      </c>
      <c r="R525" s="50">
        <v>42</v>
      </c>
      <c r="S525" s="50">
        <v>100</v>
      </c>
      <c r="T525" s="51" t="s">
        <v>180</v>
      </c>
      <c r="U525" s="51">
        <v>3</v>
      </c>
      <c r="V525" s="75">
        <f t="shared" si="16"/>
        <v>762</v>
      </c>
      <c r="W525" s="329" t="s">
        <v>221</v>
      </c>
      <c r="X525" s="198" t="s">
        <v>4135</v>
      </c>
      <c r="Y525" s="199" t="s">
        <v>144</v>
      </c>
      <c r="Z525" s="269"/>
      <c r="AA525" s="170" t="s">
        <v>4119</v>
      </c>
      <c r="AB525" s="243" t="s">
        <v>4120</v>
      </c>
      <c r="AC525" s="35">
        <v>6862.18</v>
      </c>
      <c r="AE525" s="137" t="s">
        <v>2776</v>
      </c>
      <c r="AF525" s="138" t="s">
        <v>354</v>
      </c>
      <c r="AG525" s="138" t="s">
        <v>56</v>
      </c>
      <c r="AH525" s="138" t="s">
        <v>56</v>
      </c>
      <c r="AI525" s="138"/>
      <c r="AJ525" s="138"/>
      <c r="AK525" s="138"/>
      <c r="AL525" s="222"/>
    </row>
    <row r="526" spans="1:38" s="200" customFormat="1" ht="33.75" customHeight="1" x14ac:dyDescent="0.25">
      <c r="A526" s="14">
        <v>45908</v>
      </c>
      <c r="B526" s="41" t="s">
        <v>4258</v>
      </c>
      <c r="C526" s="41" t="s">
        <v>4259</v>
      </c>
      <c r="D526" s="41"/>
      <c r="E526" s="42" t="s">
        <v>39</v>
      </c>
      <c r="F526" s="43"/>
      <c r="G526" s="43"/>
      <c r="H526" s="19">
        <v>2</v>
      </c>
      <c r="I526" s="245" t="s">
        <v>4260</v>
      </c>
      <c r="J526" s="45">
        <v>45</v>
      </c>
      <c r="K526" s="46" t="s">
        <v>9920</v>
      </c>
      <c r="L526" s="47" t="s">
        <v>63</v>
      </c>
      <c r="M526" s="73" t="s">
        <v>42</v>
      </c>
      <c r="N526" s="77" t="s">
        <v>240</v>
      </c>
      <c r="O526" s="49"/>
      <c r="P526" s="49" t="s">
        <v>4261</v>
      </c>
      <c r="Q526" s="49" t="s">
        <v>4262</v>
      </c>
      <c r="R526" s="50">
        <v>14</v>
      </c>
      <c r="S526" s="50">
        <v>32</v>
      </c>
      <c r="T526" s="51" t="s">
        <v>96</v>
      </c>
      <c r="U526" s="51">
        <v>18</v>
      </c>
      <c r="V526" s="75">
        <f t="shared" si="16"/>
        <v>810</v>
      </c>
      <c r="W526" s="51" t="s">
        <v>350</v>
      </c>
      <c r="X526" s="198" t="s">
        <v>4263</v>
      </c>
      <c r="Y526" s="199" t="s">
        <v>82</v>
      </c>
      <c r="Z526" s="169"/>
      <c r="AA526" s="170" t="s">
        <v>2680</v>
      </c>
      <c r="AB526" s="243" t="s">
        <v>3828</v>
      </c>
      <c r="AC526" s="172">
        <v>3001.5</v>
      </c>
      <c r="AE526" s="137" t="s">
        <v>3829</v>
      </c>
      <c r="AF526" s="138"/>
      <c r="AG526" s="138" t="s">
        <v>56</v>
      </c>
      <c r="AH526" s="138" t="s">
        <v>86</v>
      </c>
      <c r="AI526" s="138"/>
      <c r="AJ526" s="138"/>
      <c r="AK526" s="138"/>
      <c r="AL526" s="138"/>
    </row>
    <row r="527" spans="1:38" s="200" customFormat="1" ht="66" customHeight="1" x14ac:dyDescent="0.25">
      <c r="A527" s="14">
        <v>45905</v>
      </c>
      <c r="B527" s="204" t="s">
        <v>4170</v>
      </c>
      <c r="C527" s="204" t="s">
        <v>4264</v>
      </c>
      <c r="D527" s="41" t="s">
        <v>4265</v>
      </c>
      <c r="E527" s="249" t="s">
        <v>39</v>
      </c>
      <c r="F527" s="206">
        <v>1</v>
      </c>
      <c r="G527" s="143"/>
      <c r="H527" s="143"/>
      <c r="I527" s="312" t="s">
        <v>4266</v>
      </c>
      <c r="J527" s="207">
        <v>1</v>
      </c>
      <c r="K527" s="248" t="s">
        <v>9921</v>
      </c>
      <c r="L527" s="208" t="s">
        <v>63</v>
      </c>
      <c r="M527" s="209" t="s">
        <v>42</v>
      </c>
      <c r="N527" s="77" t="s">
        <v>4267</v>
      </c>
      <c r="O527" s="210" t="s">
        <v>4268</v>
      </c>
      <c r="P527" s="210" t="s">
        <v>4269</v>
      </c>
      <c r="Q527" s="210" t="s">
        <v>51</v>
      </c>
      <c r="R527" s="211">
        <v>100</v>
      </c>
      <c r="S527" s="211">
        <v>358</v>
      </c>
      <c r="T527" s="212" t="s">
        <v>180</v>
      </c>
      <c r="U527" s="212">
        <v>12</v>
      </c>
      <c r="V527" s="330">
        <f t="shared" si="16"/>
        <v>12</v>
      </c>
      <c r="W527" s="212" t="s">
        <v>68</v>
      </c>
      <c r="X527" s="258" t="s">
        <v>232</v>
      </c>
      <c r="Y527" s="199" t="s">
        <v>50</v>
      </c>
      <c r="Z527" s="169"/>
      <c r="AA527" s="170" t="s">
        <v>2663</v>
      </c>
      <c r="AB527" s="243" t="s">
        <v>4041</v>
      </c>
      <c r="AC527" s="172">
        <v>6356</v>
      </c>
      <c r="AE527" s="137" t="s">
        <v>4004</v>
      </c>
      <c r="AF527" s="138"/>
      <c r="AG527" s="138" t="s">
        <v>56</v>
      </c>
      <c r="AH527" s="138" t="s">
        <v>56</v>
      </c>
      <c r="AI527" s="138"/>
      <c r="AJ527" s="138" t="s">
        <v>56</v>
      </c>
      <c r="AK527" s="138" t="s">
        <v>74</v>
      </c>
      <c r="AL527" s="138"/>
    </row>
    <row r="528" spans="1:38" ht="90" x14ac:dyDescent="0.25">
      <c r="A528" s="14">
        <v>45905</v>
      </c>
      <c r="B528" s="95" t="s">
        <v>4270</v>
      </c>
      <c r="C528" s="95" t="s">
        <v>4271</v>
      </c>
      <c r="D528" s="95"/>
      <c r="E528" s="96" t="s">
        <v>195</v>
      </c>
      <c r="F528" s="97"/>
      <c r="G528" s="97"/>
      <c r="H528" s="97"/>
      <c r="I528" s="245" t="s">
        <v>4272</v>
      </c>
      <c r="J528" s="98">
        <v>3</v>
      </c>
      <c r="K528" s="165" t="s">
        <v>4228</v>
      </c>
      <c r="L528" s="100" t="s">
        <v>42</v>
      </c>
      <c r="M528" s="100" t="s">
        <v>42</v>
      </c>
      <c r="N528" s="101" t="s">
        <v>4273</v>
      </c>
      <c r="O528" s="102"/>
      <c r="P528" s="102"/>
      <c r="Q528" s="102"/>
      <c r="R528" s="103">
        <v>0</v>
      </c>
      <c r="S528" s="103">
        <v>0</v>
      </c>
      <c r="T528" s="96">
        <v>0</v>
      </c>
      <c r="U528" s="96">
        <v>23</v>
      </c>
      <c r="V528" s="104">
        <f t="shared" si="16"/>
        <v>69</v>
      </c>
      <c r="W528" s="96" t="s">
        <v>68</v>
      </c>
      <c r="X528" s="258" t="s">
        <v>232</v>
      </c>
      <c r="Y528" s="168" t="s">
        <v>50</v>
      </c>
      <c r="Z528" s="169"/>
      <c r="AA528" s="170" t="s">
        <v>4052</v>
      </c>
      <c r="AB528" s="243" t="s">
        <v>2664</v>
      </c>
      <c r="AC528" s="172">
        <v>2592</v>
      </c>
      <c r="AE528" s="137" t="s">
        <v>4274</v>
      </c>
      <c r="AF528" s="138"/>
      <c r="AG528" s="138" t="s">
        <v>56</v>
      </c>
      <c r="AH528" s="138" t="s">
        <v>56</v>
      </c>
      <c r="AI528" s="138"/>
      <c r="AJ528" s="138"/>
      <c r="AK528" s="138"/>
      <c r="AL528" s="222"/>
    </row>
    <row r="529" spans="1:38" s="200" customFormat="1" ht="196.5" x14ac:dyDescent="0.25">
      <c r="A529" s="14">
        <v>45905</v>
      </c>
      <c r="B529" s="95" t="s">
        <v>3956</v>
      </c>
      <c r="C529" s="95" t="s">
        <v>4096</v>
      </c>
      <c r="D529" s="95"/>
      <c r="E529" s="96" t="s">
        <v>39</v>
      </c>
      <c r="F529" s="97"/>
      <c r="G529" s="97"/>
      <c r="H529" s="19">
        <v>1</v>
      </c>
      <c r="I529" s="245" t="s">
        <v>9856</v>
      </c>
      <c r="J529" s="98">
        <v>8</v>
      </c>
      <c r="K529" s="270" t="s">
        <v>4275</v>
      </c>
      <c r="L529" s="103" t="s">
        <v>63</v>
      </c>
      <c r="M529" s="100" t="s">
        <v>42</v>
      </c>
      <c r="N529" s="101" t="s">
        <v>4276</v>
      </c>
      <c r="O529" s="102" t="s">
        <v>4216</v>
      </c>
      <c r="P529" s="102" t="s">
        <v>4277</v>
      </c>
      <c r="Q529" s="102" t="s">
        <v>4231</v>
      </c>
      <c r="R529" s="103">
        <v>60</v>
      </c>
      <c r="S529" s="103">
        <v>398</v>
      </c>
      <c r="T529" s="96" t="s">
        <v>47</v>
      </c>
      <c r="U529" s="96">
        <v>0</v>
      </c>
      <c r="V529" s="104">
        <f t="shared" si="16"/>
        <v>0</v>
      </c>
      <c r="W529" s="96" t="s">
        <v>350</v>
      </c>
      <c r="X529" s="198" t="s">
        <v>934</v>
      </c>
      <c r="Y529" s="199" t="s">
        <v>82</v>
      </c>
      <c r="Z529" s="169"/>
      <c r="AA529" s="170" t="s">
        <v>3704</v>
      </c>
      <c r="AB529" s="243" t="s">
        <v>2090</v>
      </c>
      <c r="AC529" s="172">
        <v>7474</v>
      </c>
      <c r="AE529" s="137" t="s">
        <v>4004</v>
      </c>
      <c r="AF529" s="138" t="s">
        <v>354</v>
      </c>
      <c r="AG529" s="138" t="s">
        <v>56</v>
      </c>
      <c r="AH529" s="138" t="s">
        <v>56</v>
      </c>
      <c r="AI529" s="138"/>
      <c r="AJ529" s="138" t="s">
        <v>4278</v>
      </c>
      <c r="AK529" s="255" t="s">
        <v>4278</v>
      </c>
      <c r="AL529" s="222"/>
    </row>
    <row r="530" spans="1:38" ht="181.5" x14ac:dyDescent="0.25">
      <c r="A530" s="14">
        <v>45905</v>
      </c>
      <c r="B530" s="95" t="s">
        <v>4279</v>
      </c>
      <c r="C530" s="95" t="s">
        <v>4280</v>
      </c>
      <c r="D530" s="95" t="s">
        <v>4281</v>
      </c>
      <c r="E530" s="96" t="s">
        <v>39</v>
      </c>
      <c r="F530" s="97"/>
      <c r="G530" s="97"/>
      <c r="H530" s="19">
        <v>1</v>
      </c>
      <c r="I530" s="245" t="s">
        <v>4282</v>
      </c>
      <c r="J530" s="98">
        <v>7</v>
      </c>
      <c r="K530" s="270" t="s">
        <v>4275</v>
      </c>
      <c r="L530" s="103" t="s">
        <v>63</v>
      </c>
      <c r="M530" s="100" t="s">
        <v>42</v>
      </c>
      <c r="N530" s="101" t="s">
        <v>4283</v>
      </c>
      <c r="O530" s="102" t="s">
        <v>4231</v>
      </c>
      <c r="P530" s="102" t="s">
        <v>4284</v>
      </c>
      <c r="Q530" s="102" t="s">
        <v>4116</v>
      </c>
      <c r="R530" s="103">
        <v>50</v>
      </c>
      <c r="S530" s="103">
        <v>327</v>
      </c>
      <c r="T530" s="96" t="s">
        <v>47</v>
      </c>
      <c r="U530" s="96">
        <v>0</v>
      </c>
      <c r="V530" s="104">
        <f t="shared" si="16"/>
        <v>0</v>
      </c>
      <c r="W530" s="96" t="s">
        <v>350</v>
      </c>
      <c r="X530" s="198" t="s">
        <v>934</v>
      </c>
      <c r="Y530" s="199" t="s">
        <v>82</v>
      </c>
      <c r="Z530" s="169"/>
      <c r="AA530" s="170" t="s">
        <v>3704</v>
      </c>
      <c r="AB530" s="243" t="s">
        <v>2090</v>
      </c>
      <c r="AC530" s="35">
        <v>5702</v>
      </c>
      <c r="AE530" s="137" t="s">
        <v>4004</v>
      </c>
      <c r="AF530" s="138" t="s">
        <v>354</v>
      </c>
      <c r="AG530" s="138" t="s">
        <v>56</v>
      </c>
      <c r="AH530" s="138" t="s">
        <v>56</v>
      </c>
      <c r="AI530" s="138"/>
      <c r="AJ530" s="138" t="s">
        <v>4278</v>
      </c>
      <c r="AK530" s="255" t="s">
        <v>4278</v>
      </c>
      <c r="AL530" s="222"/>
    </row>
    <row r="531" spans="1:38" s="200" customFormat="1" ht="195" x14ac:dyDescent="0.25">
      <c r="A531" s="14">
        <v>45905</v>
      </c>
      <c r="B531" s="41" t="s">
        <v>4170</v>
      </c>
      <c r="C531" s="41" t="s">
        <v>4285</v>
      </c>
      <c r="D531" s="41"/>
      <c r="E531" s="319" t="s">
        <v>1379</v>
      </c>
      <c r="F531" s="19">
        <v>2</v>
      </c>
      <c r="G531" s="43"/>
      <c r="H531" s="43"/>
      <c r="I531" s="245" t="s">
        <v>4286</v>
      </c>
      <c r="J531" s="45">
        <v>1</v>
      </c>
      <c r="K531" s="46" t="s">
        <v>9922</v>
      </c>
      <c r="L531" s="47" t="s">
        <v>63</v>
      </c>
      <c r="M531" s="47" t="s">
        <v>42</v>
      </c>
      <c r="N531" s="77" t="s">
        <v>4287</v>
      </c>
      <c r="O531" s="194" t="s">
        <v>4288</v>
      </c>
      <c r="P531" s="49" t="s">
        <v>4216</v>
      </c>
      <c r="Q531" s="49" t="s">
        <v>4230</v>
      </c>
      <c r="R531" s="50">
        <v>69</v>
      </c>
      <c r="S531" s="50">
        <v>226</v>
      </c>
      <c r="T531" s="51" t="s">
        <v>180</v>
      </c>
      <c r="U531" s="51">
        <v>14</v>
      </c>
      <c r="V531" s="52">
        <f t="shared" si="16"/>
        <v>14</v>
      </c>
      <c r="W531" s="51" t="s">
        <v>68</v>
      </c>
      <c r="X531" s="258" t="s">
        <v>232</v>
      </c>
      <c r="Y531" s="199" t="s">
        <v>50</v>
      </c>
      <c r="Z531" s="169" t="s">
        <v>4289</v>
      </c>
      <c r="AA531" s="170" t="s">
        <v>2663</v>
      </c>
      <c r="AB531" s="243" t="s">
        <v>4041</v>
      </c>
      <c r="AC531" s="35">
        <v>5328</v>
      </c>
      <c r="AE531" s="137" t="s">
        <v>4004</v>
      </c>
      <c r="AF531" s="138"/>
      <c r="AG531" s="138" t="s">
        <v>56</v>
      </c>
      <c r="AH531" s="138" t="s">
        <v>56</v>
      </c>
      <c r="AI531" s="138"/>
      <c r="AJ531" s="138" t="s">
        <v>56</v>
      </c>
      <c r="AK531" s="138" t="s">
        <v>4154</v>
      </c>
      <c r="AL531" s="138"/>
    </row>
    <row r="532" spans="1:38" ht="291.75" x14ac:dyDescent="0.25">
      <c r="A532" s="14">
        <v>45905</v>
      </c>
      <c r="B532" s="41" t="s">
        <v>4290</v>
      </c>
      <c r="C532" s="41" t="s">
        <v>4291</v>
      </c>
      <c r="D532" s="41"/>
      <c r="E532" s="42" t="s">
        <v>39</v>
      </c>
      <c r="F532" s="43"/>
      <c r="G532" s="43"/>
      <c r="H532" s="19">
        <v>2</v>
      </c>
      <c r="I532" s="245" t="s">
        <v>4292</v>
      </c>
      <c r="J532" s="45">
        <v>1</v>
      </c>
      <c r="K532" s="46" t="s">
        <v>9922</v>
      </c>
      <c r="L532" s="47" t="s">
        <v>63</v>
      </c>
      <c r="M532" s="127" t="s">
        <v>42</v>
      </c>
      <c r="N532" s="101" t="s">
        <v>4293</v>
      </c>
      <c r="O532" s="49" t="s">
        <v>4294</v>
      </c>
      <c r="P532" s="49" t="s">
        <v>4295</v>
      </c>
      <c r="Q532" s="49" t="s">
        <v>4296</v>
      </c>
      <c r="R532" s="50">
        <v>8</v>
      </c>
      <c r="S532" s="50">
        <v>106</v>
      </c>
      <c r="T532" s="51" t="s">
        <v>47</v>
      </c>
      <c r="U532" s="51">
        <v>68</v>
      </c>
      <c r="V532" s="52">
        <f t="shared" si="16"/>
        <v>68</v>
      </c>
      <c r="W532" s="51" t="s">
        <v>68</v>
      </c>
      <c r="X532" s="258" t="s">
        <v>232</v>
      </c>
      <c r="Y532" s="168" t="s">
        <v>50</v>
      </c>
      <c r="Z532" s="169"/>
      <c r="AA532" s="170" t="s">
        <v>2663</v>
      </c>
      <c r="AB532" s="243" t="s">
        <v>4041</v>
      </c>
      <c r="AC532" s="172">
        <v>2564</v>
      </c>
      <c r="AE532" s="137" t="s">
        <v>4004</v>
      </c>
      <c r="AF532" s="138"/>
      <c r="AG532" s="138" t="s">
        <v>56</v>
      </c>
      <c r="AH532" s="138" t="s">
        <v>56</v>
      </c>
      <c r="AI532" s="138"/>
      <c r="AJ532" s="138" t="s">
        <v>56</v>
      </c>
      <c r="AK532" s="138" t="s">
        <v>2284</v>
      </c>
      <c r="AL532" s="138"/>
    </row>
    <row r="533" spans="1:38" s="200" customFormat="1" ht="74.25" customHeight="1" x14ac:dyDescent="0.25">
      <c r="A533" s="14">
        <v>45905</v>
      </c>
      <c r="B533" s="95" t="s">
        <v>4297</v>
      </c>
      <c r="C533" s="95" t="s">
        <v>4298</v>
      </c>
      <c r="D533" s="95"/>
      <c r="E533" s="96" t="s">
        <v>195</v>
      </c>
      <c r="F533" s="97"/>
      <c r="G533" s="97"/>
      <c r="H533" s="97"/>
      <c r="I533" s="245" t="s">
        <v>4299</v>
      </c>
      <c r="J533" s="98">
        <v>3</v>
      </c>
      <c r="K533" s="165" t="s">
        <v>4275</v>
      </c>
      <c r="L533" s="100" t="s">
        <v>42</v>
      </c>
      <c r="M533" s="100" t="s">
        <v>42</v>
      </c>
      <c r="N533" s="101" t="s">
        <v>4300</v>
      </c>
      <c r="O533" s="102"/>
      <c r="P533" s="102"/>
      <c r="Q533" s="102"/>
      <c r="R533" s="103">
        <v>0</v>
      </c>
      <c r="S533" s="103">
        <v>0</v>
      </c>
      <c r="T533" s="96">
        <v>0</v>
      </c>
      <c r="U533" s="96">
        <v>23</v>
      </c>
      <c r="V533" s="104">
        <f t="shared" si="16"/>
        <v>69</v>
      </c>
      <c r="W533" s="96" t="s">
        <v>68</v>
      </c>
      <c r="X533" s="258" t="s">
        <v>232</v>
      </c>
      <c r="Y533" s="199" t="s">
        <v>50</v>
      </c>
      <c r="Z533" s="169"/>
      <c r="AA533" s="170" t="s">
        <v>4052</v>
      </c>
      <c r="AB533" s="243" t="s">
        <v>2664</v>
      </c>
      <c r="AC533" s="172">
        <v>2592</v>
      </c>
      <c r="AE533" s="137" t="s">
        <v>4004</v>
      </c>
      <c r="AF533" s="138"/>
      <c r="AG533" s="138" t="s">
        <v>56</v>
      </c>
      <c r="AH533" s="138" t="s">
        <v>56</v>
      </c>
      <c r="AI533" s="138"/>
      <c r="AJ533" s="138"/>
      <c r="AK533" s="138"/>
      <c r="AL533" s="138"/>
    </row>
    <row r="534" spans="1:38" s="200" customFormat="1" ht="88.5" customHeight="1" x14ac:dyDescent="0.25">
      <c r="A534" s="14">
        <v>45905</v>
      </c>
      <c r="B534" s="95" t="s">
        <v>4301</v>
      </c>
      <c r="C534" s="95" t="s">
        <v>4302</v>
      </c>
      <c r="D534" s="95"/>
      <c r="E534" s="96" t="s">
        <v>39</v>
      </c>
      <c r="F534" s="19">
        <v>1</v>
      </c>
      <c r="G534" s="97"/>
      <c r="H534" s="97"/>
      <c r="I534" s="245" t="s">
        <v>4303</v>
      </c>
      <c r="J534" s="98">
        <v>7</v>
      </c>
      <c r="K534" s="270" t="s">
        <v>4275</v>
      </c>
      <c r="L534" s="100" t="s">
        <v>63</v>
      </c>
      <c r="M534" s="100" t="s">
        <v>42</v>
      </c>
      <c r="N534" s="101" t="s">
        <v>4304</v>
      </c>
      <c r="O534" s="102" t="s">
        <v>4201</v>
      </c>
      <c r="P534" s="102" t="s">
        <v>4305</v>
      </c>
      <c r="Q534" s="102" t="s">
        <v>4269</v>
      </c>
      <c r="R534" s="103">
        <v>74</v>
      </c>
      <c r="S534" s="103">
        <v>231</v>
      </c>
      <c r="T534" s="96" t="s">
        <v>47</v>
      </c>
      <c r="U534" s="96">
        <v>32</v>
      </c>
      <c r="V534" s="104">
        <f t="shared" si="16"/>
        <v>224</v>
      </c>
      <c r="W534" s="96" t="s">
        <v>68</v>
      </c>
      <c r="X534" s="258" t="s">
        <v>2971</v>
      </c>
      <c r="Y534" s="199" t="s">
        <v>50</v>
      </c>
      <c r="Z534" s="169"/>
      <c r="AA534" s="170" t="s">
        <v>4146</v>
      </c>
      <c r="AB534" s="243" t="s">
        <v>4240</v>
      </c>
      <c r="AC534" s="172">
        <v>7216.5</v>
      </c>
      <c r="AE534" s="137" t="s">
        <v>4004</v>
      </c>
      <c r="AF534" s="138"/>
      <c r="AG534" s="138" t="s">
        <v>56</v>
      </c>
      <c r="AH534" s="138" t="s">
        <v>56</v>
      </c>
      <c r="AI534" s="138"/>
      <c r="AJ534" s="138"/>
      <c r="AK534" s="138"/>
      <c r="AL534" s="138"/>
    </row>
    <row r="535" spans="1:38" s="200" customFormat="1" ht="46.5" customHeight="1" x14ac:dyDescent="0.25">
      <c r="A535" s="14">
        <v>45905</v>
      </c>
      <c r="B535" s="41" t="s">
        <v>4306</v>
      </c>
      <c r="C535" s="41" t="s">
        <v>4307</v>
      </c>
      <c r="D535" s="41"/>
      <c r="E535" s="42" t="s">
        <v>39</v>
      </c>
      <c r="F535" s="143"/>
      <c r="G535" s="143"/>
      <c r="H535" s="19">
        <v>1</v>
      </c>
      <c r="I535" s="245" t="s">
        <v>4308</v>
      </c>
      <c r="J535" s="45">
        <v>120</v>
      </c>
      <c r="K535" s="46" t="s">
        <v>9923</v>
      </c>
      <c r="L535" s="47" t="s">
        <v>63</v>
      </c>
      <c r="M535" s="127" t="s">
        <v>42</v>
      </c>
      <c r="N535" s="77" t="s">
        <v>240</v>
      </c>
      <c r="O535" s="49" t="s">
        <v>4309</v>
      </c>
      <c r="P535" s="49" t="s">
        <v>4295</v>
      </c>
      <c r="Q535" s="49" t="s">
        <v>4214</v>
      </c>
      <c r="R535" s="50">
        <v>23</v>
      </c>
      <c r="S535" s="50">
        <v>34</v>
      </c>
      <c r="T535" s="51" t="s">
        <v>47</v>
      </c>
      <c r="U535" s="51">
        <v>3</v>
      </c>
      <c r="V535" s="52">
        <f t="shared" si="16"/>
        <v>360</v>
      </c>
      <c r="W535" s="51" t="s">
        <v>350</v>
      </c>
      <c r="X535" s="198" t="s">
        <v>2214</v>
      </c>
      <c r="Y535" s="199" t="s">
        <v>82</v>
      </c>
      <c r="Z535" s="169" t="s">
        <v>4310</v>
      </c>
      <c r="AA535" s="170" t="s">
        <v>1863</v>
      </c>
      <c r="AB535" s="243" t="s">
        <v>3982</v>
      </c>
      <c r="AC535" s="172">
        <v>3642</v>
      </c>
      <c r="AE535" s="137" t="s">
        <v>4004</v>
      </c>
      <c r="AF535" s="138"/>
      <c r="AG535" s="138" t="s">
        <v>56</v>
      </c>
      <c r="AH535" s="138" t="s">
        <v>56</v>
      </c>
      <c r="AI535" s="138"/>
      <c r="AJ535" s="138" t="s">
        <v>56</v>
      </c>
      <c r="AK535" s="138" t="s">
        <v>4311</v>
      </c>
      <c r="AL535" s="138"/>
    </row>
    <row r="536" spans="1:38" s="200" customFormat="1" ht="38.25" customHeight="1" x14ac:dyDescent="0.25">
      <c r="A536" s="14">
        <v>45905</v>
      </c>
      <c r="B536" s="95" t="s">
        <v>4312</v>
      </c>
      <c r="C536" s="95" t="s">
        <v>4313</v>
      </c>
      <c r="D536" s="95"/>
      <c r="E536" s="96" t="s">
        <v>39</v>
      </c>
      <c r="F536" s="19">
        <v>1</v>
      </c>
      <c r="G536" s="97"/>
      <c r="H536" s="97"/>
      <c r="I536" s="245" t="s">
        <v>4314</v>
      </c>
      <c r="J536" s="98">
        <v>40</v>
      </c>
      <c r="K536" s="270" t="s">
        <v>4275</v>
      </c>
      <c r="L536" s="100" t="s">
        <v>63</v>
      </c>
      <c r="M536" s="100" t="s">
        <v>42</v>
      </c>
      <c r="N536" s="101" t="s">
        <v>1563</v>
      </c>
      <c r="O536" s="102"/>
      <c r="P536" s="102" t="s">
        <v>4315</v>
      </c>
      <c r="Q536" s="102" t="s">
        <v>4316</v>
      </c>
      <c r="R536" s="103">
        <v>16</v>
      </c>
      <c r="S536" s="103">
        <v>42</v>
      </c>
      <c r="T536" s="96" t="s">
        <v>96</v>
      </c>
      <c r="U536" s="96">
        <v>10</v>
      </c>
      <c r="V536" s="104">
        <f t="shared" si="16"/>
        <v>400</v>
      </c>
      <c r="W536" s="96" t="s">
        <v>350</v>
      </c>
      <c r="X536" s="198" t="s">
        <v>881</v>
      </c>
      <c r="Y536" s="199" t="s">
        <v>50</v>
      </c>
      <c r="Z536" s="169"/>
      <c r="AA536" s="170" t="s">
        <v>2680</v>
      </c>
      <c r="AB536" s="243" t="s">
        <v>3828</v>
      </c>
      <c r="AC536" s="172">
        <v>6158.4</v>
      </c>
      <c r="AE536" s="137" t="s">
        <v>73</v>
      </c>
      <c r="AF536" s="138"/>
      <c r="AG536" s="138" t="s">
        <v>56</v>
      </c>
      <c r="AH536" s="138" t="s">
        <v>86</v>
      </c>
      <c r="AI536" s="138"/>
      <c r="AJ536" s="138"/>
      <c r="AK536" s="138"/>
      <c r="AL536" s="138"/>
    </row>
    <row r="537" spans="1:38" s="200" customFormat="1" ht="60" customHeight="1" x14ac:dyDescent="0.25">
      <c r="A537" s="14">
        <v>45904</v>
      </c>
      <c r="B537" s="82" t="s">
        <v>4317</v>
      </c>
      <c r="C537" s="41" t="s">
        <v>4318</v>
      </c>
      <c r="D537" s="41" t="s">
        <v>4319</v>
      </c>
      <c r="E537" s="42" t="s">
        <v>39</v>
      </c>
      <c r="F537" s="43"/>
      <c r="G537" s="43"/>
      <c r="H537" s="19">
        <v>1</v>
      </c>
      <c r="I537" s="245" t="s">
        <v>4320</v>
      </c>
      <c r="J537" s="45">
        <v>6</v>
      </c>
      <c r="K537" s="46" t="s">
        <v>9923</v>
      </c>
      <c r="L537" s="47" t="s">
        <v>63</v>
      </c>
      <c r="M537" s="127" t="s">
        <v>42</v>
      </c>
      <c r="N537" s="77" t="s">
        <v>4321</v>
      </c>
      <c r="O537" s="49" t="s">
        <v>4322</v>
      </c>
      <c r="P537" s="49" t="s">
        <v>4014</v>
      </c>
      <c r="Q537" s="49" t="s">
        <v>4159</v>
      </c>
      <c r="R537" s="92">
        <v>147</v>
      </c>
      <c r="S537" s="50">
        <v>912</v>
      </c>
      <c r="T537" s="51" t="s">
        <v>141</v>
      </c>
      <c r="U537" s="51">
        <v>2</v>
      </c>
      <c r="V537" s="52">
        <f t="shared" si="16"/>
        <v>12</v>
      </c>
      <c r="W537" s="155" t="s">
        <v>3611</v>
      </c>
      <c r="X537" s="198" t="s">
        <v>4323</v>
      </c>
      <c r="Y537" s="199" t="s">
        <v>70</v>
      </c>
      <c r="Z537" s="169"/>
      <c r="AA537" s="170" t="s">
        <v>4146</v>
      </c>
      <c r="AB537" s="243" t="s">
        <v>4018</v>
      </c>
      <c r="AC537" s="172">
        <v>9051.9599999999991</v>
      </c>
      <c r="AE537" s="137" t="s">
        <v>4324</v>
      </c>
      <c r="AF537" s="138" t="s">
        <v>354</v>
      </c>
      <c r="AG537" s="138" t="s">
        <v>56</v>
      </c>
      <c r="AH537" s="138" t="s">
        <v>56</v>
      </c>
      <c r="AI537" s="138"/>
      <c r="AJ537" s="138"/>
      <c r="AK537" s="138"/>
      <c r="AL537" s="222"/>
    </row>
    <row r="538" spans="1:38" s="200" customFormat="1" ht="90" x14ac:dyDescent="0.25">
      <c r="A538" s="14">
        <v>45904</v>
      </c>
      <c r="B538" s="41" t="s">
        <v>4290</v>
      </c>
      <c r="C538" s="41" t="s">
        <v>4325</v>
      </c>
      <c r="D538" s="41" t="s">
        <v>4326</v>
      </c>
      <c r="E538" s="42" t="s">
        <v>195</v>
      </c>
      <c r="F538" s="43"/>
      <c r="G538" s="43"/>
      <c r="H538" s="43"/>
      <c r="I538" s="245" t="s">
        <v>4327</v>
      </c>
      <c r="J538" s="45">
        <v>201</v>
      </c>
      <c r="K538" s="46" t="s">
        <v>9924</v>
      </c>
      <c r="L538" s="47" t="s">
        <v>42</v>
      </c>
      <c r="M538" s="42" t="s">
        <v>55</v>
      </c>
      <c r="N538" s="77" t="s">
        <v>4328</v>
      </c>
      <c r="O538" s="49"/>
      <c r="P538" s="49"/>
      <c r="Q538" s="49"/>
      <c r="R538" s="50">
        <v>0</v>
      </c>
      <c r="S538" s="50">
        <v>0</v>
      </c>
      <c r="T538" s="51">
        <v>0</v>
      </c>
      <c r="U538" s="51">
        <v>4</v>
      </c>
      <c r="V538" s="75">
        <f t="shared" si="16"/>
        <v>804</v>
      </c>
      <c r="W538" s="51" t="s">
        <v>350</v>
      </c>
      <c r="X538" s="198" t="s">
        <v>1599</v>
      </c>
      <c r="Y538" s="199" t="s">
        <v>82</v>
      </c>
      <c r="Z538" s="269"/>
      <c r="AA538" s="170" t="s">
        <v>4061</v>
      </c>
      <c r="AB538" s="243" t="s">
        <v>4137</v>
      </c>
      <c r="AC538" s="172">
        <v>11256</v>
      </c>
      <c r="AE538" s="137" t="s">
        <v>4329</v>
      </c>
      <c r="AF538" s="138"/>
      <c r="AG538" s="138" t="s">
        <v>56</v>
      </c>
      <c r="AH538" s="138" t="s">
        <v>56</v>
      </c>
      <c r="AI538" s="138"/>
      <c r="AJ538" s="138"/>
      <c r="AK538" s="138" t="s">
        <v>1527</v>
      </c>
      <c r="AL538" s="138"/>
    </row>
    <row r="539" spans="1:38" s="200" customFormat="1" ht="34.5" customHeight="1" x14ac:dyDescent="0.25">
      <c r="A539" s="14">
        <v>45903</v>
      </c>
      <c r="B539" s="41" t="s">
        <v>4330</v>
      </c>
      <c r="C539" s="41" t="s">
        <v>4331</v>
      </c>
      <c r="D539" s="41" t="s">
        <v>4332</v>
      </c>
      <c r="E539" s="42" t="s">
        <v>39</v>
      </c>
      <c r="F539" s="43"/>
      <c r="G539" s="19">
        <v>2</v>
      </c>
      <c r="H539" s="43"/>
      <c r="I539" s="245" t="s">
        <v>4333</v>
      </c>
      <c r="J539" s="45">
        <v>36</v>
      </c>
      <c r="K539" s="46" t="s">
        <v>9925</v>
      </c>
      <c r="L539" s="47" t="s">
        <v>63</v>
      </c>
      <c r="M539" s="73" t="s">
        <v>42</v>
      </c>
      <c r="N539" s="77" t="s">
        <v>4335</v>
      </c>
      <c r="O539" s="49"/>
      <c r="P539" s="49" t="s">
        <v>4336</v>
      </c>
      <c r="Q539" s="49" t="s">
        <v>4337</v>
      </c>
      <c r="R539" s="50">
        <v>29</v>
      </c>
      <c r="S539" s="50">
        <v>62</v>
      </c>
      <c r="T539" s="51" t="s">
        <v>96</v>
      </c>
      <c r="U539" s="51">
        <v>12</v>
      </c>
      <c r="V539" s="52">
        <f t="shared" si="16"/>
        <v>432</v>
      </c>
      <c r="W539" s="51" t="s">
        <v>68</v>
      </c>
      <c r="X539" s="198" t="s">
        <v>4338</v>
      </c>
      <c r="Y539" s="199" t="s">
        <v>3963</v>
      </c>
      <c r="Z539" s="169"/>
      <c r="AA539" s="170" t="s">
        <v>4339</v>
      </c>
      <c r="AB539" s="243" t="s">
        <v>4340</v>
      </c>
      <c r="AC539" s="172">
        <v>3678.48</v>
      </c>
      <c r="AE539" s="137" t="s">
        <v>3829</v>
      </c>
      <c r="AF539" s="138"/>
      <c r="AG539" s="138" t="s">
        <v>56</v>
      </c>
      <c r="AH539" s="138" t="s">
        <v>56</v>
      </c>
      <c r="AI539" s="138"/>
      <c r="AJ539" s="138"/>
      <c r="AK539" s="138"/>
      <c r="AL539" s="138"/>
    </row>
    <row r="540" spans="1:38" ht="64.5" customHeight="1" x14ac:dyDescent="0.25">
      <c r="A540" s="14">
        <v>45903</v>
      </c>
      <c r="B540" s="41" t="s">
        <v>4341</v>
      </c>
      <c r="C540" s="41" t="s">
        <v>4342</v>
      </c>
      <c r="D540" s="41"/>
      <c r="E540" s="42" t="s">
        <v>39</v>
      </c>
      <c r="F540" s="19">
        <v>1</v>
      </c>
      <c r="G540" s="43"/>
      <c r="H540" s="43"/>
      <c r="I540" s="245" t="s">
        <v>4343</v>
      </c>
      <c r="J540" s="45">
        <v>5</v>
      </c>
      <c r="K540" s="46" t="s">
        <v>9926</v>
      </c>
      <c r="L540" s="47" t="s">
        <v>63</v>
      </c>
      <c r="M540" s="73" t="s">
        <v>42</v>
      </c>
      <c r="N540" s="77" t="s">
        <v>4344</v>
      </c>
      <c r="O540" s="49" t="s">
        <v>4345</v>
      </c>
      <c r="P540" s="49"/>
      <c r="Q540" s="49" t="s">
        <v>4346</v>
      </c>
      <c r="R540" s="50">
        <v>57</v>
      </c>
      <c r="S540" s="50">
        <v>162</v>
      </c>
      <c r="T540" s="51" t="s">
        <v>47</v>
      </c>
      <c r="U540" s="51">
        <v>6</v>
      </c>
      <c r="V540" s="52">
        <f t="shared" si="16"/>
        <v>30</v>
      </c>
      <c r="W540" s="51" t="s">
        <v>3973</v>
      </c>
      <c r="X540" s="198" t="s">
        <v>4347</v>
      </c>
      <c r="Y540" s="199" t="s">
        <v>82</v>
      </c>
      <c r="Z540" s="169" t="s">
        <v>4185</v>
      </c>
      <c r="AA540" s="170" t="s">
        <v>4119</v>
      </c>
      <c r="AB540" s="243" t="s">
        <v>4348</v>
      </c>
      <c r="AC540" s="172">
        <v>4705</v>
      </c>
      <c r="AE540" s="137" t="s">
        <v>4004</v>
      </c>
      <c r="AF540" s="138"/>
      <c r="AG540" s="138" t="s">
        <v>56</v>
      </c>
      <c r="AH540" s="138" t="s">
        <v>86</v>
      </c>
      <c r="AI540" s="138"/>
      <c r="AJ540" s="138"/>
      <c r="AK540" s="138"/>
      <c r="AL540" s="222"/>
    </row>
    <row r="541" spans="1:38" s="200" customFormat="1" ht="51" customHeight="1" x14ac:dyDescent="0.25">
      <c r="A541" s="14">
        <v>45903</v>
      </c>
      <c r="B541" s="41" t="s">
        <v>4349</v>
      </c>
      <c r="C541" s="41" t="s">
        <v>4350</v>
      </c>
      <c r="D541" s="41" t="s">
        <v>4351</v>
      </c>
      <c r="E541" s="42" t="s">
        <v>39</v>
      </c>
      <c r="F541" s="19">
        <v>1</v>
      </c>
      <c r="G541" s="43"/>
      <c r="H541" s="43"/>
      <c r="I541" s="245" t="s">
        <v>4352</v>
      </c>
      <c r="J541" s="45">
        <v>52</v>
      </c>
      <c r="K541" s="46" t="s">
        <v>9927</v>
      </c>
      <c r="L541" s="47" t="s">
        <v>63</v>
      </c>
      <c r="M541" s="47" t="s">
        <v>42</v>
      </c>
      <c r="N541" s="77" t="s">
        <v>4353</v>
      </c>
      <c r="O541" s="49" t="s">
        <v>4354</v>
      </c>
      <c r="P541" s="49" t="s">
        <v>4355</v>
      </c>
      <c r="Q541" s="49" t="s">
        <v>4255</v>
      </c>
      <c r="R541" s="50">
        <v>105</v>
      </c>
      <c r="S541" s="50">
        <v>295</v>
      </c>
      <c r="T541" s="51" t="s">
        <v>180</v>
      </c>
      <c r="U541" s="51">
        <v>6</v>
      </c>
      <c r="V541" s="52">
        <f t="shared" si="16"/>
        <v>312</v>
      </c>
      <c r="W541" s="51" t="s">
        <v>350</v>
      </c>
      <c r="X541" s="198" t="s">
        <v>416</v>
      </c>
      <c r="Y541" s="199" t="s">
        <v>82</v>
      </c>
      <c r="Z541" s="169"/>
      <c r="AA541" s="170" t="s">
        <v>4061</v>
      </c>
      <c r="AB541" s="243" t="s">
        <v>4161</v>
      </c>
      <c r="AC541" s="172">
        <v>8445.32</v>
      </c>
      <c r="AE541" s="137" t="s">
        <v>3829</v>
      </c>
      <c r="AF541" s="138"/>
      <c r="AG541" s="138" t="s">
        <v>56</v>
      </c>
      <c r="AH541" s="138" t="s">
        <v>56</v>
      </c>
      <c r="AI541" s="138"/>
      <c r="AJ541" s="138" t="s">
        <v>56</v>
      </c>
      <c r="AK541" s="138" t="s">
        <v>2284</v>
      </c>
      <c r="AL541" s="138"/>
    </row>
    <row r="542" spans="1:38" s="200" customFormat="1" ht="47.25" customHeight="1" x14ac:dyDescent="0.25">
      <c r="A542" s="14">
        <v>45903</v>
      </c>
      <c r="B542" s="41" t="s">
        <v>4356</v>
      </c>
      <c r="C542" s="41" t="s">
        <v>4357</v>
      </c>
      <c r="D542" s="41"/>
      <c r="E542" s="51" t="s">
        <v>39</v>
      </c>
      <c r="F542" s="19">
        <v>1</v>
      </c>
      <c r="G542" s="43"/>
      <c r="H542" s="43"/>
      <c r="I542" s="245" t="s">
        <v>4358</v>
      </c>
      <c r="J542" s="45">
        <v>55</v>
      </c>
      <c r="K542" s="46" t="s">
        <v>9927</v>
      </c>
      <c r="L542" s="47" t="s">
        <v>63</v>
      </c>
      <c r="M542" s="127" t="s">
        <v>42</v>
      </c>
      <c r="N542" s="77" t="s">
        <v>4359</v>
      </c>
      <c r="O542" s="49" t="s">
        <v>4360</v>
      </c>
      <c r="P542" s="49"/>
      <c r="Q542" s="49" t="s">
        <v>4361</v>
      </c>
      <c r="R542" s="50">
        <v>20</v>
      </c>
      <c r="S542" s="50">
        <v>26</v>
      </c>
      <c r="T542" s="51" t="s">
        <v>393</v>
      </c>
      <c r="U542" s="51">
        <v>23</v>
      </c>
      <c r="V542" s="75">
        <f t="shared" si="16"/>
        <v>1265</v>
      </c>
      <c r="W542" s="51" t="s">
        <v>350</v>
      </c>
      <c r="X542" s="198" t="s">
        <v>3911</v>
      </c>
      <c r="Y542" s="199" t="s">
        <v>70</v>
      </c>
      <c r="Z542" s="169"/>
      <c r="AA542" s="170" t="s">
        <v>4362</v>
      </c>
      <c r="AB542" s="243" t="s">
        <v>4217</v>
      </c>
      <c r="AC542" s="172">
        <v>4575</v>
      </c>
      <c r="AE542" s="137" t="s">
        <v>4004</v>
      </c>
      <c r="AF542" s="138"/>
      <c r="AG542" s="138" t="s">
        <v>56</v>
      </c>
      <c r="AH542" s="138" t="s">
        <v>56</v>
      </c>
      <c r="AI542" s="138"/>
      <c r="AJ542" s="138"/>
      <c r="AK542" s="138"/>
      <c r="AL542" s="138"/>
    </row>
    <row r="543" spans="1:38" ht="93" customHeight="1" x14ac:dyDescent="0.25">
      <c r="A543" s="14">
        <v>45902</v>
      </c>
      <c r="B543" s="41" t="s">
        <v>3855</v>
      </c>
      <c r="C543" s="41" t="s">
        <v>3856</v>
      </c>
      <c r="D543" s="41" t="s">
        <v>3857</v>
      </c>
      <c r="E543" s="51" t="s">
        <v>39</v>
      </c>
      <c r="F543" s="321">
        <v>1</v>
      </c>
      <c r="G543" s="43"/>
      <c r="H543" s="43"/>
      <c r="I543" s="245" t="s">
        <v>3858</v>
      </c>
      <c r="J543" s="45">
        <f>50</f>
        <v>50</v>
      </c>
      <c r="K543" s="46" t="s">
        <v>4363</v>
      </c>
      <c r="L543" s="47" t="s">
        <v>63</v>
      </c>
      <c r="M543" s="73" t="s">
        <v>42</v>
      </c>
      <c r="N543" s="77" t="s">
        <v>4364</v>
      </c>
      <c r="O543" s="49" t="s">
        <v>3861</v>
      </c>
      <c r="P543" s="49" t="s">
        <v>3862</v>
      </c>
      <c r="Q543" s="49" t="s">
        <v>3863</v>
      </c>
      <c r="R543" s="92">
        <v>148</v>
      </c>
      <c r="S543" s="50">
        <v>675</v>
      </c>
      <c r="T543" s="51" t="s">
        <v>141</v>
      </c>
      <c r="U543" s="51">
        <v>2</v>
      </c>
      <c r="V543" s="52">
        <f t="shared" si="16"/>
        <v>100</v>
      </c>
      <c r="W543" s="51" t="s">
        <v>350</v>
      </c>
      <c r="X543" s="198" t="s">
        <v>482</v>
      </c>
      <c r="Y543" s="199" t="s">
        <v>50</v>
      </c>
      <c r="Z543" s="169"/>
      <c r="AA543" s="170" t="s">
        <v>3864</v>
      </c>
      <c r="AB543" s="243" t="s">
        <v>3865</v>
      </c>
      <c r="AC543" s="35">
        <f>40401.2*J543/188</f>
        <v>10744.999999999998</v>
      </c>
      <c r="AE543" s="137" t="s">
        <v>3829</v>
      </c>
      <c r="AF543" s="138" t="s">
        <v>354</v>
      </c>
      <c r="AG543" s="138" t="s">
        <v>56</v>
      </c>
      <c r="AH543" s="138" t="s">
        <v>56</v>
      </c>
      <c r="AI543" s="138"/>
      <c r="AJ543" s="138" t="s">
        <v>56</v>
      </c>
      <c r="AK543" s="138" t="s">
        <v>2284</v>
      </c>
      <c r="AL543" s="222"/>
    </row>
    <row r="544" spans="1:38" s="279" customFormat="1" ht="53.25" customHeight="1" x14ac:dyDescent="0.25">
      <c r="A544" s="14">
        <v>45902</v>
      </c>
      <c r="B544" s="95" t="s">
        <v>4365</v>
      </c>
      <c r="C544" s="95" t="s">
        <v>4366</v>
      </c>
      <c r="D544" s="95" t="s">
        <v>4367</v>
      </c>
      <c r="E544" s="96" t="s">
        <v>39</v>
      </c>
      <c r="F544" s="97"/>
      <c r="G544" s="97"/>
      <c r="H544" s="19">
        <v>1</v>
      </c>
      <c r="I544" s="245" t="s">
        <v>4368</v>
      </c>
      <c r="J544" s="98">
        <v>6</v>
      </c>
      <c r="K544" s="270" t="s">
        <v>4369</v>
      </c>
      <c r="L544" s="100" t="s">
        <v>63</v>
      </c>
      <c r="M544" s="100" t="s">
        <v>42</v>
      </c>
      <c r="N544" s="101" t="s">
        <v>4370</v>
      </c>
      <c r="O544" s="102" t="s">
        <v>4371</v>
      </c>
      <c r="P544" s="102" t="s">
        <v>4372</v>
      </c>
      <c r="Q544" s="102" t="s">
        <v>4373</v>
      </c>
      <c r="R544" s="103">
        <v>82</v>
      </c>
      <c r="S544" s="103">
        <v>261</v>
      </c>
      <c r="T544" s="96" t="s">
        <v>180</v>
      </c>
      <c r="U544" s="96">
        <v>12</v>
      </c>
      <c r="V544" s="75">
        <f t="shared" si="16"/>
        <v>72</v>
      </c>
      <c r="W544" s="96" t="s">
        <v>4374</v>
      </c>
      <c r="X544" s="258" t="s">
        <v>232</v>
      </c>
      <c r="Y544" s="199" t="s">
        <v>50</v>
      </c>
      <c r="Z544" s="169"/>
      <c r="AA544" s="170" t="s">
        <v>4136</v>
      </c>
      <c r="AB544" s="243" t="s">
        <v>2973</v>
      </c>
      <c r="AC544" s="35">
        <f>8950.7*J544/55</f>
        <v>976.44</v>
      </c>
      <c r="AD544" s="200"/>
      <c r="AE544" s="137" t="s">
        <v>4004</v>
      </c>
      <c r="AF544" s="138"/>
      <c r="AG544" s="138" t="s">
        <v>56</v>
      </c>
      <c r="AH544" s="138" t="s">
        <v>56</v>
      </c>
      <c r="AI544" s="138"/>
      <c r="AJ544" s="138"/>
      <c r="AK544" s="138" t="s">
        <v>1076</v>
      </c>
      <c r="AL544" s="138"/>
    </row>
    <row r="545" spans="1:38" s="200" customFormat="1" ht="65.25" customHeight="1" x14ac:dyDescent="0.25">
      <c r="A545" s="14">
        <v>45902</v>
      </c>
      <c r="B545" s="41" t="s">
        <v>4375</v>
      </c>
      <c r="C545" s="41" t="s">
        <v>4376</v>
      </c>
      <c r="D545" s="41" t="s">
        <v>4377</v>
      </c>
      <c r="E545" s="42" t="s">
        <v>39</v>
      </c>
      <c r="F545" s="19">
        <v>1</v>
      </c>
      <c r="G545" s="43"/>
      <c r="H545" s="43"/>
      <c r="I545" s="245" t="s">
        <v>4378</v>
      </c>
      <c r="J545" s="45">
        <v>40</v>
      </c>
      <c r="K545" s="46" t="s">
        <v>4379</v>
      </c>
      <c r="L545" s="47" t="s">
        <v>63</v>
      </c>
      <c r="M545" s="127" t="s">
        <v>42</v>
      </c>
      <c r="N545" s="77" t="s">
        <v>4380</v>
      </c>
      <c r="O545" s="49" t="s">
        <v>4381</v>
      </c>
      <c r="P545" s="49" t="s">
        <v>4382</v>
      </c>
      <c r="Q545" s="49" t="s">
        <v>4383</v>
      </c>
      <c r="R545" s="50">
        <v>55</v>
      </c>
      <c r="S545" s="50">
        <v>185</v>
      </c>
      <c r="T545" s="51" t="s">
        <v>47</v>
      </c>
      <c r="U545" s="51">
        <v>23</v>
      </c>
      <c r="V545" s="75">
        <f t="shared" si="16"/>
        <v>920</v>
      </c>
      <c r="W545" s="51" t="s">
        <v>350</v>
      </c>
      <c r="X545" s="198" t="s">
        <v>1118</v>
      </c>
      <c r="Y545" s="199" t="s">
        <v>82</v>
      </c>
      <c r="Z545" s="169" t="s">
        <v>4384</v>
      </c>
      <c r="AA545" s="170" t="s">
        <v>4032</v>
      </c>
      <c r="AB545" s="243" t="s">
        <v>4385</v>
      </c>
      <c r="AC545" s="172">
        <v>5428</v>
      </c>
      <c r="AE545" s="137" t="s">
        <v>3829</v>
      </c>
      <c r="AF545" s="138"/>
      <c r="AG545" s="138" t="s">
        <v>56</v>
      </c>
      <c r="AH545" s="138" t="s">
        <v>86</v>
      </c>
      <c r="AI545" s="138"/>
      <c r="AJ545" s="138" t="s">
        <v>56</v>
      </c>
      <c r="AK545" s="222" t="s">
        <v>74</v>
      </c>
      <c r="AL545" s="222"/>
    </row>
    <row r="546" spans="1:38" s="200" customFormat="1" ht="47.25" customHeight="1" x14ac:dyDescent="0.25">
      <c r="A546" s="14">
        <v>45902</v>
      </c>
      <c r="B546" s="41" t="s">
        <v>4386</v>
      </c>
      <c r="C546" s="41" t="s">
        <v>4387</v>
      </c>
      <c r="D546" s="41" t="s">
        <v>4388</v>
      </c>
      <c r="E546" s="42" t="s">
        <v>39</v>
      </c>
      <c r="F546" s="19">
        <v>1</v>
      </c>
      <c r="G546" s="43"/>
      <c r="H546" s="43"/>
      <c r="I546" s="245" t="s">
        <v>4389</v>
      </c>
      <c r="J546" s="45">
        <v>52</v>
      </c>
      <c r="K546" s="46" t="s">
        <v>4390</v>
      </c>
      <c r="L546" s="47" t="s">
        <v>63</v>
      </c>
      <c r="M546" s="127" t="s">
        <v>42</v>
      </c>
      <c r="N546" s="77" t="s">
        <v>4391</v>
      </c>
      <c r="O546" s="49" t="s">
        <v>4392</v>
      </c>
      <c r="P546" s="49" t="s">
        <v>4393</v>
      </c>
      <c r="Q546" s="49" t="s">
        <v>4394</v>
      </c>
      <c r="R546" s="50">
        <v>99</v>
      </c>
      <c r="S546" s="50">
        <v>361</v>
      </c>
      <c r="T546" s="51" t="s">
        <v>549</v>
      </c>
      <c r="U546" s="51">
        <v>12</v>
      </c>
      <c r="V546" s="75">
        <f t="shared" si="16"/>
        <v>624</v>
      </c>
      <c r="W546" s="51" t="s">
        <v>350</v>
      </c>
      <c r="X546" s="198" t="s">
        <v>416</v>
      </c>
      <c r="Y546" s="199" t="s">
        <v>82</v>
      </c>
      <c r="Z546" s="169"/>
      <c r="AA546" s="170" t="s">
        <v>4061</v>
      </c>
      <c r="AB546" s="243" t="s">
        <v>4137</v>
      </c>
      <c r="AC546" s="172">
        <v>8664.24</v>
      </c>
      <c r="AE546" s="137" t="s">
        <v>3829</v>
      </c>
      <c r="AF546" s="138"/>
      <c r="AG546" s="138" t="s">
        <v>56</v>
      </c>
      <c r="AH546" s="138" t="s">
        <v>56</v>
      </c>
      <c r="AI546" s="138"/>
      <c r="AJ546" s="138" t="s">
        <v>56</v>
      </c>
      <c r="AK546" s="138" t="s">
        <v>74</v>
      </c>
      <c r="AL546" s="222"/>
    </row>
    <row r="547" spans="1:38" s="200" customFormat="1" ht="48" customHeight="1" x14ac:dyDescent="0.25">
      <c r="A547" s="14">
        <v>45902</v>
      </c>
      <c r="B547" s="41" t="s">
        <v>4395</v>
      </c>
      <c r="C547" s="41" t="s">
        <v>4396</v>
      </c>
      <c r="D547" s="41" t="s">
        <v>4397</v>
      </c>
      <c r="E547" s="42" t="s">
        <v>39</v>
      </c>
      <c r="F547" s="19">
        <v>1</v>
      </c>
      <c r="G547" s="43"/>
      <c r="H547" s="43"/>
      <c r="I547" s="245" t="s">
        <v>4220</v>
      </c>
      <c r="J547" s="45">
        <v>50</v>
      </c>
      <c r="K547" s="46" t="s">
        <v>4398</v>
      </c>
      <c r="L547" s="47" t="s">
        <v>63</v>
      </c>
      <c r="M547" s="73" t="s">
        <v>42</v>
      </c>
      <c r="N547" s="77" t="s">
        <v>4399</v>
      </c>
      <c r="O547" s="49"/>
      <c r="P547" s="49" t="s">
        <v>4346</v>
      </c>
      <c r="Q547" s="49" t="s">
        <v>4400</v>
      </c>
      <c r="R547" s="50">
        <v>29</v>
      </c>
      <c r="S547" s="50">
        <v>105</v>
      </c>
      <c r="T547" s="51" t="s">
        <v>67</v>
      </c>
      <c r="U547" s="51">
        <v>11</v>
      </c>
      <c r="V547" s="75">
        <f t="shared" ref="V547:V610" si="17">U547*J547</f>
        <v>550</v>
      </c>
      <c r="W547" s="51" t="s">
        <v>350</v>
      </c>
      <c r="X547" s="198" t="s">
        <v>4222</v>
      </c>
      <c r="Y547" s="199" t="s">
        <v>82</v>
      </c>
      <c r="Z547" s="169"/>
      <c r="AA547" s="170" t="s">
        <v>3818</v>
      </c>
      <c r="AB547" s="243" t="s">
        <v>4223</v>
      </c>
      <c r="AC547" s="172">
        <v>1947.5</v>
      </c>
      <c r="AE547" s="137" t="s">
        <v>3829</v>
      </c>
      <c r="AF547" s="138"/>
      <c r="AG547" s="138" t="s">
        <v>56</v>
      </c>
      <c r="AH547" s="138" t="s">
        <v>86</v>
      </c>
      <c r="AI547" s="138"/>
      <c r="AJ547" s="138" t="s">
        <v>56</v>
      </c>
      <c r="AK547" s="138" t="s">
        <v>2284</v>
      </c>
      <c r="AL547" s="222"/>
    </row>
    <row r="548" spans="1:38" s="200" customFormat="1" ht="48.75" customHeight="1" x14ac:dyDescent="0.25">
      <c r="A548" s="14">
        <v>45902</v>
      </c>
      <c r="B548" s="41" t="s">
        <v>4401</v>
      </c>
      <c r="C548" s="41" t="s">
        <v>4402</v>
      </c>
      <c r="D548" s="331" t="s">
        <v>4403</v>
      </c>
      <c r="E548" s="42" t="s">
        <v>39</v>
      </c>
      <c r="F548" s="19">
        <v>1</v>
      </c>
      <c r="G548" s="43"/>
      <c r="H548" s="43"/>
      <c r="I548" s="245" t="s">
        <v>4404</v>
      </c>
      <c r="J548" s="45">
        <v>120</v>
      </c>
      <c r="K548" s="46" t="s">
        <v>4405</v>
      </c>
      <c r="L548" s="47" t="s">
        <v>63</v>
      </c>
      <c r="M548" s="73" t="s">
        <v>42</v>
      </c>
      <c r="N548" s="77" t="s">
        <v>4406</v>
      </c>
      <c r="O548" s="49"/>
      <c r="P548" s="49" t="s">
        <v>4400</v>
      </c>
      <c r="Q548" s="49" t="s">
        <v>4407</v>
      </c>
      <c r="R548" s="50">
        <v>7</v>
      </c>
      <c r="S548" s="50">
        <v>8</v>
      </c>
      <c r="T548" s="51" t="s">
        <v>96</v>
      </c>
      <c r="U548" s="51">
        <v>2</v>
      </c>
      <c r="V548" s="52">
        <f t="shared" si="17"/>
        <v>240</v>
      </c>
      <c r="W548" s="51" t="s">
        <v>142</v>
      </c>
      <c r="X548" s="198" t="s">
        <v>2952</v>
      </c>
      <c r="Y548" s="199" t="s">
        <v>82</v>
      </c>
      <c r="Z548" s="169"/>
      <c r="AA548" s="170" t="s">
        <v>3466</v>
      </c>
      <c r="AB548" s="243" t="s">
        <v>4408</v>
      </c>
      <c r="AC548" s="172">
        <v>2550</v>
      </c>
      <c r="AE548" s="137" t="s">
        <v>4409</v>
      </c>
      <c r="AF548" s="138"/>
      <c r="AG548" s="138" t="s">
        <v>56</v>
      </c>
      <c r="AH548" s="138" t="s">
        <v>56</v>
      </c>
      <c r="AI548" s="138"/>
      <c r="AJ548" s="138"/>
      <c r="AK548" s="138"/>
      <c r="AL548" s="222"/>
    </row>
    <row r="549" spans="1:38" ht="76.5" customHeight="1" x14ac:dyDescent="0.25">
      <c r="A549" s="14">
        <v>45902</v>
      </c>
      <c r="B549" s="41" t="s">
        <v>4410</v>
      </c>
      <c r="C549" s="41" t="s">
        <v>4411</v>
      </c>
      <c r="D549" s="41" t="s">
        <v>4412</v>
      </c>
      <c r="E549" s="42" t="s">
        <v>39</v>
      </c>
      <c r="F549" s="43"/>
      <c r="G549" s="19">
        <v>1</v>
      </c>
      <c r="H549" s="43"/>
      <c r="I549" s="245" t="s">
        <v>4413</v>
      </c>
      <c r="J549" s="45">
        <v>10</v>
      </c>
      <c r="K549" s="46" t="s">
        <v>4414</v>
      </c>
      <c r="L549" s="47" t="s">
        <v>63</v>
      </c>
      <c r="M549" s="73" t="s">
        <v>42</v>
      </c>
      <c r="N549" s="77" t="s">
        <v>4415</v>
      </c>
      <c r="O549" s="49"/>
      <c r="P549" s="49" t="s">
        <v>4416</v>
      </c>
      <c r="Q549" s="49" t="s">
        <v>4417</v>
      </c>
      <c r="R549" s="50">
        <v>75</v>
      </c>
      <c r="S549" s="50">
        <v>517</v>
      </c>
      <c r="T549" s="51" t="s">
        <v>67</v>
      </c>
      <c r="U549" s="51">
        <v>57</v>
      </c>
      <c r="V549" s="75">
        <f t="shared" si="17"/>
        <v>570</v>
      </c>
      <c r="W549" s="51" t="s">
        <v>221</v>
      </c>
      <c r="X549" s="198" t="s">
        <v>4418</v>
      </c>
      <c r="Y549" s="168" t="s">
        <v>70</v>
      </c>
      <c r="Z549" s="169" t="s">
        <v>645</v>
      </c>
      <c r="AA549" s="170" t="s">
        <v>646</v>
      </c>
      <c r="AB549" s="243" t="s">
        <v>4419</v>
      </c>
      <c r="AC549" s="172">
        <v>3793.5</v>
      </c>
      <c r="AE549" s="137" t="s">
        <v>3829</v>
      </c>
      <c r="AF549" s="138"/>
      <c r="AG549" s="138" t="s">
        <v>56</v>
      </c>
      <c r="AH549" s="138" t="s">
        <v>86</v>
      </c>
      <c r="AI549" s="138"/>
      <c r="AJ549" s="138" t="s">
        <v>4420</v>
      </c>
      <c r="AK549" s="222" t="s">
        <v>74</v>
      </c>
      <c r="AL549" s="222"/>
    </row>
    <row r="550" spans="1:38" s="200" customFormat="1" ht="81.75" customHeight="1" x14ac:dyDescent="0.25">
      <c r="A550" s="14">
        <v>45902</v>
      </c>
      <c r="B550" s="95" t="s">
        <v>4421</v>
      </c>
      <c r="C550" s="95" t="s">
        <v>4422</v>
      </c>
      <c r="D550" s="95" t="s">
        <v>4423</v>
      </c>
      <c r="E550" s="96" t="s">
        <v>39</v>
      </c>
      <c r="F550" s="19">
        <v>1</v>
      </c>
      <c r="G550" s="97"/>
      <c r="H550" s="97"/>
      <c r="I550" s="245" t="s">
        <v>4424</v>
      </c>
      <c r="J550" s="98">
        <v>59</v>
      </c>
      <c r="K550" s="270" t="s">
        <v>4425</v>
      </c>
      <c r="L550" s="100" t="s">
        <v>63</v>
      </c>
      <c r="M550" s="100" t="s">
        <v>55</v>
      </c>
      <c r="N550" s="101" t="s">
        <v>4426</v>
      </c>
      <c r="O550" s="102" t="s">
        <v>4427</v>
      </c>
      <c r="P550" s="102" t="s">
        <v>4428</v>
      </c>
      <c r="Q550" s="102" t="s">
        <v>4429</v>
      </c>
      <c r="R550" s="103">
        <v>52</v>
      </c>
      <c r="S550" s="103">
        <v>480</v>
      </c>
      <c r="T550" s="96" t="s">
        <v>47</v>
      </c>
      <c r="U550" s="96">
        <v>27</v>
      </c>
      <c r="V550" s="104">
        <f t="shared" si="17"/>
        <v>1593</v>
      </c>
      <c r="W550" s="96" t="s">
        <v>68</v>
      </c>
      <c r="X550" s="258" t="s">
        <v>2971</v>
      </c>
      <c r="Y550" s="199" t="s">
        <v>50</v>
      </c>
      <c r="Z550" s="169"/>
      <c r="AA550" s="170" t="s">
        <v>4362</v>
      </c>
      <c r="AB550" s="243" t="s">
        <v>4217</v>
      </c>
      <c r="AC550" s="172">
        <v>23832.400000000001</v>
      </c>
      <c r="AE550" s="137" t="s">
        <v>4004</v>
      </c>
      <c r="AF550" s="138"/>
      <c r="AG550" s="138" t="s">
        <v>56</v>
      </c>
      <c r="AH550" s="138" t="s">
        <v>56</v>
      </c>
      <c r="AI550" s="138"/>
      <c r="AJ550" s="138" t="s">
        <v>56</v>
      </c>
      <c r="AK550" s="138" t="s">
        <v>2665</v>
      </c>
      <c r="AL550" s="138"/>
    </row>
    <row r="551" spans="1:38" s="200" customFormat="1" ht="66" customHeight="1" x14ac:dyDescent="0.25">
      <c r="A551" s="14">
        <v>45902</v>
      </c>
      <c r="B551" s="41" t="s">
        <v>4430</v>
      </c>
      <c r="C551" s="41" t="s">
        <v>4431</v>
      </c>
      <c r="D551" s="41" t="s">
        <v>4432</v>
      </c>
      <c r="E551" s="42" t="s">
        <v>39</v>
      </c>
      <c r="F551" s="43"/>
      <c r="G551" s="43"/>
      <c r="H551" s="19">
        <v>1</v>
      </c>
      <c r="I551" s="245" t="s">
        <v>4433</v>
      </c>
      <c r="J551" s="45">
        <v>1</v>
      </c>
      <c r="K551" s="46" t="s">
        <v>4434</v>
      </c>
      <c r="L551" s="47" t="s">
        <v>63</v>
      </c>
      <c r="M551" s="127" t="s">
        <v>42</v>
      </c>
      <c r="N551" s="77" t="s">
        <v>4435</v>
      </c>
      <c r="O551" s="49" t="s">
        <v>4436</v>
      </c>
      <c r="P551" s="49" t="s">
        <v>4437</v>
      </c>
      <c r="Q551" s="49" t="s">
        <v>4438</v>
      </c>
      <c r="R551" s="50">
        <v>94</v>
      </c>
      <c r="S551" s="50">
        <v>372</v>
      </c>
      <c r="T551" s="51" t="s">
        <v>180</v>
      </c>
      <c r="U551" s="51">
        <v>2</v>
      </c>
      <c r="V551" s="52">
        <f t="shared" si="17"/>
        <v>2</v>
      </c>
      <c r="W551" s="51" t="s">
        <v>142</v>
      </c>
      <c r="X551" s="198" t="s">
        <v>4439</v>
      </c>
      <c r="Y551" s="199" t="s">
        <v>1862</v>
      </c>
      <c r="Z551" s="169"/>
      <c r="AA551" s="170" t="s">
        <v>3704</v>
      </c>
      <c r="AB551" s="243" t="s">
        <v>4340</v>
      </c>
      <c r="AC551" s="35">
        <f>15211.2*J551/120</f>
        <v>126.76</v>
      </c>
      <c r="AE551" s="137" t="s">
        <v>3829</v>
      </c>
      <c r="AF551" s="138"/>
      <c r="AG551" s="138" t="s">
        <v>56</v>
      </c>
      <c r="AH551" s="138" t="s">
        <v>56</v>
      </c>
      <c r="AI551" s="138"/>
      <c r="AJ551" s="138" t="s">
        <v>4440</v>
      </c>
      <c r="AK551" s="222" t="s">
        <v>2284</v>
      </c>
      <c r="AL551" s="222"/>
    </row>
    <row r="552" spans="1:38" s="200" customFormat="1" ht="63" customHeight="1" x14ac:dyDescent="0.25">
      <c r="A552" s="14">
        <v>45897</v>
      </c>
      <c r="B552" s="41" t="s">
        <v>4441</v>
      </c>
      <c r="C552" s="41" t="s">
        <v>4442</v>
      </c>
      <c r="D552" s="41" t="s">
        <v>4443</v>
      </c>
      <c r="E552" s="42" t="s">
        <v>39</v>
      </c>
      <c r="F552" s="19">
        <v>1</v>
      </c>
      <c r="G552" s="43"/>
      <c r="H552" s="43"/>
      <c r="I552" s="245" t="s">
        <v>4444</v>
      </c>
      <c r="J552" s="45">
        <v>20</v>
      </c>
      <c r="K552" s="46" t="s">
        <v>4445</v>
      </c>
      <c r="L552" s="47" t="s">
        <v>63</v>
      </c>
      <c r="M552" s="127" t="s">
        <v>42</v>
      </c>
      <c r="N552" s="77" t="s">
        <v>4446</v>
      </c>
      <c r="O552" s="49" t="s">
        <v>4394</v>
      </c>
      <c r="P552" s="49" t="s">
        <v>4447</v>
      </c>
      <c r="Q552" s="49" t="s">
        <v>4159</v>
      </c>
      <c r="R552" s="50">
        <v>80</v>
      </c>
      <c r="S552" s="50">
        <v>310</v>
      </c>
      <c r="T552" s="51" t="s">
        <v>47</v>
      </c>
      <c r="U552" s="51">
        <v>11</v>
      </c>
      <c r="V552" s="52">
        <f t="shared" si="17"/>
        <v>220</v>
      </c>
      <c r="W552" s="51" t="s">
        <v>350</v>
      </c>
      <c r="X552" s="198" t="s">
        <v>773</v>
      </c>
      <c r="Y552" s="199" t="s">
        <v>70</v>
      </c>
      <c r="Z552" s="169"/>
      <c r="AA552" s="170" t="s">
        <v>3953</v>
      </c>
      <c r="AB552" s="243" t="s">
        <v>4240</v>
      </c>
      <c r="AC552" s="172">
        <v>6599.2</v>
      </c>
      <c r="AE552" s="137" t="s">
        <v>3829</v>
      </c>
      <c r="AF552" s="138"/>
      <c r="AG552" s="138" t="s">
        <v>56</v>
      </c>
      <c r="AH552" s="138" t="s">
        <v>56</v>
      </c>
      <c r="AI552" s="138"/>
      <c r="AJ552" s="138"/>
      <c r="AK552" s="222"/>
      <c r="AL552" s="222"/>
    </row>
    <row r="553" spans="1:38" s="200" customFormat="1" ht="78" customHeight="1" x14ac:dyDescent="0.25">
      <c r="A553" s="14">
        <v>45897</v>
      </c>
      <c r="B553" s="41" t="s">
        <v>4430</v>
      </c>
      <c r="C553" s="41" t="s">
        <v>4431</v>
      </c>
      <c r="D553" s="41"/>
      <c r="E553" s="42" t="s">
        <v>39</v>
      </c>
      <c r="F553" s="43"/>
      <c r="G553" s="43"/>
      <c r="H553" s="19">
        <v>1</v>
      </c>
      <c r="I553" s="245" t="s">
        <v>4448</v>
      </c>
      <c r="J553" s="45">
        <v>119</v>
      </c>
      <c r="K553" s="46" t="s">
        <v>4445</v>
      </c>
      <c r="L553" s="47" t="s">
        <v>63</v>
      </c>
      <c r="M553" s="127" t="s">
        <v>42</v>
      </c>
      <c r="N553" s="77" t="s">
        <v>4449</v>
      </c>
      <c r="O553" s="49" t="s">
        <v>4436</v>
      </c>
      <c r="P553" s="49" t="s">
        <v>4437</v>
      </c>
      <c r="Q553" s="49" t="s">
        <v>4438</v>
      </c>
      <c r="R553" s="50">
        <v>94</v>
      </c>
      <c r="S553" s="50">
        <v>372</v>
      </c>
      <c r="T553" s="51" t="s">
        <v>180</v>
      </c>
      <c r="U553" s="51">
        <v>2</v>
      </c>
      <c r="V553" s="52">
        <f t="shared" si="17"/>
        <v>238</v>
      </c>
      <c r="W553" s="51" t="s">
        <v>142</v>
      </c>
      <c r="X553" s="198" t="s">
        <v>4439</v>
      </c>
      <c r="Y553" s="199" t="s">
        <v>1862</v>
      </c>
      <c r="Z553" s="169" t="s">
        <v>51</v>
      </c>
      <c r="AA553" s="170" t="s">
        <v>3704</v>
      </c>
      <c r="AB553" s="243" t="s">
        <v>4340</v>
      </c>
      <c r="AC553" s="35">
        <f>15211.2*J553/120</f>
        <v>15084.44</v>
      </c>
      <c r="AE553" s="137" t="s">
        <v>3829</v>
      </c>
      <c r="AF553" s="138"/>
      <c r="AG553" s="138" t="s">
        <v>56</v>
      </c>
      <c r="AH553" s="138" t="s">
        <v>56</v>
      </c>
      <c r="AI553" s="138"/>
      <c r="AJ553" s="138" t="s">
        <v>4440</v>
      </c>
      <c r="AK553" s="222" t="s">
        <v>2284</v>
      </c>
      <c r="AL553" s="222"/>
    </row>
    <row r="554" spans="1:38" s="200" customFormat="1" ht="146.25" customHeight="1" x14ac:dyDescent="0.25">
      <c r="A554" s="14">
        <v>45897</v>
      </c>
      <c r="B554" s="41" t="s">
        <v>4450</v>
      </c>
      <c r="C554" s="41" t="s">
        <v>4451</v>
      </c>
      <c r="D554" s="41"/>
      <c r="E554" s="42" t="s">
        <v>195</v>
      </c>
      <c r="F554" s="43"/>
      <c r="G554" s="43"/>
      <c r="H554" s="43"/>
      <c r="I554" s="245" t="s">
        <v>4452</v>
      </c>
      <c r="J554" s="45">
        <v>16</v>
      </c>
      <c r="K554" s="46" t="s">
        <v>4453</v>
      </c>
      <c r="L554" s="47" t="s">
        <v>42</v>
      </c>
      <c r="M554" s="42" t="s">
        <v>55</v>
      </c>
      <c r="N554" s="332" t="s">
        <v>4454</v>
      </c>
      <c r="O554" s="49"/>
      <c r="P554" s="49"/>
      <c r="Q554" s="49"/>
      <c r="R554" s="50">
        <v>0</v>
      </c>
      <c r="S554" s="50">
        <v>0</v>
      </c>
      <c r="T554" s="51">
        <v>0</v>
      </c>
      <c r="U554" s="51">
        <v>59</v>
      </c>
      <c r="V554" s="52">
        <f t="shared" si="17"/>
        <v>944</v>
      </c>
      <c r="W554" s="51" t="s">
        <v>142</v>
      </c>
      <c r="X554" s="198" t="s">
        <v>2148</v>
      </c>
      <c r="Y554" s="199" t="s">
        <v>3963</v>
      </c>
      <c r="Z554" s="169"/>
      <c r="AA554" s="170" t="s">
        <v>2680</v>
      </c>
      <c r="AB554" s="243" t="s">
        <v>3828</v>
      </c>
      <c r="AC554" s="172">
        <v>2388.3200000000002</v>
      </c>
      <c r="AE554" s="137" t="s">
        <v>4455</v>
      </c>
      <c r="AF554" s="138"/>
      <c r="AG554" s="138" t="s">
        <v>56</v>
      </c>
      <c r="AH554" s="138" t="s">
        <v>56</v>
      </c>
      <c r="AI554" s="138"/>
      <c r="AJ554" s="138"/>
      <c r="AK554" s="138"/>
      <c r="AL554" s="138"/>
    </row>
    <row r="555" spans="1:38" s="200" customFormat="1" ht="75" customHeight="1" x14ac:dyDescent="0.25">
      <c r="A555" s="14">
        <v>45897</v>
      </c>
      <c r="B555" s="41" t="s">
        <v>4456</v>
      </c>
      <c r="C555" s="41" t="s">
        <v>4457</v>
      </c>
      <c r="D555" s="41" t="s">
        <v>4458</v>
      </c>
      <c r="E555" s="319" t="s">
        <v>39</v>
      </c>
      <c r="F555" s="19">
        <v>1</v>
      </c>
      <c r="G555" s="43"/>
      <c r="H555" s="43"/>
      <c r="I555" s="245" t="s">
        <v>4459</v>
      </c>
      <c r="J555" s="45">
        <v>70</v>
      </c>
      <c r="K555" s="46" t="s">
        <v>4460</v>
      </c>
      <c r="L555" s="50" t="s">
        <v>63</v>
      </c>
      <c r="M555" s="127" t="s">
        <v>42</v>
      </c>
      <c r="N555" s="77" t="s">
        <v>4461</v>
      </c>
      <c r="O555" s="49" t="s">
        <v>4462</v>
      </c>
      <c r="P555" s="49" t="s">
        <v>4437</v>
      </c>
      <c r="Q555" s="49" t="s">
        <v>4463</v>
      </c>
      <c r="R555" s="50">
        <v>39</v>
      </c>
      <c r="S555" s="50">
        <v>126</v>
      </c>
      <c r="T555" s="51" t="s">
        <v>47</v>
      </c>
      <c r="U555" s="51">
        <v>6</v>
      </c>
      <c r="V555" s="52">
        <f t="shared" si="17"/>
        <v>420</v>
      </c>
      <c r="W555" s="51" t="s">
        <v>350</v>
      </c>
      <c r="X555" s="198" t="s">
        <v>3911</v>
      </c>
      <c r="Y555" s="199" t="s">
        <v>70</v>
      </c>
      <c r="Z555" s="169"/>
      <c r="AA555" s="170" t="s">
        <v>4061</v>
      </c>
      <c r="AB555" s="243" t="s">
        <v>4137</v>
      </c>
      <c r="AC555" s="172">
        <v>4801.6000000000004</v>
      </c>
      <c r="AE555" s="137" t="s">
        <v>4464</v>
      </c>
      <c r="AF555" s="138"/>
      <c r="AG555" s="138" t="s">
        <v>56</v>
      </c>
      <c r="AH555" s="138" t="s">
        <v>56</v>
      </c>
      <c r="AI555" s="138"/>
      <c r="AJ555" s="138"/>
      <c r="AK555" s="138"/>
      <c r="AL555" s="138"/>
    </row>
    <row r="556" spans="1:38" s="279" customFormat="1" ht="93.75" customHeight="1" x14ac:dyDescent="0.25">
      <c r="A556" s="14">
        <v>45896</v>
      </c>
      <c r="B556" s="41" t="s">
        <v>4465</v>
      </c>
      <c r="C556" s="41" t="s">
        <v>4466</v>
      </c>
      <c r="D556" s="41" t="s">
        <v>4467</v>
      </c>
      <c r="E556" s="42" t="s">
        <v>195</v>
      </c>
      <c r="F556" s="43"/>
      <c r="G556" s="43"/>
      <c r="H556" s="43"/>
      <c r="I556" s="245" t="s">
        <v>9888</v>
      </c>
      <c r="J556" s="45">
        <f>153-55</f>
        <v>98</v>
      </c>
      <c r="K556" s="46" t="s">
        <v>9978</v>
      </c>
      <c r="L556" s="47" t="s">
        <v>63</v>
      </c>
      <c r="M556" s="127" t="s">
        <v>42</v>
      </c>
      <c r="N556" s="77" t="s">
        <v>4468</v>
      </c>
      <c r="O556" s="49"/>
      <c r="P556" s="49"/>
      <c r="Q556" s="49" t="s">
        <v>4469</v>
      </c>
      <c r="R556" s="50">
        <v>1</v>
      </c>
      <c r="S556" s="50">
        <v>5</v>
      </c>
      <c r="T556" s="51" t="s">
        <v>393</v>
      </c>
      <c r="U556" s="51">
        <v>5</v>
      </c>
      <c r="V556" s="52">
        <f t="shared" si="17"/>
        <v>490</v>
      </c>
      <c r="W556" s="51" t="s">
        <v>350</v>
      </c>
      <c r="X556" s="198" t="s">
        <v>482</v>
      </c>
      <c r="Y556" s="199" t="s">
        <v>50</v>
      </c>
      <c r="Z556" s="169" t="s">
        <v>4470</v>
      </c>
      <c r="AA556" s="170" t="s">
        <v>4061</v>
      </c>
      <c r="AB556" s="243" t="s">
        <v>4217</v>
      </c>
      <c r="AC556" s="35">
        <f>3595.5*J556/153</f>
        <v>2303</v>
      </c>
      <c r="AD556" s="200"/>
      <c r="AE556" s="137" t="s">
        <v>2776</v>
      </c>
      <c r="AF556" s="318"/>
      <c r="AG556" s="138" t="s">
        <v>56</v>
      </c>
      <c r="AH556" s="138" t="s">
        <v>56</v>
      </c>
      <c r="AI556" s="318"/>
      <c r="AJ556" s="138" t="s">
        <v>56</v>
      </c>
      <c r="AK556" s="222" t="s">
        <v>74</v>
      </c>
      <c r="AL556" s="318"/>
    </row>
    <row r="557" spans="1:38" ht="90.75" customHeight="1" x14ac:dyDescent="0.25">
      <c r="A557" s="14">
        <v>45896</v>
      </c>
      <c r="B557" s="41" t="s">
        <v>3845</v>
      </c>
      <c r="C557" s="41" t="s">
        <v>3846</v>
      </c>
      <c r="D557" s="41" t="s">
        <v>3847</v>
      </c>
      <c r="E557" s="42" t="s">
        <v>39</v>
      </c>
      <c r="F557" s="43"/>
      <c r="G557" s="43"/>
      <c r="H557" s="19">
        <v>1</v>
      </c>
      <c r="I557" s="245" t="s">
        <v>4471</v>
      </c>
      <c r="J557" s="45">
        <v>110</v>
      </c>
      <c r="K557" s="46" t="s">
        <v>4472</v>
      </c>
      <c r="L557" s="47" t="s">
        <v>63</v>
      </c>
      <c r="M557" s="73" t="s">
        <v>42</v>
      </c>
      <c r="N557" s="77" t="s">
        <v>4473</v>
      </c>
      <c r="O557" s="49"/>
      <c r="P557" s="49" t="s">
        <v>3851</v>
      </c>
      <c r="Q557" s="49" t="s">
        <v>3852</v>
      </c>
      <c r="R557" s="50">
        <v>2</v>
      </c>
      <c r="S557" s="50">
        <v>4</v>
      </c>
      <c r="T557" s="51" t="s">
        <v>96</v>
      </c>
      <c r="U557" s="51">
        <v>0</v>
      </c>
      <c r="V557" s="52">
        <f t="shared" si="17"/>
        <v>0</v>
      </c>
      <c r="W557" s="51" t="s">
        <v>350</v>
      </c>
      <c r="X557" s="198" t="s">
        <v>482</v>
      </c>
      <c r="Y557" s="199" t="s">
        <v>50</v>
      </c>
      <c r="Z557" s="169" t="s">
        <v>483</v>
      </c>
      <c r="AA557" s="170" t="s">
        <v>3853</v>
      </c>
      <c r="AB557" s="243" t="s">
        <v>3854</v>
      </c>
      <c r="AC557" s="35">
        <f>6403.2*J557/368</f>
        <v>1914</v>
      </c>
      <c r="AE557" s="137" t="s">
        <v>2776</v>
      </c>
      <c r="AF557" s="138" t="s">
        <v>354</v>
      </c>
      <c r="AG557" s="138" t="s">
        <v>56</v>
      </c>
      <c r="AH557" s="138" t="s">
        <v>56</v>
      </c>
      <c r="AI557" s="138"/>
      <c r="AJ557" s="138" t="s">
        <v>56</v>
      </c>
      <c r="AK557" s="138" t="s">
        <v>1527</v>
      </c>
      <c r="AL557" s="222"/>
    </row>
    <row r="558" spans="1:38" s="200" customFormat="1" ht="102" customHeight="1" x14ac:dyDescent="0.25">
      <c r="A558" s="14">
        <v>45896</v>
      </c>
      <c r="B558" s="41" t="s">
        <v>3866</v>
      </c>
      <c r="C558" s="41" t="s">
        <v>4474</v>
      </c>
      <c r="D558" s="41" t="s">
        <v>4475</v>
      </c>
      <c r="E558" s="42" t="s">
        <v>39</v>
      </c>
      <c r="F558" s="43"/>
      <c r="G558" s="43"/>
      <c r="H558" s="19" t="s">
        <v>1877</v>
      </c>
      <c r="I558" s="245" t="s">
        <v>4476</v>
      </c>
      <c r="J558" s="45">
        <v>46</v>
      </c>
      <c r="K558" s="46" t="s">
        <v>4477</v>
      </c>
      <c r="L558" s="47" t="s">
        <v>63</v>
      </c>
      <c r="M558" s="73" t="s">
        <v>42</v>
      </c>
      <c r="N558" s="77" t="s">
        <v>4478</v>
      </c>
      <c r="O558" s="49"/>
      <c r="P558" s="49"/>
      <c r="Q558" s="49"/>
      <c r="R558" s="50">
        <v>1</v>
      </c>
      <c r="S558" s="50">
        <v>1</v>
      </c>
      <c r="T558" s="51" t="s">
        <v>393</v>
      </c>
      <c r="U558" s="51">
        <v>1</v>
      </c>
      <c r="V558" s="52">
        <f t="shared" si="17"/>
        <v>46</v>
      </c>
      <c r="W558" s="51" t="s">
        <v>350</v>
      </c>
      <c r="X558" s="198" t="s">
        <v>482</v>
      </c>
      <c r="Y558" s="199" t="s">
        <v>50</v>
      </c>
      <c r="Z558" s="169" t="s">
        <v>483</v>
      </c>
      <c r="AA558" s="170" t="s">
        <v>3872</v>
      </c>
      <c r="AB558" s="243" t="s">
        <v>3873</v>
      </c>
      <c r="AC558" s="322">
        <f>5255 * J558/188</f>
        <v>1285.7978723404256</v>
      </c>
      <c r="AE558" s="137" t="s">
        <v>2776</v>
      </c>
      <c r="AF558" s="138"/>
      <c r="AG558" s="138" t="s">
        <v>56</v>
      </c>
      <c r="AH558" s="138" t="s">
        <v>56</v>
      </c>
      <c r="AI558" s="138"/>
      <c r="AJ558" s="138" t="s">
        <v>56</v>
      </c>
      <c r="AK558" s="138" t="s">
        <v>2284</v>
      </c>
      <c r="AL558" s="222"/>
    </row>
    <row r="559" spans="1:38" ht="75.75" customHeight="1" x14ac:dyDescent="0.25">
      <c r="A559" s="14">
        <v>45896</v>
      </c>
      <c r="B559" s="41" t="s">
        <v>4005</v>
      </c>
      <c r="C559" s="41" t="s">
        <v>4479</v>
      </c>
      <c r="D559" s="41" t="s">
        <v>4480</v>
      </c>
      <c r="E559" s="42" t="s">
        <v>39</v>
      </c>
      <c r="F559" s="43"/>
      <c r="G559" s="19">
        <v>1</v>
      </c>
      <c r="H559" s="43"/>
      <c r="I559" s="245" t="s">
        <v>4481</v>
      </c>
      <c r="J559" s="45">
        <v>173</v>
      </c>
      <c r="K559" s="46" t="s">
        <v>4482</v>
      </c>
      <c r="L559" s="47" t="s">
        <v>63</v>
      </c>
      <c r="M559" s="73" t="s">
        <v>42</v>
      </c>
      <c r="N559" s="77" t="s">
        <v>4483</v>
      </c>
      <c r="O559" s="49" t="s">
        <v>4484</v>
      </c>
      <c r="P559" s="49" t="s">
        <v>4381</v>
      </c>
      <c r="Q559" s="49" t="s">
        <v>4336</v>
      </c>
      <c r="R559" s="50">
        <v>22</v>
      </c>
      <c r="S559" s="50">
        <v>45</v>
      </c>
      <c r="T559" s="51" t="s">
        <v>47</v>
      </c>
      <c r="U559" s="51">
        <v>10</v>
      </c>
      <c r="V559" s="75">
        <f t="shared" si="17"/>
        <v>1730</v>
      </c>
      <c r="W559" s="51" t="s">
        <v>221</v>
      </c>
      <c r="X559" s="325" t="s">
        <v>4015</v>
      </c>
      <c r="Y559" s="199" t="s">
        <v>82</v>
      </c>
      <c r="Z559" s="169" t="s">
        <v>4016</v>
      </c>
      <c r="AA559" s="170" t="s">
        <v>4017</v>
      </c>
      <c r="AB559" s="243" t="s">
        <v>4018</v>
      </c>
      <c r="AC559" s="35">
        <f>6655.5*J559/270</f>
        <v>4264.45</v>
      </c>
      <c r="AE559" s="137" t="s">
        <v>4004</v>
      </c>
      <c r="AF559" s="138" t="s">
        <v>354</v>
      </c>
      <c r="AG559" s="138" t="s">
        <v>56</v>
      </c>
      <c r="AH559" s="138" t="s">
        <v>56</v>
      </c>
      <c r="AI559" s="138"/>
      <c r="AJ559" s="138" t="s">
        <v>56</v>
      </c>
      <c r="AK559" s="222" t="s">
        <v>74</v>
      </c>
      <c r="AL559" s="222"/>
    </row>
    <row r="560" spans="1:38" s="200" customFormat="1" ht="89.25" customHeight="1" x14ac:dyDescent="0.25">
      <c r="A560" s="14">
        <v>45896</v>
      </c>
      <c r="B560" s="41" t="s">
        <v>4485</v>
      </c>
      <c r="C560" s="41" t="s">
        <v>4486</v>
      </c>
      <c r="D560" s="41" t="s">
        <v>4487</v>
      </c>
      <c r="E560" s="42" t="s">
        <v>39</v>
      </c>
      <c r="F560" s="19">
        <v>1</v>
      </c>
      <c r="G560" s="43"/>
      <c r="H560" s="43"/>
      <c r="I560" s="245" t="s">
        <v>4488</v>
      </c>
      <c r="J560" s="45">
        <v>300</v>
      </c>
      <c r="K560" s="46" t="s">
        <v>4489</v>
      </c>
      <c r="L560" s="47" t="s">
        <v>63</v>
      </c>
      <c r="M560" s="73" t="s">
        <v>42</v>
      </c>
      <c r="N560" s="77" t="s">
        <v>4490</v>
      </c>
      <c r="O560" s="49" t="s">
        <v>4491</v>
      </c>
      <c r="P560" s="49" t="s">
        <v>4492</v>
      </c>
      <c r="Q560" s="49" t="s">
        <v>4493</v>
      </c>
      <c r="R560" s="50">
        <v>44</v>
      </c>
      <c r="S560" s="50">
        <v>98</v>
      </c>
      <c r="T560" s="51" t="s">
        <v>47</v>
      </c>
      <c r="U560" s="51">
        <v>5</v>
      </c>
      <c r="V560" s="75">
        <f t="shared" si="17"/>
        <v>1500</v>
      </c>
      <c r="W560" s="51" t="s">
        <v>350</v>
      </c>
      <c r="X560" s="198" t="s">
        <v>4494</v>
      </c>
      <c r="Y560" s="199" t="s">
        <v>50</v>
      </c>
      <c r="Z560" s="169"/>
      <c r="AA560" s="170" t="s">
        <v>4495</v>
      </c>
      <c r="AB560" s="243" t="s">
        <v>4348</v>
      </c>
      <c r="AC560" s="35">
        <v>8676</v>
      </c>
      <c r="AE560" s="137" t="s">
        <v>4004</v>
      </c>
      <c r="AF560" s="138" t="s">
        <v>354</v>
      </c>
      <c r="AG560" s="138" t="s">
        <v>56</v>
      </c>
      <c r="AH560" s="138" t="s">
        <v>56</v>
      </c>
      <c r="AI560" s="138"/>
      <c r="AJ560" s="138" t="s">
        <v>56</v>
      </c>
      <c r="AK560" s="138" t="s">
        <v>74</v>
      </c>
      <c r="AL560" s="222"/>
    </row>
    <row r="561" spans="1:38" s="200" customFormat="1" ht="48.75" customHeight="1" x14ac:dyDescent="0.25">
      <c r="A561" s="14">
        <v>45895</v>
      </c>
      <c r="B561" s="41" t="s">
        <v>4496</v>
      </c>
      <c r="C561" s="41" t="s">
        <v>4497</v>
      </c>
      <c r="D561" s="41"/>
      <c r="E561" s="51" t="s">
        <v>39</v>
      </c>
      <c r="F561" s="43"/>
      <c r="G561" s="43"/>
      <c r="H561" s="19">
        <v>2</v>
      </c>
      <c r="I561" s="245" t="s">
        <v>4498</v>
      </c>
      <c r="J561" s="45">
        <v>5</v>
      </c>
      <c r="K561" s="46" t="s">
        <v>4499</v>
      </c>
      <c r="L561" s="47" t="s">
        <v>63</v>
      </c>
      <c r="M561" s="127" t="s">
        <v>42</v>
      </c>
      <c r="N561" s="77" t="s">
        <v>4500</v>
      </c>
      <c r="O561" s="49"/>
      <c r="P561" s="49" t="s">
        <v>4501</v>
      </c>
      <c r="Q561" s="49" t="s">
        <v>4502</v>
      </c>
      <c r="R561" s="50">
        <v>79</v>
      </c>
      <c r="S561" s="50">
        <v>169</v>
      </c>
      <c r="T561" s="51" t="s">
        <v>67</v>
      </c>
      <c r="U561" s="51">
        <v>1</v>
      </c>
      <c r="V561" s="52">
        <f t="shared" si="17"/>
        <v>5</v>
      </c>
      <c r="W561" s="51" t="s">
        <v>510</v>
      </c>
      <c r="X561" s="198" t="s">
        <v>69</v>
      </c>
      <c r="Y561" s="199" t="s">
        <v>70</v>
      </c>
      <c r="Z561" s="169"/>
      <c r="AA561" s="170" t="s">
        <v>4146</v>
      </c>
      <c r="AB561" s="243" t="s">
        <v>4018</v>
      </c>
      <c r="AC561" s="172">
        <f>5837.5+900</f>
        <v>6737.5</v>
      </c>
      <c r="AE561" s="137" t="s">
        <v>3829</v>
      </c>
      <c r="AF561" s="138" t="s">
        <v>354</v>
      </c>
      <c r="AG561" s="138" t="s">
        <v>56</v>
      </c>
      <c r="AH561" s="138" t="s">
        <v>86</v>
      </c>
      <c r="AI561" s="138"/>
      <c r="AJ561" s="138"/>
      <c r="AK561" s="222"/>
      <c r="AL561" s="222"/>
    </row>
    <row r="562" spans="1:38" s="200" customFormat="1" ht="46.5" customHeight="1" x14ac:dyDescent="0.25">
      <c r="A562" s="14">
        <v>45895</v>
      </c>
      <c r="B562" s="95" t="s">
        <v>4503</v>
      </c>
      <c r="C562" s="95" t="s">
        <v>4504</v>
      </c>
      <c r="D562" s="95" t="s">
        <v>4505</v>
      </c>
      <c r="E562" s="96" t="s">
        <v>39</v>
      </c>
      <c r="F562" s="19">
        <v>1</v>
      </c>
      <c r="G562" s="97"/>
      <c r="H562" s="97"/>
      <c r="I562" s="245" t="s">
        <v>4506</v>
      </c>
      <c r="J562" s="98">
        <v>10</v>
      </c>
      <c r="K562" s="270" t="s">
        <v>4507</v>
      </c>
      <c r="L562" s="103" t="s">
        <v>63</v>
      </c>
      <c r="M562" s="100" t="s">
        <v>42</v>
      </c>
      <c r="N562" s="101" t="s">
        <v>4508</v>
      </c>
      <c r="O562" s="102" t="s">
        <v>4509</v>
      </c>
      <c r="P562" s="102" t="s">
        <v>4510</v>
      </c>
      <c r="Q562" s="102" t="s">
        <v>4511</v>
      </c>
      <c r="R562" s="103">
        <v>126</v>
      </c>
      <c r="S562" s="103">
        <v>661</v>
      </c>
      <c r="T562" s="96" t="s">
        <v>141</v>
      </c>
      <c r="U562" s="96">
        <v>12</v>
      </c>
      <c r="V562" s="104">
        <f t="shared" si="17"/>
        <v>120</v>
      </c>
      <c r="W562" s="96" t="s">
        <v>68</v>
      </c>
      <c r="X562" s="198" t="s">
        <v>2971</v>
      </c>
      <c r="Y562" s="199" t="s">
        <v>50</v>
      </c>
      <c r="Z562" s="169"/>
      <c r="AA562" s="170" t="s">
        <v>3704</v>
      </c>
      <c r="AB562" s="243" t="s">
        <v>4340</v>
      </c>
      <c r="AC562" s="172">
        <v>9932.2999999999993</v>
      </c>
      <c r="AE562" s="137" t="s">
        <v>4004</v>
      </c>
      <c r="AF562" s="138"/>
      <c r="AG562" s="138" t="s">
        <v>56</v>
      </c>
      <c r="AH562" s="138" t="s">
        <v>56</v>
      </c>
      <c r="AI562" s="138"/>
      <c r="AJ562" s="138" t="s">
        <v>56</v>
      </c>
      <c r="AK562" s="138" t="s">
        <v>74</v>
      </c>
      <c r="AL562" s="138"/>
    </row>
    <row r="563" spans="1:38" ht="150" customHeight="1" x14ac:dyDescent="0.25">
      <c r="A563" s="14">
        <v>45895</v>
      </c>
      <c r="B563" s="41" t="s">
        <v>4512</v>
      </c>
      <c r="C563" s="41" t="s">
        <v>4513</v>
      </c>
      <c r="D563" s="41"/>
      <c r="E563" s="42" t="s">
        <v>39</v>
      </c>
      <c r="F563" s="43"/>
      <c r="G563" s="43"/>
      <c r="H563" s="19">
        <v>1</v>
      </c>
      <c r="I563" s="245" t="s">
        <v>4514</v>
      </c>
      <c r="J563" s="45">
        <v>5</v>
      </c>
      <c r="K563" s="46" t="s">
        <v>4515</v>
      </c>
      <c r="L563" s="50" t="s">
        <v>63</v>
      </c>
      <c r="M563" s="73" t="s">
        <v>42</v>
      </c>
      <c r="N563" s="250" t="s">
        <v>4516</v>
      </c>
      <c r="O563" s="49" t="s">
        <v>4517</v>
      </c>
      <c r="P563" s="49" t="s">
        <v>4518</v>
      </c>
      <c r="Q563" s="49" t="s">
        <v>4519</v>
      </c>
      <c r="R563" s="92">
        <v>194</v>
      </c>
      <c r="S563" s="92">
        <v>1257</v>
      </c>
      <c r="T563" s="51" t="s">
        <v>2482</v>
      </c>
      <c r="U563" s="51">
        <v>34</v>
      </c>
      <c r="V563" s="52">
        <f t="shared" si="17"/>
        <v>170</v>
      </c>
      <c r="W563" s="51" t="s">
        <v>48</v>
      </c>
      <c r="X563" s="198" t="s">
        <v>4520</v>
      </c>
      <c r="Y563" s="168" t="s">
        <v>70</v>
      </c>
      <c r="Z563" s="169"/>
      <c r="AA563" s="170" t="s">
        <v>4521</v>
      </c>
      <c r="AB563" s="243" t="s">
        <v>4522</v>
      </c>
      <c r="AC563" s="172">
        <v>14223.5</v>
      </c>
      <c r="AE563" s="137" t="s">
        <v>3829</v>
      </c>
      <c r="AF563" s="138" t="s">
        <v>354</v>
      </c>
      <c r="AG563" s="138" t="s">
        <v>56</v>
      </c>
      <c r="AH563" s="138" t="s">
        <v>56</v>
      </c>
      <c r="AI563" s="138"/>
      <c r="AJ563" s="138"/>
      <c r="AK563" s="138"/>
      <c r="AL563" s="222"/>
    </row>
    <row r="564" spans="1:38" s="200" customFormat="1" ht="60.75" customHeight="1" x14ac:dyDescent="0.25">
      <c r="A564" s="14">
        <v>45894</v>
      </c>
      <c r="B564" s="41" t="s">
        <v>4523</v>
      </c>
      <c r="C564" s="41" t="s">
        <v>4524</v>
      </c>
      <c r="D564" s="41" t="s">
        <v>4525</v>
      </c>
      <c r="E564" s="42" t="s">
        <v>39</v>
      </c>
      <c r="F564" s="19">
        <v>1</v>
      </c>
      <c r="G564" s="43"/>
      <c r="H564" s="43"/>
      <c r="I564" s="245" t="s">
        <v>4526</v>
      </c>
      <c r="J564" s="45">
        <v>9</v>
      </c>
      <c r="K564" s="46" t="s">
        <v>4527</v>
      </c>
      <c r="L564" s="50" t="s">
        <v>63</v>
      </c>
      <c r="M564" s="73" t="s">
        <v>42</v>
      </c>
      <c r="N564" s="333" t="s">
        <v>4528</v>
      </c>
      <c r="O564" s="49" t="s">
        <v>4529</v>
      </c>
      <c r="P564" s="49" t="s">
        <v>4530</v>
      </c>
      <c r="Q564" s="49" t="s">
        <v>4484</v>
      </c>
      <c r="R564" s="50">
        <v>115</v>
      </c>
      <c r="S564" s="50">
        <v>382</v>
      </c>
      <c r="T564" s="51" t="s">
        <v>141</v>
      </c>
      <c r="U564" s="51">
        <v>0</v>
      </c>
      <c r="V564" s="52">
        <f t="shared" si="17"/>
        <v>0</v>
      </c>
      <c r="W564" s="51" t="s">
        <v>350</v>
      </c>
      <c r="X564" s="198" t="s">
        <v>2234</v>
      </c>
      <c r="Y564" s="263" t="s">
        <v>144</v>
      </c>
      <c r="Z564" s="169" t="s">
        <v>4531</v>
      </c>
      <c r="AA564" s="170" t="s">
        <v>3466</v>
      </c>
      <c r="AB564" s="243" t="s">
        <v>647</v>
      </c>
      <c r="AC564" s="322">
        <f>23027*J564/200</f>
        <v>1036.2149999999999</v>
      </c>
      <c r="AE564" s="137" t="s">
        <v>4004</v>
      </c>
      <c r="AF564" s="138" t="s">
        <v>354</v>
      </c>
      <c r="AG564" s="138" t="s">
        <v>56</v>
      </c>
      <c r="AH564" s="138" t="s">
        <v>56</v>
      </c>
      <c r="AI564" s="138"/>
      <c r="AJ564" s="138"/>
      <c r="AK564" s="138" t="s">
        <v>1076</v>
      </c>
      <c r="AL564" s="222"/>
    </row>
    <row r="565" spans="1:38" ht="278.25" customHeight="1" x14ac:dyDescent="0.25">
      <c r="A565" s="14">
        <v>45894</v>
      </c>
      <c r="B565" s="41" t="s">
        <v>4005</v>
      </c>
      <c r="C565" s="41" t="s">
        <v>4532</v>
      </c>
      <c r="D565" s="41" t="s">
        <v>4533</v>
      </c>
      <c r="E565" s="42" t="s">
        <v>39</v>
      </c>
      <c r="F565" s="43"/>
      <c r="G565" s="43"/>
      <c r="H565" s="19">
        <v>1</v>
      </c>
      <c r="I565" s="245" t="s">
        <v>9889</v>
      </c>
      <c r="J565" s="45">
        <v>30</v>
      </c>
      <c r="K565" s="46" t="s">
        <v>4534</v>
      </c>
      <c r="L565" s="47" t="s">
        <v>63</v>
      </c>
      <c r="M565" s="73" t="s">
        <v>42</v>
      </c>
      <c r="N565" s="1455" t="s">
        <v>4535</v>
      </c>
      <c r="O565" s="49" t="s">
        <v>4536</v>
      </c>
      <c r="P565" s="49" t="s">
        <v>4537</v>
      </c>
      <c r="Q565" s="49" t="s">
        <v>4346</v>
      </c>
      <c r="R565" s="92">
        <v>156</v>
      </c>
      <c r="S565" s="50">
        <v>626</v>
      </c>
      <c r="T565" s="51" t="s">
        <v>141</v>
      </c>
      <c r="U565" s="51">
        <v>12</v>
      </c>
      <c r="V565" s="52">
        <f t="shared" si="17"/>
        <v>360</v>
      </c>
      <c r="W565" s="51" t="s">
        <v>68</v>
      </c>
      <c r="X565" s="198" t="s">
        <v>905</v>
      </c>
      <c r="Y565" s="168" t="s">
        <v>50</v>
      </c>
      <c r="Z565" s="169"/>
      <c r="AA565" s="170" t="s">
        <v>4146</v>
      </c>
      <c r="AB565" s="243" t="s">
        <v>4018</v>
      </c>
      <c r="AC565" s="172">
        <v>21891.599999999999</v>
      </c>
      <c r="AE565" s="137" t="s">
        <v>3829</v>
      </c>
      <c r="AF565" s="138"/>
      <c r="AG565" s="138" t="s">
        <v>56</v>
      </c>
      <c r="AH565" s="138" t="s">
        <v>56</v>
      </c>
      <c r="AI565" s="138"/>
      <c r="AJ565" s="138" t="s">
        <v>56</v>
      </c>
      <c r="AK565" s="138" t="s">
        <v>4538</v>
      </c>
      <c r="AL565" s="222"/>
    </row>
    <row r="566" spans="1:38" s="200" customFormat="1" ht="195" x14ac:dyDescent="0.25">
      <c r="A566" s="14">
        <v>45894</v>
      </c>
      <c r="B566" s="82" t="s">
        <v>4539</v>
      </c>
      <c r="C566" s="82" t="s">
        <v>4540</v>
      </c>
      <c r="D566" s="82" t="s">
        <v>4541</v>
      </c>
      <c r="E566" s="51" t="s">
        <v>39</v>
      </c>
      <c r="F566" s="108"/>
      <c r="G566" s="19">
        <v>1</v>
      </c>
      <c r="H566" s="43"/>
      <c r="I566" s="245" t="s">
        <v>4542</v>
      </c>
      <c r="J566" s="110">
        <v>40</v>
      </c>
      <c r="K566" s="111" t="s">
        <v>4543</v>
      </c>
      <c r="L566" s="47" t="s">
        <v>63</v>
      </c>
      <c r="M566" s="73" t="s">
        <v>42</v>
      </c>
      <c r="N566" s="77" t="s">
        <v>4544</v>
      </c>
      <c r="O566" s="49" t="s">
        <v>4545</v>
      </c>
      <c r="P566" s="308" t="s">
        <v>4492</v>
      </c>
      <c r="Q566" s="49" t="s">
        <v>4493</v>
      </c>
      <c r="R566" s="50">
        <v>119</v>
      </c>
      <c r="S566" s="50">
        <v>453</v>
      </c>
      <c r="T566" s="51" t="s">
        <v>180</v>
      </c>
      <c r="U566" s="51">
        <v>21</v>
      </c>
      <c r="V566" s="75">
        <f t="shared" si="17"/>
        <v>840</v>
      </c>
      <c r="W566" s="51" t="s">
        <v>350</v>
      </c>
      <c r="X566" s="202" t="s">
        <v>538</v>
      </c>
      <c r="Y566" s="263" t="s">
        <v>324</v>
      </c>
      <c r="Z566" s="169" t="s">
        <v>4185</v>
      </c>
      <c r="AA566" s="170" t="s">
        <v>3853</v>
      </c>
      <c r="AB566" s="243" t="s">
        <v>4546</v>
      </c>
      <c r="AC566" s="335">
        <f>(18521.1 * J566/130)</f>
        <v>5698.8</v>
      </c>
      <c r="AE566" s="137" t="s">
        <v>4004</v>
      </c>
      <c r="AF566" s="138"/>
      <c r="AG566" s="138" t="s">
        <v>56</v>
      </c>
      <c r="AH566" s="138" t="s">
        <v>56</v>
      </c>
      <c r="AI566" s="138"/>
      <c r="AJ566" s="138" t="s">
        <v>56</v>
      </c>
      <c r="AK566" s="138" t="s">
        <v>4547</v>
      </c>
      <c r="AL566" s="222"/>
    </row>
    <row r="567" spans="1:38" s="200" customFormat="1" ht="72.75" customHeight="1" x14ac:dyDescent="0.25">
      <c r="A567" s="14">
        <v>45894</v>
      </c>
      <c r="B567" s="336" t="s">
        <v>4548</v>
      </c>
      <c r="C567" s="336" t="s">
        <v>4549</v>
      </c>
      <c r="D567" s="336" t="s">
        <v>4550</v>
      </c>
      <c r="E567" s="337" t="s">
        <v>39</v>
      </c>
      <c r="F567" s="19">
        <v>2</v>
      </c>
      <c r="G567" s="143"/>
      <c r="H567" s="338"/>
      <c r="I567" s="245" t="s">
        <v>4551</v>
      </c>
      <c r="J567" s="339">
        <v>24</v>
      </c>
      <c r="K567" s="46" t="s">
        <v>4552</v>
      </c>
      <c r="L567" s="47" t="s">
        <v>63</v>
      </c>
      <c r="M567" s="73" t="s">
        <v>42</v>
      </c>
      <c r="N567" s="152" t="s">
        <v>4553</v>
      </c>
      <c r="O567" s="340"/>
      <c r="P567" s="340"/>
      <c r="Q567" s="340" t="s">
        <v>4554</v>
      </c>
      <c r="R567" s="50">
        <v>1</v>
      </c>
      <c r="S567" s="50">
        <v>4</v>
      </c>
      <c r="T567" s="341" t="s">
        <v>393</v>
      </c>
      <c r="U567" s="341">
        <v>35</v>
      </c>
      <c r="V567" s="342">
        <f t="shared" si="17"/>
        <v>840</v>
      </c>
      <c r="W567" s="341" t="s">
        <v>350</v>
      </c>
      <c r="X567" s="343" t="s">
        <v>4555</v>
      </c>
      <c r="Y567" s="344" t="s">
        <v>82</v>
      </c>
      <c r="Z567" s="169" t="s">
        <v>4556</v>
      </c>
      <c r="AA567" s="345" t="s">
        <v>4239</v>
      </c>
      <c r="AB567" s="346" t="s">
        <v>4240</v>
      </c>
      <c r="AC567" s="347">
        <v>3288</v>
      </c>
      <c r="AE567" s="137" t="s">
        <v>3829</v>
      </c>
      <c r="AF567" s="138"/>
      <c r="AG567" s="138" t="s">
        <v>56</v>
      </c>
      <c r="AH567" s="138" t="s">
        <v>56</v>
      </c>
      <c r="AI567" s="138"/>
      <c r="AJ567" s="138"/>
      <c r="AK567" s="138"/>
      <c r="AL567" s="222"/>
    </row>
    <row r="568" spans="1:38" s="200" customFormat="1" ht="76.5" customHeight="1" x14ac:dyDescent="0.25">
      <c r="A568" s="14">
        <v>45894</v>
      </c>
      <c r="B568" s="41" t="s">
        <v>4421</v>
      </c>
      <c r="C568" s="41" t="s">
        <v>4466</v>
      </c>
      <c r="D568" s="41" t="s">
        <v>4557</v>
      </c>
      <c r="E568" s="42" t="s">
        <v>39</v>
      </c>
      <c r="F568" s="43"/>
      <c r="G568" s="19">
        <v>2</v>
      </c>
      <c r="H568" s="43"/>
      <c r="I568" s="245" t="s">
        <v>4558</v>
      </c>
      <c r="J568" s="45">
        <v>275</v>
      </c>
      <c r="K568" s="46" t="s">
        <v>4559</v>
      </c>
      <c r="L568" s="47" t="s">
        <v>63</v>
      </c>
      <c r="M568" s="73" t="s">
        <v>42</v>
      </c>
      <c r="N568" s="77" t="s">
        <v>4560</v>
      </c>
      <c r="O568" s="49" t="s">
        <v>4561</v>
      </c>
      <c r="P568" s="49" t="s">
        <v>4562</v>
      </c>
      <c r="Q568" s="49" t="s">
        <v>4563</v>
      </c>
      <c r="R568" s="50">
        <v>41</v>
      </c>
      <c r="S568" s="50">
        <v>128</v>
      </c>
      <c r="T568" s="51" t="s">
        <v>47</v>
      </c>
      <c r="U568" s="51">
        <v>14</v>
      </c>
      <c r="V568" s="75">
        <f t="shared" si="17"/>
        <v>3850</v>
      </c>
      <c r="W568" s="51" t="s">
        <v>4564</v>
      </c>
      <c r="X568" s="198" t="s">
        <v>2816</v>
      </c>
      <c r="Y568" s="199" t="s">
        <v>50</v>
      </c>
      <c r="Z568" s="169"/>
      <c r="AA568" s="170" t="s">
        <v>4565</v>
      </c>
      <c r="AB568" s="243" t="s">
        <v>4217</v>
      </c>
      <c r="AC568" s="172">
        <v>14905</v>
      </c>
      <c r="AE568" s="137" t="s">
        <v>3829</v>
      </c>
      <c r="AF568" s="138"/>
      <c r="AG568" s="138" t="s">
        <v>56</v>
      </c>
      <c r="AH568" s="138" t="s">
        <v>56</v>
      </c>
      <c r="AI568" s="138"/>
      <c r="AJ568" s="138" t="s">
        <v>56</v>
      </c>
      <c r="AK568" s="138" t="s">
        <v>74</v>
      </c>
      <c r="AL568" s="138"/>
    </row>
    <row r="569" spans="1:38" s="200" customFormat="1" ht="225" x14ac:dyDescent="0.25">
      <c r="A569" s="14">
        <v>45891</v>
      </c>
      <c r="B569" s="95" t="s">
        <v>4566</v>
      </c>
      <c r="C569" s="95" t="s">
        <v>4567</v>
      </c>
      <c r="D569" s="95"/>
      <c r="E569" s="96" t="s">
        <v>39</v>
      </c>
      <c r="F569" s="19">
        <v>1</v>
      </c>
      <c r="G569" s="97"/>
      <c r="H569" s="97"/>
      <c r="I569" s="245" t="s">
        <v>4568</v>
      </c>
      <c r="J569" s="98">
        <v>10</v>
      </c>
      <c r="K569" s="270" t="s">
        <v>4569</v>
      </c>
      <c r="L569" s="100" t="s">
        <v>63</v>
      </c>
      <c r="M569" s="100" t="s">
        <v>42</v>
      </c>
      <c r="N569" s="101" t="s">
        <v>4570</v>
      </c>
      <c r="O569" s="102" t="s">
        <v>4517</v>
      </c>
      <c r="P569" s="102" t="s">
        <v>4571</v>
      </c>
      <c r="Q569" s="102" t="s">
        <v>4381</v>
      </c>
      <c r="R569" s="103">
        <v>85</v>
      </c>
      <c r="S569" s="103">
        <v>207</v>
      </c>
      <c r="T569" s="96" t="s">
        <v>180</v>
      </c>
      <c r="U569" s="96">
        <v>6</v>
      </c>
      <c r="V569" s="104">
        <f t="shared" si="17"/>
        <v>60</v>
      </c>
      <c r="W569" s="96" t="s">
        <v>350</v>
      </c>
      <c r="X569" s="198" t="s">
        <v>4040</v>
      </c>
      <c r="Y569" s="199" t="s">
        <v>50</v>
      </c>
      <c r="Z569" s="297" t="s">
        <v>4572</v>
      </c>
      <c r="AA569" s="170" t="s">
        <v>4239</v>
      </c>
      <c r="AB569" s="243" t="s">
        <v>4223</v>
      </c>
      <c r="AC569" s="35">
        <f>8430+1500+967</f>
        <v>10897</v>
      </c>
      <c r="AE569" s="137" t="s">
        <v>4004</v>
      </c>
      <c r="AF569" s="138"/>
      <c r="AG569" s="138" t="s">
        <v>56</v>
      </c>
      <c r="AH569" s="138" t="s">
        <v>56</v>
      </c>
      <c r="AI569" s="138"/>
      <c r="AJ569" s="138"/>
      <c r="AK569" s="138"/>
      <c r="AL569" s="138"/>
    </row>
    <row r="570" spans="1:38" s="200" customFormat="1" ht="120" x14ac:dyDescent="0.25">
      <c r="A570" s="14">
        <v>45891</v>
      </c>
      <c r="B570" s="95" t="s">
        <v>4573</v>
      </c>
      <c r="C570" s="95" t="s">
        <v>4574</v>
      </c>
      <c r="D570" s="95"/>
      <c r="E570" s="96" t="s">
        <v>39</v>
      </c>
      <c r="F570" s="19">
        <v>1</v>
      </c>
      <c r="G570" s="97"/>
      <c r="H570" s="97"/>
      <c r="I570" s="245" t="s">
        <v>4575</v>
      </c>
      <c r="J570" s="98">
        <v>172</v>
      </c>
      <c r="K570" s="270" t="s">
        <v>4569</v>
      </c>
      <c r="L570" s="100" t="s">
        <v>63</v>
      </c>
      <c r="M570" s="100" t="s">
        <v>42</v>
      </c>
      <c r="N570" s="101" t="s">
        <v>4576</v>
      </c>
      <c r="O570" s="102"/>
      <c r="P570" s="102" t="s">
        <v>4577</v>
      </c>
      <c r="Q570" s="102" t="s">
        <v>4571</v>
      </c>
      <c r="R570" s="103">
        <v>16</v>
      </c>
      <c r="S570" s="103">
        <v>32</v>
      </c>
      <c r="T570" s="96" t="s">
        <v>96</v>
      </c>
      <c r="U570" s="96">
        <v>1</v>
      </c>
      <c r="V570" s="104">
        <f t="shared" si="17"/>
        <v>172</v>
      </c>
      <c r="W570" s="96" t="s">
        <v>142</v>
      </c>
      <c r="X570" s="198" t="s">
        <v>4578</v>
      </c>
      <c r="Y570" s="199" t="s">
        <v>70</v>
      </c>
      <c r="Z570" s="297" t="s">
        <v>4579</v>
      </c>
      <c r="AA570" s="170" t="s">
        <v>4362</v>
      </c>
      <c r="AB570" s="243" t="s">
        <v>4217</v>
      </c>
      <c r="AC570" s="35">
        <v>5562.24</v>
      </c>
      <c r="AE570" s="137" t="s">
        <v>3829</v>
      </c>
      <c r="AF570" s="138"/>
      <c r="AG570" s="138" t="s">
        <v>56</v>
      </c>
      <c r="AH570" s="138" t="s">
        <v>56</v>
      </c>
      <c r="AI570" s="138"/>
      <c r="AJ570" s="138" t="s">
        <v>56</v>
      </c>
      <c r="AK570" s="138" t="s">
        <v>4580</v>
      </c>
      <c r="AL570" s="138"/>
    </row>
    <row r="571" spans="1:38" s="200" customFormat="1" ht="99" customHeight="1" x14ac:dyDescent="0.25">
      <c r="A571" s="14">
        <v>45891</v>
      </c>
      <c r="B571" s="41" t="s">
        <v>4581</v>
      </c>
      <c r="C571" s="41" t="s">
        <v>4582</v>
      </c>
      <c r="D571" s="204" t="s">
        <v>4583</v>
      </c>
      <c r="E571" s="42" t="s">
        <v>39</v>
      </c>
      <c r="F571" s="43"/>
      <c r="G571" s="19">
        <v>1</v>
      </c>
      <c r="H571" s="43"/>
      <c r="I571" s="245" t="s">
        <v>4584</v>
      </c>
      <c r="J571" s="45">
        <v>15</v>
      </c>
      <c r="K571" s="46" t="s">
        <v>9979</v>
      </c>
      <c r="L571" s="47" t="s">
        <v>63</v>
      </c>
      <c r="M571" s="73" t="s">
        <v>42</v>
      </c>
      <c r="N571" s="77" t="s">
        <v>4585</v>
      </c>
      <c r="O571" s="49"/>
      <c r="P571" s="49" t="s">
        <v>4586</v>
      </c>
      <c r="Q571" s="49" t="s">
        <v>4561</v>
      </c>
      <c r="R571" s="50">
        <v>35</v>
      </c>
      <c r="S571" s="50">
        <v>214</v>
      </c>
      <c r="T571" s="51" t="s">
        <v>96</v>
      </c>
      <c r="U571" s="51">
        <v>31</v>
      </c>
      <c r="V571" s="52">
        <f t="shared" si="17"/>
        <v>465</v>
      </c>
      <c r="W571" s="51" t="s">
        <v>350</v>
      </c>
      <c r="X571" s="198" t="s">
        <v>2412</v>
      </c>
      <c r="Y571" s="199"/>
      <c r="Z571" s="169" t="s">
        <v>4587</v>
      </c>
      <c r="AA571" s="170" t="s">
        <v>4017</v>
      </c>
      <c r="AB571" s="243" t="s">
        <v>4348</v>
      </c>
      <c r="AC571" s="322">
        <v>3343</v>
      </c>
      <c r="AE571" s="137" t="s">
        <v>4004</v>
      </c>
      <c r="AF571" s="138"/>
      <c r="AG571" s="138" t="s">
        <v>56</v>
      </c>
      <c r="AH571" s="138" t="s">
        <v>86</v>
      </c>
      <c r="AI571" s="138"/>
      <c r="AJ571" s="138"/>
      <c r="AK571" s="138"/>
      <c r="AL571" s="222"/>
    </row>
    <row r="572" spans="1:38" ht="52.5" customHeight="1" x14ac:dyDescent="0.25">
      <c r="A572" s="14">
        <v>45891</v>
      </c>
      <c r="B572" s="41" t="s">
        <v>4588</v>
      </c>
      <c r="C572" s="41" t="s">
        <v>4589</v>
      </c>
      <c r="D572" s="41" t="s">
        <v>4590</v>
      </c>
      <c r="E572" s="42" t="s">
        <v>39</v>
      </c>
      <c r="F572" s="43"/>
      <c r="G572" s="43"/>
      <c r="H572" s="19">
        <v>1</v>
      </c>
      <c r="I572" s="245" t="s">
        <v>4591</v>
      </c>
      <c r="J572" s="45">
        <v>330</v>
      </c>
      <c r="K572" s="46" t="s">
        <v>4592</v>
      </c>
      <c r="L572" s="47" t="s">
        <v>63</v>
      </c>
      <c r="M572" s="127" t="s">
        <v>42</v>
      </c>
      <c r="N572" s="348" t="s">
        <v>4593</v>
      </c>
      <c r="O572" s="49" t="s">
        <v>4594</v>
      </c>
      <c r="P572" s="49" t="s">
        <v>4595</v>
      </c>
      <c r="Q572" s="49" t="s">
        <v>4491</v>
      </c>
      <c r="R572" s="50">
        <v>6</v>
      </c>
      <c r="S572" s="50">
        <v>14</v>
      </c>
      <c r="T572" s="51" t="s">
        <v>47</v>
      </c>
      <c r="U572" s="51">
        <v>1</v>
      </c>
      <c r="V572" s="52">
        <f t="shared" si="17"/>
        <v>330</v>
      </c>
      <c r="W572" s="51" t="s">
        <v>142</v>
      </c>
      <c r="X572" s="198" t="s">
        <v>1243</v>
      </c>
      <c r="Y572" s="199" t="s">
        <v>82</v>
      </c>
      <c r="Z572" s="269"/>
      <c r="AA572" s="170" t="s">
        <v>4339</v>
      </c>
      <c r="AB572" s="243" t="s">
        <v>4340</v>
      </c>
      <c r="AC572" s="35">
        <f>9751*J572/350</f>
        <v>9193.7999999999993</v>
      </c>
      <c r="AE572" s="137" t="s">
        <v>4004</v>
      </c>
      <c r="AF572" s="138"/>
      <c r="AG572" s="138" t="s">
        <v>56</v>
      </c>
      <c r="AH572" s="138" t="s">
        <v>56</v>
      </c>
      <c r="AI572" s="138"/>
      <c r="AJ572" s="138" t="s">
        <v>56</v>
      </c>
      <c r="AK572" s="138" t="s">
        <v>2284</v>
      </c>
      <c r="AL572" s="222"/>
    </row>
    <row r="573" spans="1:38" s="200" customFormat="1" ht="74.25" customHeight="1" x14ac:dyDescent="0.25">
      <c r="A573" s="14">
        <v>45890</v>
      </c>
      <c r="B573" s="95" t="s">
        <v>4596</v>
      </c>
      <c r="C573" s="95" t="s">
        <v>4597</v>
      </c>
      <c r="D573" s="349" t="s">
        <v>4598</v>
      </c>
      <c r="E573" s="319" t="s">
        <v>39</v>
      </c>
      <c r="F573" s="97"/>
      <c r="G573" s="97"/>
      <c r="H573" s="19">
        <v>1</v>
      </c>
      <c r="I573" s="245" t="s">
        <v>4599</v>
      </c>
      <c r="J573" s="98">
        <v>15</v>
      </c>
      <c r="K573" s="270" t="s">
        <v>4600</v>
      </c>
      <c r="L573" s="100" t="s">
        <v>63</v>
      </c>
      <c r="M573" s="100" t="s">
        <v>42</v>
      </c>
      <c r="N573" s="305" t="s">
        <v>4601</v>
      </c>
      <c r="O573" s="102" t="s">
        <v>4346</v>
      </c>
      <c r="P573" s="102" t="s">
        <v>4602</v>
      </c>
      <c r="Q573" s="102" t="s">
        <v>4603</v>
      </c>
      <c r="R573" s="92">
        <v>140</v>
      </c>
      <c r="S573" s="103">
        <v>654</v>
      </c>
      <c r="T573" s="96" t="s">
        <v>141</v>
      </c>
      <c r="U573" s="96">
        <v>0</v>
      </c>
      <c r="V573" s="104">
        <f t="shared" si="17"/>
        <v>0</v>
      </c>
      <c r="W573" s="96" t="s">
        <v>350</v>
      </c>
      <c r="X573" s="198" t="s">
        <v>482</v>
      </c>
      <c r="Y573" s="199" t="s">
        <v>50</v>
      </c>
      <c r="Z573" s="169"/>
      <c r="AA573" s="170" t="s">
        <v>3818</v>
      </c>
      <c r="AB573" s="243" t="s">
        <v>4385</v>
      </c>
      <c r="AC573" s="35">
        <v>18168.5</v>
      </c>
      <c r="AE573" s="137" t="s">
        <v>4004</v>
      </c>
      <c r="AF573" s="138"/>
      <c r="AG573" s="138" t="s">
        <v>56</v>
      </c>
      <c r="AH573" s="138" t="s">
        <v>86</v>
      </c>
      <c r="AI573" s="138"/>
      <c r="AJ573" s="138"/>
      <c r="AK573" s="222"/>
      <c r="AL573" s="222"/>
    </row>
    <row r="574" spans="1:38" s="200" customFormat="1" ht="49.5" customHeight="1" x14ac:dyDescent="0.25">
      <c r="A574" s="14">
        <v>45890</v>
      </c>
      <c r="B574" s="41" t="s">
        <v>4604</v>
      </c>
      <c r="C574" s="41" t="s">
        <v>4376</v>
      </c>
      <c r="D574" s="41" t="s">
        <v>4605</v>
      </c>
      <c r="E574" s="42" t="s">
        <v>39</v>
      </c>
      <c r="F574" s="43"/>
      <c r="G574" s="19">
        <v>1</v>
      </c>
      <c r="H574" s="143"/>
      <c r="I574" s="245" t="s">
        <v>4606</v>
      </c>
      <c r="J574" s="45">
        <v>20</v>
      </c>
      <c r="K574" s="46" t="s">
        <v>4628</v>
      </c>
      <c r="L574" s="47" t="s">
        <v>63</v>
      </c>
      <c r="M574" s="73" t="s">
        <v>42</v>
      </c>
      <c r="N574" s="77" t="s">
        <v>4607</v>
      </c>
      <c r="O574" s="49" t="s">
        <v>4346</v>
      </c>
      <c r="P574" s="49" t="s">
        <v>4529</v>
      </c>
      <c r="Q574" s="49" t="s">
        <v>4484</v>
      </c>
      <c r="R574" s="50">
        <v>71</v>
      </c>
      <c r="S574" s="50">
        <v>199</v>
      </c>
      <c r="T574" s="51" t="s">
        <v>180</v>
      </c>
      <c r="U574" s="51">
        <v>1</v>
      </c>
      <c r="V574" s="52">
        <f t="shared" si="17"/>
        <v>20</v>
      </c>
      <c r="W574" s="51" t="s">
        <v>350</v>
      </c>
      <c r="X574" s="198" t="s">
        <v>3817</v>
      </c>
      <c r="Y574" s="199" t="s">
        <v>50</v>
      </c>
      <c r="Z574" s="169" t="s">
        <v>4608</v>
      </c>
      <c r="AA574" s="170" t="s">
        <v>4239</v>
      </c>
      <c r="AB574" s="243" t="s">
        <v>4385</v>
      </c>
      <c r="AC574" s="172">
        <v>4478</v>
      </c>
      <c r="AE574" s="137" t="s">
        <v>3829</v>
      </c>
      <c r="AF574" s="138"/>
      <c r="AG574" s="138" t="s">
        <v>56</v>
      </c>
      <c r="AH574" s="138" t="s">
        <v>86</v>
      </c>
      <c r="AI574" s="138"/>
      <c r="AJ574" s="138" t="s">
        <v>56</v>
      </c>
      <c r="AK574" s="138" t="s">
        <v>2284</v>
      </c>
      <c r="AL574" s="138"/>
    </row>
    <row r="575" spans="1:38" s="200" customFormat="1" ht="48.75" customHeight="1" x14ac:dyDescent="0.25">
      <c r="A575" s="14">
        <v>45889</v>
      </c>
      <c r="B575" s="41" t="s">
        <v>3811</v>
      </c>
      <c r="C575" s="41" t="s">
        <v>4609</v>
      </c>
      <c r="D575" s="41" t="s">
        <v>3813</v>
      </c>
      <c r="E575" s="42" t="s">
        <v>39</v>
      </c>
      <c r="F575" s="19">
        <v>1</v>
      </c>
      <c r="G575" s="43"/>
      <c r="H575" s="43"/>
      <c r="I575" s="245" t="s">
        <v>4610</v>
      </c>
      <c r="J575" s="45">
        <v>22</v>
      </c>
      <c r="K575" s="46" t="s">
        <v>4611</v>
      </c>
      <c r="L575" s="50" t="s">
        <v>63</v>
      </c>
      <c r="M575" s="47" t="s">
        <v>42</v>
      </c>
      <c r="N575" s="77" t="s">
        <v>4612</v>
      </c>
      <c r="O575" s="49"/>
      <c r="P575" s="49"/>
      <c r="Q575" s="49"/>
      <c r="R575" s="50">
        <v>87</v>
      </c>
      <c r="S575" s="50">
        <v>413</v>
      </c>
      <c r="T575" s="51" t="s">
        <v>180</v>
      </c>
      <c r="U575" s="51">
        <v>8</v>
      </c>
      <c r="V575" s="52">
        <f t="shared" si="17"/>
        <v>176</v>
      </c>
      <c r="W575" s="51" t="s">
        <v>350</v>
      </c>
      <c r="X575" s="198" t="s">
        <v>3817</v>
      </c>
      <c r="Y575" s="199" t="s">
        <v>50</v>
      </c>
      <c r="Z575" s="169"/>
      <c r="AA575" s="170" t="s">
        <v>3818</v>
      </c>
      <c r="AB575" s="243" t="s">
        <v>3819</v>
      </c>
      <c r="AC575" s="35">
        <f>6600*J575/25+1050</f>
        <v>6858</v>
      </c>
      <c r="AE575" s="137" t="s">
        <v>3829</v>
      </c>
      <c r="AF575" s="138"/>
      <c r="AG575" s="138" t="s">
        <v>56</v>
      </c>
      <c r="AH575" s="138" t="s">
        <v>86</v>
      </c>
      <c r="AI575" s="138"/>
      <c r="AJ575" s="138"/>
      <c r="AK575" s="138"/>
      <c r="AL575" s="222"/>
    </row>
    <row r="576" spans="1:38" s="200" customFormat="1" ht="288" x14ac:dyDescent="0.25">
      <c r="A576" s="14">
        <v>45889</v>
      </c>
      <c r="B576" s="95" t="s">
        <v>4613</v>
      </c>
      <c r="C576" s="95" t="s">
        <v>4614</v>
      </c>
      <c r="D576" s="95"/>
      <c r="E576" s="96" t="s">
        <v>39</v>
      </c>
      <c r="F576" s="97"/>
      <c r="G576" s="97"/>
      <c r="H576" s="19">
        <v>1</v>
      </c>
      <c r="I576" s="245" t="s">
        <v>4615</v>
      </c>
      <c r="J576" s="98">
        <v>10</v>
      </c>
      <c r="K576" s="270" t="s">
        <v>4616</v>
      </c>
      <c r="L576" s="103" t="s">
        <v>63</v>
      </c>
      <c r="M576" s="100" t="s">
        <v>42</v>
      </c>
      <c r="N576" s="101" t="s">
        <v>4617</v>
      </c>
      <c r="O576" s="102" t="s">
        <v>4618</v>
      </c>
      <c r="P576" s="102"/>
      <c r="Q576" s="102"/>
      <c r="R576" s="103">
        <v>10</v>
      </c>
      <c r="S576" s="103">
        <v>21</v>
      </c>
      <c r="T576" s="96" t="s">
        <v>47</v>
      </c>
      <c r="U576" s="96">
        <v>6</v>
      </c>
      <c r="V576" s="104">
        <f t="shared" si="17"/>
        <v>60</v>
      </c>
      <c r="W576" s="96" t="s">
        <v>350</v>
      </c>
      <c r="X576" s="198" t="s">
        <v>4040</v>
      </c>
      <c r="Y576" s="199" t="s">
        <v>50</v>
      </c>
      <c r="Z576" s="169"/>
      <c r="AA576" s="170" t="s">
        <v>4146</v>
      </c>
      <c r="AB576" s="243" t="s">
        <v>4018</v>
      </c>
      <c r="AC576" s="172">
        <f>750+1500+3891</f>
        <v>6141</v>
      </c>
      <c r="AE576" s="137" t="s">
        <v>4004</v>
      </c>
      <c r="AF576" s="138"/>
      <c r="AG576" s="138" t="s">
        <v>56</v>
      </c>
      <c r="AH576" s="138" t="s">
        <v>56</v>
      </c>
      <c r="AI576" s="138"/>
      <c r="AJ576" s="138"/>
      <c r="AK576" s="138"/>
      <c r="AL576" s="138"/>
    </row>
    <row r="577" spans="1:39" s="200" customFormat="1" ht="238.5" customHeight="1" x14ac:dyDescent="0.25">
      <c r="A577" s="14">
        <v>45889</v>
      </c>
      <c r="B577" s="95" t="s">
        <v>4619</v>
      </c>
      <c r="C577" s="95" t="s">
        <v>4620</v>
      </c>
      <c r="D577" s="95"/>
      <c r="E577" s="96" t="s">
        <v>39</v>
      </c>
      <c r="F577" s="97"/>
      <c r="G577" s="97"/>
      <c r="H577" s="19">
        <v>2</v>
      </c>
      <c r="I577" s="245" t="s">
        <v>4621</v>
      </c>
      <c r="J577" s="98">
        <v>10</v>
      </c>
      <c r="K577" s="270" t="s">
        <v>4616</v>
      </c>
      <c r="L577" s="100" t="s">
        <v>63</v>
      </c>
      <c r="M577" s="100" t="s">
        <v>42</v>
      </c>
      <c r="N577" s="101" t="s">
        <v>4622</v>
      </c>
      <c r="O577" s="102"/>
      <c r="P577" s="102"/>
      <c r="Q577" s="102"/>
      <c r="R577" s="103">
        <v>7</v>
      </c>
      <c r="S577" s="103">
        <v>8</v>
      </c>
      <c r="T577" s="96" t="s">
        <v>96</v>
      </c>
      <c r="U577" s="96">
        <v>12</v>
      </c>
      <c r="V577" s="104">
        <f t="shared" si="17"/>
        <v>120</v>
      </c>
      <c r="W577" s="96" t="s">
        <v>350</v>
      </c>
      <c r="X577" s="198" t="s">
        <v>4040</v>
      </c>
      <c r="Y577" s="199" t="s">
        <v>50</v>
      </c>
      <c r="Z577" s="169"/>
      <c r="AA577" s="170" t="s">
        <v>4623</v>
      </c>
      <c r="AB577" s="243" t="s">
        <v>4624</v>
      </c>
      <c r="AC577" s="35">
        <f>3960+1500+750</f>
        <v>6210</v>
      </c>
      <c r="AE577" s="137" t="s">
        <v>4004</v>
      </c>
      <c r="AF577" s="138"/>
      <c r="AG577" s="138" t="s">
        <v>56</v>
      </c>
      <c r="AH577" s="138" t="s">
        <v>56</v>
      </c>
      <c r="AI577" s="138"/>
      <c r="AJ577" s="138"/>
      <c r="AK577" s="138"/>
      <c r="AL577" s="222"/>
    </row>
    <row r="578" spans="1:39" ht="144" x14ac:dyDescent="0.25">
      <c r="A578" s="14">
        <v>45889</v>
      </c>
      <c r="B578" s="41" t="s">
        <v>4625</v>
      </c>
      <c r="C578" s="41" t="s">
        <v>4626</v>
      </c>
      <c r="D578" s="41"/>
      <c r="E578" s="42" t="s">
        <v>39</v>
      </c>
      <c r="F578" s="43"/>
      <c r="G578" s="43"/>
      <c r="H578" s="19">
        <v>1</v>
      </c>
      <c r="I578" s="245" t="s">
        <v>4627</v>
      </c>
      <c r="J578" s="45">
        <v>50</v>
      </c>
      <c r="K578" s="46" t="s">
        <v>4628</v>
      </c>
      <c r="L578" s="47" t="s">
        <v>63</v>
      </c>
      <c r="M578" s="73" t="s">
        <v>42</v>
      </c>
      <c r="N578" s="77" t="s">
        <v>4629</v>
      </c>
      <c r="O578" s="49"/>
      <c r="P578" s="49" t="s">
        <v>4630</v>
      </c>
      <c r="Q578" s="49" t="s">
        <v>4536</v>
      </c>
      <c r="R578" s="50">
        <v>32</v>
      </c>
      <c r="S578" s="50">
        <v>166</v>
      </c>
      <c r="T578" s="51" t="s">
        <v>96</v>
      </c>
      <c r="U578" s="51">
        <v>4</v>
      </c>
      <c r="V578" s="52">
        <f t="shared" si="17"/>
        <v>200</v>
      </c>
      <c r="W578" s="51" t="s">
        <v>350</v>
      </c>
      <c r="X578" s="202" t="s">
        <v>1982</v>
      </c>
      <c r="Y578" s="168" t="s">
        <v>82</v>
      </c>
      <c r="Z578" s="169"/>
      <c r="AA578" s="170" t="s">
        <v>4146</v>
      </c>
      <c r="AB578" s="243" t="s">
        <v>4018</v>
      </c>
      <c r="AC578" s="172">
        <v>6435</v>
      </c>
      <c r="AE578" s="137" t="s">
        <v>3829</v>
      </c>
      <c r="AF578" s="138"/>
      <c r="AG578" s="138" t="s">
        <v>56</v>
      </c>
      <c r="AH578" s="138" t="s">
        <v>56</v>
      </c>
      <c r="AI578" s="138"/>
      <c r="AJ578" s="138" t="s">
        <v>56</v>
      </c>
      <c r="AK578" s="137" t="s">
        <v>4631</v>
      </c>
      <c r="AL578" s="138"/>
    </row>
    <row r="579" spans="1:39" ht="54" customHeight="1" x14ac:dyDescent="0.25">
      <c r="A579" s="14">
        <v>45888</v>
      </c>
      <c r="B579" s="95" t="s">
        <v>4632</v>
      </c>
      <c r="C579" s="95" t="s">
        <v>4633</v>
      </c>
      <c r="D579" s="95"/>
      <c r="E579" s="96" t="s">
        <v>39</v>
      </c>
      <c r="F579" s="97"/>
      <c r="G579" s="97"/>
      <c r="H579" s="19">
        <v>1</v>
      </c>
      <c r="I579" s="245" t="s">
        <v>4634</v>
      </c>
      <c r="J579" s="98">
        <v>50</v>
      </c>
      <c r="K579" s="270" t="s">
        <v>4635</v>
      </c>
      <c r="L579" s="100" t="s">
        <v>63</v>
      </c>
      <c r="M579" s="100" t="s">
        <v>42</v>
      </c>
      <c r="N579" s="101" t="s">
        <v>4636</v>
      </c>
      <c r="O579" s="102"/>
      <c r="P579" s="102" t="s">
        <v>4630</v>
      </c>
      <c r="Q579" s="102" t="s">
        <v>4637</v>
      </c>
      <c r="R579" s="103">
        <v>33</v>
      </c>
      <c r="S579" s="103">
        <v>167</v>
      </c>
      <c r="T579" s="96" t="s">
        <v>96</v>
      </c>
      <c r="U579" s="96">
        <v>5</v>
      </c>
      <c r="V579" s="104">
        <f t="shared" si="17"/>
        <v>250</v>
      </c>
      <c r="W579" s="96" t="s">
        <v>350</v>
      </c>
      <c r="X579" s="202" t="s">
        <v>81</v>
      </c>
      <c r="Y579" s="199" t="s">
        <v>82</v>
      </c>
      <c r="Z579" s="169"/>
      <c r="AA579" s="170" t="s">
        <v>3704</v>
      </c>
      <c r="AB579" s="243" t="s">
        <v>4385</v>
      </c>
      <c r="AC579" s="172">
        <v>9258.5</v>
      </c>
      <c r="AE579" s="137" t="s">
        <v>3829</v>
      </c>
      <c r="AF579" s="138"/>
      <c r="AG579" s="138" t="s">
        <v>56</v>
      </c>
      <c r="AH579" s="138" t="s">
        <v>56</v>
      </c>
      <c r="AI579" s="138"/>
      <c r="AJ579" s="255" t="s">
        <v>4638</v>
      </c>
      <c r="AK579" s="255" t="s">
        <v>4639</v>
      </c>
      <c r="AL579" s="222"/>
    </row>
    <row r="580" spans="1:39" s="200" customFormat="1" ht="94.5" customHeight="1" x14ac:dyDescent="0.25">
      <c r="A580" s="14">
        <v>45888</v>
      </c>
      <c r="B580" s="41" t="s">
        <v>4640</v>
      </c>
      <c r="C580" s="41" t="s">
        <v>4641</v>
      </c>
      <c r="D580" s="41" t="s">
        <v>4642</v>
      </c>
      <c r="E580" s="42" t="s">
        <v>39</v>
      </c>
      <c r="F580" s="43"/>
      <c r="G580" s="43"/>
      <c r="H580" s="19">
        <v>1</v>
      </c>
      <c r="I580" s="245" t="s">
        <v>4643</v>
      </c>
      <c r="J580" s="45">
        <v>10</v>
      </c>
      <c r="K580" s="46" t="s">
        <v>4644</v>
      </c>
      <c r="L580" s="50" t="s">
        <v>63</v>
      </c>
      <c r="M580" s="127" t="s">
        <v>42</v>
      </c>
      <c r="N580" s="77" t="s">
        <v>4645</v>
      </c>
      <c r="O580" s="49" t="s">
        <v>4491</v>
      </c>
      <c r="P580" s="49" t="s">
        <v>4646</v>
      </c>
      <c r="Q580" s="49" t="s">
        <v>4647</v>
      </c>
      <c r="R580" s="50">
        <v>63</v>
      </c>
      <c r="S580" s="50">
        <v>194</v>
      </c>
      <c r="T580" s="51" t="s">
        <v>47</v>
      </c>
      <c r="U580" s="51">
        <v>44</v>
      </c>
      <c r="V580" s="52">
        <f t="shared" si="17"/>
        <v>440</v>
      </c>
      <c r="W580" s="51" t="s">
        <v>350</v>
      </c>
      <c r="X580" s="198" t="s">
        <v>905</v>
      </c>
      <c r="Y580" s="199" t="s">
        <v>50</v>
      </c>
      <c r="Z580" s="169" t="s">
        <v>4648</v>
      </c>
      <c r="AA580" s="170" t="s">
        <v>3818</v>
      </c>
      <c r="AB580" s="243" t="s">
        <v>3819</v>
      </c>
      <c r="AC580" s="172">
        <v>5830</v>
      </c>
      <c r="AE580" s="137" t="s">
        <v>3829</v>
      </c>
      <c r="AF580" s="138"/>
      <c r="AG580" s="138" t="s">
        <v>56</v>
      </c>
      <c r="AH580" s="138" t="s">
        <v>56</v>
      </c>
      <c r="AI580" s="138"/>
      <c r="AJ580" s="138"/>
      <c r="AK580" s="138"/>
      <c r="AL580" s="222"/>
    </row>
    <row r="581" spans="1:39" s="279" customFormat="1" ht="61.5" customHeight="1" x14ac:dyDescent="0.25">
      <c r="A581" s="14">
        <v>45888</v>
      </c>
      <c r="B581" s="95" t="s">
        <v>4649</v>
      </c>
      <c r="C581" s="95" t="s">
        <v>4650</v>
      </c>
      <c r="D581" s="95" t="s">
        <v>4651</v>
      </c>
      <c r="E581" s="96" t="s">
        <v>39</v>
      </c>
      <c r="F581" s="97"/>
      <c r="G581" s="97"/>
      <c r="H581" s="19">
        <v>1</v>
      </c>
      <c r="I581" s="245" t="s">
        <v>4652</v>
      </c>
      <c r="J581" s="98">
        <v>49</v>
      </c>
      <c r="K581" s="270" t="s">
        <v>4635</v>
      </c>
      <c r="L581" s="100" t="s">
        <v>63</v>
      </c>
      <c r="M581" s="100" t="s">
        <v>42</v>
      </c>
      <c r="N581" s="101" t="s">
        <v>4653</v>
      </c>
      <c r="O581" s="102" t="s">
        <v>4654</v>
      </c>
      <c r="P581" s="102" t="s">
        <v>4492</v>
      </c>
      <c r="Q581" s="102" t="s">
        <v>4655</v>
      </c>
      <c r="R581" s="103">
        <v>82</v>
      </c>
      <c r="S581" s="103">
        <v>261</v>
      </c>
      <c r="T581" s="96" t="s">
        <v>180</v>
      </c>
      <c r="U581" s="96">
        <v>12</v>
      </c>
      <c r="V581" s="75">
        <f t="shared" si="17"/>
        <v>588</v>
      </c>
      <c r="W581" s="96" t="s">
        <v>4656</v>
      </c>
      <c r="X581" s="258" t="s">
        <v>232</v>
      </c>
      <c r="Y581" s="199" t="s">
        <v>50</v>
      </c>
      <c r="Z581" s="169"/>
      <c r="AA581" s="170" t="s">
        <v>4136</v>
      </c>
      <c r="AB581" s="243" t="s">
        <v>2973</v>
      </c>
      <c r="AC581" s="35">
        <f>8950.7*J581/55+850</f>
        <v>8824.260000000002</v>
      </c>
      <c r="AD581" s="200"/>
      <c r="AE581" s="137" t="s">
        <v>4004</v>
      </c>
      <c r="AF581" s="138"/>
      <c r="AG581" s="138" t="s">
        <v>56</v>
      </c>
      <c r="AH581" s="138" t="s">
        <v>56</v>
      </c>
      <c r="AI581" s="138"/>
      <c r="AJ581" s="138"/>
      <c r="AK581" s="138"/>
      <c r="AL581" s="138"/>
    </row>
    <row r="582" spans="1:39" s="200" customFormat="1" ht="48.75" customHeight="1" x14ac:dyDescent="0.25">
      <c r="A582" s="14">
        <v>45887</v>
      </c>
      <c r="B582" s="41" t="s">
        <v>4657</v>
      </c>
      <c r="C582" s="41" t="s">
        <v>4658</v>
      </c>
      <c r="D582" s="41"/>
      <c r="E582" s="42" t="s">
        <v>39</v>
      </c>
      <c r="F582" s="43"/>
      <c r="G582" s="43"/>
      <c r="H582" s="19">
        <v>1</v>
      </c>
      <c r="I582" s="245" t="s">
        <v>4659</v>
      </c>
      <c r="J582" s="45">
        <v>40</v>
      </c>
      <c r="K582" s="46" t="s">
        <v>4660</v>
      </c>
      <c r="L582" s="47" t="s">
        <v>63</v>
      </c>
      <c r="M582" s="73" t="s">
        <v>42</v>
      </c>
      <c r="N582" s="77" t="s">
        <v>4661</v>
      </c>
      <c r="O582" s="49"/>
      <c r="P582" s="49" t="s">
        <v>4662</v>
      </c>
      <c r="Q582" s="49" t="s">
        <v>4595</v>
      </c>
      <c r="R582" s="50">
        <v>11</v>
      </c>
      <c r="S582" s="50">
        <v>34</v>
      </c>
      <c r="T582" s="51" t="s">
        <v>96</v>
      </c>
      <c r="U582" s="51">
        <v>0</v>
      </c>
      <c r="V582" s="52">
        <f t="shared" si="17"/>
        <v>0</v>
      </c>
      <c r="W582" s="51" t="s">
        <v>221</v>
      </c>
      <c r="X582" s="198" t="s">
        <v>4663</v>
      </c>
      <c r="Y582" s="263" t="s">
        <v>144</v>
      </c>
      <c r="Z582" s="169" t="s">
        <v>4664</v>
      </c>
      <c r="AA582" s="170" t="s">
        <v>646</v>
      </c>
      <c r="AB582" s="243" t="s">
        <v>2826</v>
      </c>
      <c r="AC582" s="172">
        <v>2268</v>
      </c>
      <c r="AE582" s="137" t="s">
        <v>4665</v>
      </c>
      <c r="AF582" s="138"/>
      <c r="AG582" s="138" t="s">
        <v>56</v>
      </c>
      <c r="AH582" s="138" t="s">
        <v>56</v>
      </c>
      <c r="AI582" s="138"/>
      <c r="AJ582" s="138" t="s">
        <v>56</v>
      </c>
      <c r="AK582" s="222" t="s">
        <v>74</v>
      </c>
      <c r="AL582" s="222"/>
    </row>
    <row r="583" spans="1:39" s="200" customFormat="1" ht="48" customHeight="1" x14ac:dyDescent="0.25">
      <c r="A583" s="14">
        <v>45887</v>
      </c>
      <c r="B583" s="41" t="s">
        <v>4666</v>
      </c>
      <c r="C583" s="41" t="s">
        <v>4667</v>
      </c>
      <c r="D583" s="41"/>
      <c r="E583" s="42" t="s">
        <v>39</v>
      </c>
      <c r="F583" s="43"/>
      <c r="G583" s="19">
        <v>1</v>
      </c>
      <c r="H583" s="43"/>
      <c r="I583" s="245" t="s">
        <v>4668</v>
      </c>
      <c r="J583" s="45">
        <v>250</v>
      </c>
      <c r="K583" s="46" t="s">
        <v>4660</v>
      </c>
      <c r="L583" s="47" t="s">
        <v>63</v>
      </c>
      <c r="M583" s="73" t="s">
        <v>42</v>
      </c>
      <c r="N583" s="77" t="s">
        <v>4669</v>
      </c>
      <c r="O583" s="49"/>
      <c r="P583" s="49" t="s">
        <v>4595</v>
      </c>
      <c r="Q583" s="49" t="s">
        <v>4670</v>
      </c>
      <c r="R583" s="50">
        <v>17</v>
      </c>
      <c r="S583" s="50">
        <v>21</v>
      </c>
      <c r="T583" s="51" t="s">
        <v>67</v>
      </c>
      <c r="U583" s="51">
        <v>3</v>
      </c>
      <c r="V583" s="75">
        <f t="shared" si="17"/>
        <v>750</v>
      </c>
      <c r="W583" s="51" t="s">
        <v>3973</v>
      </c>
      <c r="X583" s="198" t="s">
        <v>4671</v>
      </c>
      <c r="Y583" s="199"/>
      <c r="Z583" s="269"/>
      <c r="AA583" s="170" t="s">
        <v>4017</v>
      </c>
      <c r="AB583" s="243" t="s">
        <v>4348</v>
      </c>
      <c r="AC583" s="35">
        <v>4980</v>
      </c>
      <c r="AE583" s="137" t="s">
        <v>3874</v>
      </c>
      <c r="AF583" s="138"/>
      <c r="AG583" s="138" t="s">
        <v>56</v>
      </c>
      <c r="AH583" s="138" t="s">
        <v>86</v>
      </c>
      <c r="AI583" s="138"/>
      <c r="AJ583" s="138" t="s">
        <v>56</v>
      </c>
      <c r="AK583" s="138" t="s">
        <v>2284</v>
      </c>
      <c r="AL583" s="222"/>
    </row>
    <row r="584" spans="1:39" ht="276.75" x14ac:dyDescent="0.25">
      <c r="A584" s="14">
        <v>45887</v>
      </c>
      <c r="B584" s="95" t="s">
        <v>4672</v>
      </c>
      <c r="C584" s="95" t="s">
        <v>4673</v>
      </c>
      <c r="D584" s="95" t="s">
        <v>4674</v>
      </c>
      <c r="E584" s="96" t="s">
        <v>39</v>
      </c>
      <c r="F584" s="97"/>
      <c r="G584" s="97"/>
      <c r="H584" s="19">
        <v>3</v>
      </c>
      <c r="I584" s="245" t="s">
        <v>4675</v>
      </c>
      <c r="J584" s="98">
        <v>10</v>
      </c>
      <c r="K584" s="99" t="s">
        <v>4676</v>
      </c>
      <c r="L584" s="100" t="s">
        <v>63</v>
      </c>
      <c r="M584" s="100" t="s">
        <v>42</v>
      </c>
      <c r="N584" s="101" t="s">
        <v>4677</v>
      </c>
      <c r="O584" s="102"/>
      <c r="P584" s="102"/>
      <c r="Q584" s="102" t="s">
        <v>4678</v>
      </c>
      <c r="R584" s="103">
        <v>8</v>
      </c>
      <c r="S584" s="103">
        <v>106</v>
      </c>
      <c r="T584" s="96" t="s">
        <v>47</v>
      </c>
      <c r="U584" s="96">
        <v>68</v>
      </c>
      <c r="V584" s="75">
        <f t="shared" si="17"/>
        <v>680</v>
      </c>
      <c r="W584" s="96" t="s">
        <v>68</v>
      </c>
      <c r="X584" s="258" t="s">
        <v>232</v>
      </c>
      <c r="Y584" s="168" t="s">
        <v>50</v>
      </c>
      <c r="Z584" s="169"/>
      <c r="AA584" s="170" t="s">
        <v>4679</v>
      </c>
      <c r="AB584" s="243" t="s">
        <v>4680</v>
      </c>
      <c r="AC584" s="35">
        <f>J584/14 * 7112</f>
        <v>5080</v>
      </c>
      <c r="AE584" s="137" t="s">
        <v>4004</v>
      </c>
      <c r="AF584" s="138"/>
      <c r="AG584" s="138" t="s">
        <v>56</v>
      </c>
      <c r="AH584" s="138" t="s">
        <v>56</v>
      </c>
      <c r="AI584" s="138"/>
      <c r="AJ584" s="138" t="s">
        <v>4681</v>
      </c>
      <c r="AK584" s="138" t="s">
        <v>2284</v>
      </c>
      <c r="AL584" s="222"/>
    </row>
    <row r="585" spans="1:39" ht="157.5" x14ac:dyDescent="0.25">
      <c r="A585" s="14">
        <v>45884</v>
      </c>
      <c r="B585" s="204" t="s">
        <v>4588</v>
      </c>
      <c r="C585" s="204" t="s">
        <v>4682</v>
      </c>
      <c r="D585" s="204" t="s">
        <v>4683</v>
      </c>
      <c r="E585" s="205" t="s">
        <v>39</v>
      </c>
      <c r="F585" s="143"/>
      <c r="G585" s="143"/>
      <c r="H585" s="206">
        <v>1</v>
      </c>
      <c r="I585" s="312" t="s">
        <v>4684</v>
      </c>
      <c r="J585" s="207">
        <v>20</v>
      </c>
      <c r="K585" s="248" t="s">
        <v>2461</v>
      </c>
      <c r="L585" s="47" t="s">
        <v>63</v>
      </c>
      <c r="M585" s="127" t="s">
        <v>42</v>
      </c>
      <c r="N585" s="350" t="s">
        <v>4685</v>
      </c>
      <c r="O585" s="210" t="s">
        <v>4594</v>
      </c>
      <c r="P585" s="210" t="s">
        <v>4595</v>
      </c>
      <c r="Q585" s="210" t="s">
        <v>4491</v>
      </c>
      <c r="R585" s="211">
        <v>6</v>
      </c>
      <c r="S585" s="211">
        <v>14</v>
      </c>
      <c r="T585" s="212" t="s">
        <v>47</v>
      </c>
      <c r="U585" s="212">
        <v>1</v>
      </c>
      <c r="V585" s="330">
        <f t="shared" si="17"/>
        <v>20</v>
      </c>
      <c r="W585" s="212" t="s">
        <v>142</v>
      </c>
      <c r="X585" s="198" t="s">
        <v>1243</v>
      </c>
      <c r="Y585" s="199" t="s">
        <v>82</v>
      </c>
      <c r="Z585" s="269"/>
      <c r="AA585" s="170" t="s">
        <v>4339</v>
      </c>
      <c r="AB585" s="243" t="s">
        <v>4340</v>
      </c>
      <c r="AC585" s="35">
        <f>9751*J585/350</f>
        <v>557.20000000000005</v>
      </c>
      <c r="AE585" s="138" t="s">
        <v>4686</v>
      </c>
      <c r="AF585" s="138"/>
      <c r="AG585" s="138" t="s">
        <v>56</v>
      </c>
      <c r="AH585" s="138" t="s">
        <v>56</v>
      </c>
      <c r="AI585" s="138"/>
      <c r="AJ585" s="138" t="s">
        <v>56</v>
      </c>
      <c r="AK585" s="138" t="s">
        <v>2284</v>
      </c>
      <c r="AL585" s="222"/>
    </row>
    <row r="586" spans="1:39" s="200" customFormat="1" ht="206.25" customHeight="1" x14ac:dyDescent="0.25">
      <c r="A586" s="14">
        <v>45884</v>
      </c>
      <c r="B586" s="41" t="s">
        <v>4005</v>
      </c>
      <c r="C586" s="41" t="s">
        <v>4687</v>
      </c>
      <c r="D586" s="41" t="s">
        <v>4688</v>
      </c>
      <c r="E586" s="42" t="s">
        <v>39</v>
      </c>
      <c r="F586" s="19" t="s">
        <v>259</v>
      </c>
      <c r="G586" s="43"/>
      <c r="H586" s="43"/>
      <c r="I586" s="245" t="s">
        <v>4689</v>
      </c>
      <c r="J586" s="45">
        <v>35</v>
      </c>
      <c r="K586" s="125" t="s">
        <v>9980</v>
      </c>
      <c r="L586" s="47" t="s">
        <v>63</v>
      </c>
      <c r="M586" s="73" t="s">
        <v>42</v>
      </c>
      <c r="N586" s="77" t="s">
        <v>4691</v>
      </c>
      <c r="O586" s="49"/>
      <c r="P586" s="49"/>
      <c r="Q586" s="49"/>
      <c r="R586" s="50">
        <v>23</v>
      </c>
      <c r="S586" s="50">
        <v>319</v>
      </c>
      <c r="T586" s="51" t="s">
        <v>96</v>
      </c>
      <c r="U586" s="51">
        <v>0</v>
      </c>
      <c r="V586" s="52">
        <f t="shared" si="17"/>
        <v>0</v>
      </c>
      <c r="W586" s="51" t="s">
        <v>142</v>
      </c>
      <c r="X586" s="198" t="s">
        <v>4692</v>
      </c>
      <c r="Y586" s="199" t="s">
        <v>82</v>
      </c>
      <c r="Z586" s="169" t="s">
        <v>645</v>
      </c>
      <c r="AA586" s="170" t="s">
        <v>4693</v>
      </c>
      <c r="AB586" s="243" t="s">
        <v>4018</v>
      </c>
      <c r="AC586" s="322">
        <f>(27562*J586/480)</f>
        <v>2009.7291666666667</v>
      </c>
      <c r="AD586" s="137" t="s">
        <v>4694</v>
      </c>
      <c r="AE586" s="137" t="s">
        <v>3874</v>
      </c>
      <c r="AF586" s="138"/>
      <c r="AG586" s="138" t="s">
        <v>56</v>
      </c>
      <c r="AH586" s="138" t="s">
        <v>56</v>
      </c>
      <c r="AI586" s="138"/>
      <c r="AJ586" s="138" t="s">
        <v>56</v>
      </c>
      <c r="AK586" s="138" t="s">
        <v>1527</v>
      </c>
      <c r="AL586" s="222"/>
      <c r="AM586"/>
    </row>
    <row r="587" spans="1:39" s="357" customFormat="1" ht="285" x14ac:dyDescent="0.25">
      <c r="A587" s="14">
        <v>45884</v>
      </c>
      <c r="B587" s="121" t="s">
        <v>4005</v>
      </c>
      <c r="C587" s="121" t="s">
        <v>4687</v>
      </c>
      <c r="D587" s="121" t="s">
        <v>4688</v>
      </c>
      <c r="E587" s="122" t="s">
        <v>39</v>
      </c>
      <c r="F587" s="214">
        <v>1</v>
      </c>
      <c r="G587" s="123"/>
      <c r="H587" s="123"/>
      <c r="I587" s="351" t="s">
        <v>4695</v>
      </c>
      <c r="J587" s="124">
        <v>55</v>
      </c>
      <c r="K587" s="125" t="s">
        <v>4690</v>
      </c>
      <c r="L587" s="126" t="s">
        <v>63</v>
      </c>
      <c r="M587" s="127" t="s">
        <v>42</v>
      </c>
      <c r="N587" s="333" t="s">
        <v>4696</v>
      </c>
      <c r="O587" s="129"/>
      <c r="P587" s="129" t="s">
        <v>4697</v>
      </c>
      <c r="Q587" s="129" t="s">
        <v>4698</v>
      </c>
      <c r="R587" s="217">
        <v>22</v>
      </c>
      <c r="S587" s="217">
        <v>419</v>
      </c>
      <c r="T587" s="130" t="s">
        <v>67</v>
      </c>
      <c r="U587" s="130">
        <v>0</v>
      </c>
      <c r="V587" s="352">
        <f t="shared" si="17"/>
        <v>0</v>
      </c>
      <c r="W587" s="130" t="s">
        <v>142</v>
      </c>
      <c r="X587" s="131" t="s">
        <v>4692</v>
      </c>
      <c r="Y587" s="353" t="s">
        <v>82</v>
      </c>
      <c r="Z587" s="133" t="s">
        <v>645</v>
      </c>
      <c r="AA587" s="134" t="s">
        <v>4693</v>
      </c>
      <c r="AB587" s="354" t="s">
        <v>4018</v>
      </c>
      <c r="AC587" s="221">
        <f>(J587/720*49780.8)</f>
        <v>3802.7000000000007</v>
      </c>
      <c r="AD587" s="355" t="s">
        <v>4699</v>
      </c>
      <c r="AE587" s="137" t="s">
        <v>3874</v>
      </c>
      <c r="AF587" s="356"/>
      <c r="AG587" s="356" t="s">
        <v>56</v>
      </c>
      <c r="AH587" s="356" t="s">
        <v>56</v>
      </c>
      <c r="AI587" s="356"/>
      <c r="AJ587" s="356" t="s">
        <v>56</v>
      </c>
      <c r="AK587" s="356" t="s">
        <v>1527</v>
      </c>
      <c r="AL587" s="356"/>
    </row>
    <row r="588" spans="1:39" s="200" customFormat="1" ht="122.25" x14ac:dyDescent="0.25">
      <c r="A588" s="14">
        <v>45884</v>
      </c>
      <c r="B588" s="95" t="s">
        <v>4700</v>
      </c>
      <c r="C588" s="95" t="s">
        <v>4701</v>
      </c>
      <c r="D588" s="95"/>
      <c r="E588" s="96" t="s">
        <v>195</v>
      </c>
      <c r="F588" s="97"/>
      <c r="G588" s="97"/>
      <c r="H588" s="19">
        <v>1</v>
      </c>
      <c r="I588" s="245" t="s">
        <v>4702</v>
      </c>
      <c r="J588" s="98">
        <v>200</v>
      </c>
      <c r="K588" s="270" t="s">
        <v>4703</v>
      </c>
      <c r="L588" s="100" t="s">
        <v>63</v>
      </c>
      <c r="M588" s="100" t="s">
        <v>42</v>
      </c>
      <c r="N588" s="101" t="s">
        <v>4704</v>
      </c>
      <c r="O588" s="102"/>
      <c r="P588" s="102" t="s">
        <v>4705</v>
      </c>
      <c r="Q588" s="102" t="s">
        <v>4706</v>
      </c>
      <c r="R588" s="103">
        <v>2</v>
      </c>
      <c r="S588" s="103">
        <v>6</v>
      </c>
      <c r="T588" s="96" t="s">
        <v>96</v>
      </c>
      <c r="U588" s="96">
        <v>0</v>
      </c>
      <c r="V588" s="104">
        <f t="shared" si="17"/>
        <v>0</v>
      </c>
      <c r="W588" s="96" t="s">
        <v>142</v>
      </c>
      <c r="X588" s="198" t="s">
        <v>3937</v>
      </c>
      <c r="Y588" s="199" t="s">
        <v>50</v>
      </c>
      <c r="Z588" s="169" t="s">
        <v>4707</v>
      </c>
      <c r="AA588" s="170" t="s">
        <v>4032</v>
      </c>
      <c r="AB588" s="243" t="s">
        <v>3819</v>
      </c>
      <c r="AC588" s="172">
        <v>5130</v>
      </c>
      <c r="AE588" s="137" t="s">
        <v>4708</v>
      </c>
      <c r="AF588" s="138"/>
      <c r="AG588" s="138" t="s">
        <v>56</v>
      </c>
      <c r="AH588" s="138" t="s">
        <v>626</v>
      </c>
      <c r="AI588" s="138" t="s">
        <v>56</v>
      </c>
      <c r="AJ588" s="138" t="s">
        <v>56</v>
      </c>
      <c r="AK588" s="138" t="s">
        <v>1527</v>
      </c>
      <c r="AL588" s="222"/>
    </row>
    <row r="589" spans="1:39" s="200" customFormat="1" ht="107.25" x14ac:dyDescent="0.25">
      <c r="A589" s="14">
        <v>45884</v>
      </c>
      <c r="B589" s="95" t="s">
        <v>4700</v>
      </c>
      <c r="C589" s="95" t="s">
        <v>4701</v>
      </c>
      <c r="D589" s="95"/>
      <c r="E589" s="96" t="s">
        <v>195</v>
      </c>
      <c r="F589" s="97"/>
      <c r="G589" s="97"/>
      <c r="H589" s="19">
        <v>1</v>
      </c>
      <c r="I589" s="245" t="s">
        <v>4709</v>
      </c>
      <c r="J589" s="98">
        <v>200</v>
      </c>
      <c r="K589" s="270" t="s">
        <v>4703</v>
      </c>
      <c r="L589" s="100" t="s">
        <v>63</v>
      </c>
      <c r="M589" s="100" t="s">
        <v>42</v>
      </c>
      <c r="N589" s="101" t="s">
        <v>4710</v>
      </c>
      <c r="O589" s="102"/>
      <c r="P589" s="102" t="s">
        <v>4647</v>
      </c>
      <c r="Q589" s="102" t="s">
        <v>4705</v>
      </c>
      <c r="R589" s="103">
        <v>2</v>
      </c>
      <c r="S589" s="103">
        <v>4</v>
      </c>
      <c r="T589" s="96" t="s">
        <v>96</v>
      </c>
      <c r="U589" s="96">
        <v>2</v>
      </c>
      <c r="V589" s="104">
        <f t="shared" si="17"/>
        <v>400</v>
      </c>
      <c r="W589" s="96" t="s">
        <v>142</v>
      </c>
      <c r="X589" s="198" t="s">
        <v>3937</v>
      </c>
      <c r="Y589" s="199" t="s">
        <v>50</v>
      </c>
      <c r="Z589" s="169" t="s">
        <v>4711</v>
      </c>
      <c r="AA589" s="170" t="s">
        <v>4032</v>
      </c>
      <c r="AB589" s="243" t="s">
        <v>3819</v>
      </c>
      <c r="AC589" s="172">
        <v>5240</v>
      </c>
      <c r="AE589" s="358" t="s">
        <v>4712</v>
      </c>
      <c r="AF589" s="138"/>
      <c r="AG589" s="138" t="s">
        <v>56</v>
      </c>
      <c r="AH589" s="138" t="s">
        <v>56</v>
      </c>
      <c r="AI589" s="138"/>
      <c r="AJ589" s="138" t="s">
        <v>56</v>
      </c>
      <c r="AK589" s="138" t="s">
        <v>1527</v>
      </c>
      <c r="AL589" s="222"/>
    </row>
    <row r="590" spans="1:39" s="200" customFormat="1" ht="38.25" customHeight="1" x14ac:dyDescent="0.25">
      <c r="A590" s="14">
        <v>45884</v>
      </c>
      <c r="B590" s="41" t="s">
        <v>4713</v>
      </c>
      <c r="C590" s="41" t="s">
        <v>4714</v>
      </c>
      <c r="D590" s="41" t="s">
        <v>4715</v>
      </c>
      <c r="E590" s="42" t="s">
        <v>39</v>
      </c>
      <c r="F590" s="19">
        <v>1</v>
      </c>
      <c r="G590" s="43"/>
      <c r="H590" s="43"/>
      <c r="I590" s="245" t="s">
        <v>4716</v>
      </c>
      <c r="J590" s="45">
        <v>300</v>
      </c>
      <c r="K590" s="46" t="s">
        <v>4717</v>
      </c>
      <c r="L590" s="47" t="s">
        <v>63</v>
      </c>
      <c r="M590" s="127" t="s">
        <v>42</v>
      </c>
      <c r="N590" s="77" t="s">
        <v>4718</v>
      </c>
      <c r="O590" s="49" t="s">
        <v>4662</v>
      </c>
      <c r="P590" s="49" t="s">
        <v>4719</v>
      </c>
      <c r="Q590" s="49" t="s">
        <v>4720</v>
      </c>
      <c r="R590" s="50">
        <v>23</v>
      </c>
      <c r="S590" s="50">
        <v>48</v>
      </c>
      <c r="T590" s="51" t="s">
        <v>47</v>
      </c>
      <c r="U590" s="51">
        <v>2</v>
      </c>
      <c r="V590" s="75">
        <f t="shared" si="17"/>
        <v>600</v>
      </c>
      <c r="W590" s="51" t="s">
        <v>350</v>
      </c>
      <c r="X590" s="198" t="s">
        <v>2234</v>
      </c>
      <c r="Y590" s="263" t="s">
        <v>144</v>
      </c>
      <c r="Z590" s="169"/>
      <c r="AA590" s="170" t="s">
        <v>3466</v>
      </c>
      <c r="AB590" s="243" t="s">
        <v>647</v>
      </c>
      <c r="AC590" s="172">
        <v>5059</v>
      </c>
      <c r="AE590" s="138" t="s">
        <v>2776</v>
      </c>
      <c r="AF590" s="138"/>
      <c r="AG590" s="138" t="s">
        <v>56</v>
      </c>
      <c r="AH590" s="138" t="s">
        <v>56</v>
      </c>
      <c r="AI590" s="138"/>
      <c r="AJ590" s="138"/>
      <c r="AK590" s="222"/>
      <c r="AL590" s="222"/>
    </row>
    <row r="591" spans="1:39" ht="123" x14ac:dyDescent="0.25">
      <c r="A591" s="14">
        <v>45884</v>
      </c>
      <c r="B591" s="41" t="s">
        <v>4721</v>
      </c>
      <c r="C591" s="41" t="s">
        <v>4722</v>
      </c>
      <c r="D591" s="41" t="s">
        <v>4723</v>
      </c>
      <c r="E591" s="42" t="s">
        <v>39</v>
      </c>
      <c r="F591" s="19">
        <v>1</v>
      </c>
      <c r="G591" s="43"/>
      <c r="H591" s="43"/>
      <c r="I591" s="245" t="s">
        <v>4724</v>
      </c>
      <c r="J591" s="45">
        <v>50</v>
      </c>
      <c r="K591" s="46" t="s">
        <v>4725</v>
      </c>
      <c r="L591" s="47" t="s">
        <v>63</v>
      </c>
      <c r="M591" s="127" t="s">
        <v>42</v>
      </c>
      <c r="N591" s="77" t="s">
        <v>4726</v>
      </c>
      <c r="O591" s="49" t="s">
        <v>4727</v>
      </c>
      <c r="P591" s="49" t="s">
        <v>4647</v>
      </c>
      <c r="Q591" s="49" t="s">
        <v>4706</v>
      </c>
      <c r="R591" s="50">
        <v>34</v>
      </c>
      <c r="S591" s="50">
        <v>80</v>
      </c>
      <c r="T591" s="51" t="s">
        <v>47</v>
      </c>
      <c r="U591" s="51">
        <v>4</v>
      </c>
      <c r="V591" s="52">
        <f t="shared" si="17"/>
        <v>200</v>
      </c>
      <c r="W591" s="51" t="s">
        <v>350</v>
      </c>
      <c r="X591" s="198" t="s">
        <v>2384</v>
      </c>
      <c r="Y591" s="199" t="s">
        <v>50</v>
      </c>
      <c r="Z591" s="269"/>
      <c r="AA591" s="170" t="s">
        <v>4032</v>
      </c>
      <c r="AB591" s="243" t="s">
        <v>3819</v>
      </c>
      <c r="AC591" s="172">
        <v>4300</v>
      </c>
      <c r="AE591" s="137" t="s">
        <v>4728</v>
      </c>
      <c r="AF591" s="138"/>
      <c r="AG591" s="138" t="s">
        <v>56</v>
      </c>
      <c r="AH591" s="138" t="s">
        <v>56</v>
      </c>
      <c r="AI591" s="138"/>
      <c r="AJ591" s="138" t="s">
        <v>56</v>
      </c>
      <c r="AK591" s="222" t="s">
        <v>4729</v>
      </c>
      <c r="AL591" s="222"/>
    </row>
    <row r="592" spans="1:39" s="200" customFormat="1" ht="63" customHeight="1" x14ac:dyDescent="0.25">
      <c r="A592" s="14">
        <v>45883</v>
      </c>
      <c r="B592" s="41" t="s">
        <v>4730</v>
      </c>
      <c r="C592" s="41" t="s">
        <v>4731</v>
      </c>
      <c r="D592" s="41"/>
      <c r="E592" s="42" t="s">
        <v>39</v>
      </c>
      <c r="F592" s="43"/>
      <c r="G592" s="43"/>
      <c r="H592" s="19" t="s">
        <v>1877</v>
      </c>
      <c r="I592" s="245" t="s">
        <v>4732</v>
      </c>
      <c r="J592" s="45">
        <v>50</v>
      </c>
      <c r="K592" s="46" t="s">
        <v>4733</v>
      </c>
      <c r="L592" s="47" t="s">
        <v>63</v>
      </c>
      <c r="M592" s="73" t="s">
        <v>42</v>
      </c>
      <c r="N592" s="77" t="s">
        <v>4734</v>
      </c>
      <c r="O592" s="49"/>
      <c r="P592" s="49"/>
      <c r="Q592" s="49"/>
      <c r="R592" s="50">
        <v>76</v>
      </c>
      <c r="S592" s="50">
        <v>267</v>
      </c>
      <c r="T592" s="51" t="s">
        <v>180</v>
      </c>
      <c r="U592" s="51">
        <v>0</v>
      </c>
      <c r="V592" s="52">
        <f t="shared" si="17"/>
        <v>0</v>
      </c>
      <c r="W592" s="51" t="s">
        <v>350</v>
      </c>
      <c r="X592" s="198" t="s">
        <v>4735</v>
      </c>
      <c r="Y592" s="199" t="s">
        <v>50</v>
      </c>
      <c r="Z592" s="169"/>
      <c r="AA592" s="170" t="s">
        <v>3818</v>
      </c>
      <c r="AB592" s="243" t="s">
        <v>4223</v>
      </c>
      <c r="AC592" s="172">
        <v>5660</v>
      </c>
      <c r="AE592" s="138" t="s">
        <v>4736</v>
      </c>
      <c r="AF592" s="138"/>
      <c r="AG592" s="138" t="s">
        <v>56</v>
      </c>
      <c r="AH592" s="138" t="s">
        <v>56</v>
      </c>
      <c r="AI592" s="138"/>
      <c r="AJ592" s="138"/>
      <c r="AK592" s="222"/>
      <c r="AL592" s="222"/>
    </row>
    <row r="593" spans="1:42" s="200" customFormat="1" ht="150" x14ac:dyDescent="0.25">
      <c r="A593" s="14">
        <v>45883</v>
      </c>
      <c r="B593" s="95" t="s">
        <v>4737</v>
      </c>
      <c r="C593" s="95" t="s">
        <v>4738</v>
      </c>
      <c r="D593" s="95"/>
      <c r="E593" s="96" t="s">
        <v>39</v>
      </c>
      <c r="F593" s="97"/>
      <c r="G593" s="97"/>
      <c r="H593" s="19" t="s">
        <v>1877</v>
      </c>
      <c r="I593" s="245" t="s">
        <v>4739</v>
      </c>
      <c r="J593" s="98">
        <v>10</v>
      </c>
      <c r="K593" s="270" t="s">
        <v>4740</v>
      </c>
      <c r="L593" s="103" t="s">
        <v>63</v>
      </c>
      <c r="M593" s="100" t="s">
        <v>42</v>
      </c>
      <c r="N593" s="101" t="s">
        <v>4741</v>
      </c>
      <c r="O593" s="102"/>
      <c r="P593" s="102"/>
      <c r="Q593" s="102"/>
      <c r="R593" s="103">
        <v>2</v>
      </c>
      <c r="S593" s="103">
        <v>4</v>
      </c>
      <c r="T593" s="96" t="s">
        <v>96</v>
      </c>
      <c r="U593" s="96">
        <v>11</v>
      </c>
      <c r="V593" s="104">
        <f t="shared" si="17"/>
        <v>110</v>
      </c>
      <c r="W593" s="96" t="s">
        <v>350</v>
      </c>
      <c r="X593" s="198" t="s">
        <v>4040</v>
      </c>
      <c r="Y593" s="199" t="s">
        <v>50</v>
      </c>
      <c r="Z593" s="169"/>
      <c r="AA593" s="170" t="s">
        <v>4146</v>
      </c>
      <c r="AB593" s="243" t="s">
        <v>4018</v>
      </c>
      <c r="AC593" s="172">
        <v>5400</v>
      </c>
      <c r="AE593" s="138" t="s">
        <v>4686</v>
      </c>
      <c r="AF593" s="138"/>
      <c r="AG593" s="138" t="s">
        <v>56</v>
      </c>
      <c r="AH593" s="138" t="s">
        <v>56</v>
      </c>
      <c r="AI593" s="138"/>
      <c r="AJ593" s="138"/>
      <c r="AK593" s="138"/>
      <c r="AL593" s="222"/>
    </row>
    <row r="594" spans="1:42" ht="104.25" customHeight="1" x14ac:dyDescent="0.25">
      <c r="A594" s="14">
        <v>45883</v>
      </c>
      <c r="B594" s="41" t="s">
        <v>4742</v>
      </c>
      <c r="C594" s="41" t="s">
        <v>4743</v>
      </c>
      <c r="D594" s="41" t="s">
        <v>4744</v>
      </c>
      <c r="E594" s="42" t="s">
        <v>39</v>
      </c>
      <c r="F594" s="43"/>
      <c r="G594" s="19">
        <v>1</v>
      </c>
      <c r="H594" s="43"/>
      <c r="I594" s="245" t="s">
        <v>4745</v>
      </c>
      <c r="J594" s="45">
        <v>37</v>
      </c>
      <c r="K594" s="46" t="s">
        <v>4746</v>
      </c>
      <c r="L594" s="47" t="s">
        <v>63</v>
      </c>
      <c r="M594" s="73" t="s">
        <v>42</v>
      </c>
      <c r="N594" s="359" t="s">
        <v>4747</v>
      </c>
      <c r="O594" s="49"/>
      <c r="P594" s="49"/>
      <c r="Q594" s="49" t="s">
        <v>4416</v>
      </c>
      <c r="R594" s="50">
        <v>12</v>
      </c>
      <c r="S594" s="50">
        <v>15</v>
      </c>
      <c r="T594" s="51">
        <v>0</v>
      </c>
      <c r="U594" s="51">
        <v>8</v>
      </c>
      <c r="V594" s="52">
        <f t="shared" si="17"/>
        <v>296</v>
      </c>
      <c r="W594" s="51" t="s">
        <v>221</v>
      </c>
      <c r="X594" s="198" t="s">
        <v>4663</v>
      </c>
      <c r="Y594" s="360" t="s">
        <v>144</v>
      </c>
      <c r="Z594" s="169" t="s">
        <v>4587</v>
      </c>
      <c r="AA594" s="170" t="s">
        <v>646</v>
      </c>
      <c r="AB594" s="243" t="s">
        <v>2826</v>
      </c>
      <c r="AC594" s="172">
        <v>2164.5</v>
      </c>
      <c r="AE594" s="138" t="s">
        <v>4736</v>
      </c>
      <c r="AF594" s="138"/>
      <c r="AG594" s="138" t="s">
        <v>56</v>
      </c>
      <c r="AH594" s="138" t="s">
        <v>56</v>
      </c>
      <c r="AI594" s="138" t="s">
        <v>56</v>
      </c>
      <c r="AJ594" s="138" t="s">
        <v>56</v>
      </c>
      <c r="AK594" s="222" t="s">
        <v>74</v>
      </c>
      <c r="AL594" s="222"/>
    </row>
    <row r="595" spans="1:42" s="200" customFormat="1" ht="52.5" customHeight="1" x14ac:dyDescent="0.25">
      <c r="A595" s="14">
        <v>45883</v>
      </c>
      <c r="B595" s="41" t="s">
        <v>4748</v>
      </c>
      <c r="C595" s="41" t="s">
        <v>4749</v>
      </c>
      <c r="D595" s="41" t="s">
        <v>4750</v>
      </c>
      <c r="E595" s="42" t="s">
        <v>39</v>
      </c>
      <c r="F595" s="19">
        <v>4</v>
      </c>
      <c r="G595" s="43"/>
      <c r="H595" s="43"/>
      <c r="I595" s="245" t="s">
        <v>4751</v>
      </c>
      <c r="J595" s="45">
        <v>40</v>
      </c>
      <c r="K595" s="46" t="s">
        <v>4733</v>
      </c>
      <c r="L595" s="47" t="s">
        <v>63</v>
      </c>
      <c r="M595" s="73" t="s">
        <v>42</v>
      </c>
      <c r="N595" s="77" t="s">
        <v>4752</v>
      </c>
      <c r="O595" s="49"/>
      <c r="P595" s="49"/>
      <c r="Q595" s="49"/>
      <c r="R595" s="50">
        <v>52</v>
      </c>
      <c r="S595" s="50">
        <v>288</v>
      </c>
      <c r="T595" s="51" t="s">
        <v>96</v>
      </c>
      <c r="U595" s="51">
        <v>25</v>
      </c>
      <c r="V595" s="75">
        <f t="shared" si="17"/>
        <v>1000</v>
      </c>
      <c r="W595" s="235" t="s">
        <v>68</v>
      </c>
      <c r="X595" s="361" t="s">
        <v>4753</v>
      </c>
      <c r="Y595" s="199" t="s">
        <v>70</v>
      </c>
      <c r="Z595" s="169"/>
      <c r="AA595" s="170" t="s">
        <v>4136</v>
      </c>
      <c r="AB595" s="243" t="s">
        <v>3819</v>
      </c>
      <c r="AC595" s="35">
        <v>4706</v>
      </c>
      <c r="AE595" s="138" t="s">
        <v>2776</v>
      </c>
      <c r="AF595" s="138"/>
      <c r="AG595" s="138" t="s">
        <v>56</v>
      </c>
      <c r="AH595" s="138" t="s">
        <v>626</v>
      </c>
      <c r="AI595" s="138"/>
      <c r="AJ595" s="138" t="s">
        <v>56</v>
      </c>
      <c r="AK595" s="222" t="s">
        <v>74</v>
      </c>
      <c r="AL595" s="222"/>
    </row>
    <row r="596" spans="1:42" s="200" customFormat="1" ht="106.5" customHeight="1" x14ac:dyDescent="0.25">
      <c r="A596" s="14">
        <v>45882</v>
      </c>
      <c r="B596" s="41" t="s">
        <v>4754</v>
      </c>
      <c r="C596" s="41" t="s">
        <v>4755</v>
      </c>
      <c r="D596" s="41" t="s">
        <v>4756</v>
      </c>
      <c r="E596" s="42" t="s">
        <v>39</v>
      </c>
      <c r="F596" s="43"/>
      <c r="G596" s="43"/>
      <c r="H596" s="43"/>
      <c r="I596" s="245" t="s">
        <v>4757</v>
      </c>
      <c r="J596" s="45">
        <v>50</v>
      </c>
      <c r="K596" s="46" t="s">
        <v>4758</v>
      </c>
      <c r="L596" s="47" t="s">
        <v>63</v>
      </c>
      <c r="M596" s="73" t="s">
        <v>42</v>
      </c>
      <c r="N596" s="77" t="s">
        <v>4759</v>
      </c>
      <c r="O596" s="49"/>
      <c r="P596" s="49"/>
      <c r="Q596" s="49"/>
      <c r="R596" s="50">
        <v>1</v>
      </c>
      <c r="S596" s="50">
        <v>2</v>
      </c>
      <c r="T596" s="51" t="s">
        <v>96</v>
      </c>
      <c r="U596" s="51">
        <v>1</v>
      </c>
      <c r="V596" s="52">
        <f t="shared" si="17"/>
        <v>50</v>
      </c>
      <c r="W596" s="51" t="s">
        <v>68</v>
      </c>
      <c r="X596" s="198" t="s">
        <v>2504</v>
      </c>
      <c r="Y596" s="199" t="s">
        <v>82</v>
      </c>
      <c r="Z596" s="169"/>
      <c r="AA596" s="170" t="s">
        <v>2972</v>
      </c>
      <c r="AB596" s="243" t="s">
        <v>647</v>
      </c>
      <c r="AC596" s="172">
        <v>1350</v>
      </c>
      <c r="AE596" s="138" t="s">
        <v>4736</v>
      </c>
      <c r="AF596" s="138"/>
      <c r="AG596" s="138" t="s">
        <v>56</v>
      </c>
      <c r="AH596" s="138" t="s">
        <v>56</v>
      </c>
      <c r="AI596" s="138"/>
      <c r="AJ596" s="138"/>
      <c r="AK596" s="222"/>
      <c r="AL596" s="222"/>
    </row>
    <row r="597" spans="1:42" s="200" customFormat="1" ht="111.75" customHeight="1" x14ac:dyDescent="0.25">
      <c r="A597" s="14">
        <v>45882</v>
      </c>
      <c r="B597" s="41" t="s">
        <v>4760</v>
      </c>
      <c r="C597" s="41" t="s">
        <v>4761</v>
      </c>
      <c r="D597" s="41"/>
      <c r="E597" s="42" t="s">
        <v>39</v>
      </c>
      <c r="F597" s="19" t="s">
        <v>4762</v>
      </c>
      <c r="G597" s="43"/>
      <c r="H597" s="43"/>
      <c r="I597" s="245" t="s">
        <v>4763</v>
      </c>
      <c r="J597" s="45">
        <v>15</v>
      </c>
      <c r="K597" s="46" t="s">
        <v>4746</v>
      </c>
      <c r="L597" s="47" t="s">
        <v>63</v>
      </c>
      <c r="M597" s="73" t="s">
        <v>42</v>
      </c>
      <c r="N597" s="77" t="s">
        <v>4764</v>
      </c>
      <c r="O597" s="49"/>
      <c r="P597" s="49"/>
      <c r="Q597" s="49"/>
      <c r="R597" s="50">
        <v>11</v>
      </c>
      <c r="S597" s="50">
        <v>21</v>
      </c>
      <c r="T597" s="51" t="s">
        <v>96</v>
      </c>
      <c r="U597" s="51">
        <v>2</v>
      </c>
      <c r="V597" s="52">
        <f t="shared" si="17"/>
        <v>30</v>
      </c>
      <c r="W597" s="51" t="s">
        <v>221</v>
      </c>
      <c r="X597" s="198" t="s">
        <v>4663</v>
      </c>
      <c r="Y597" s="263" t="s">
        <v>144</v>
      </c>
      <c r="Z597" s="169" t="s">
        <v>4765</v>
      </c>
      <c r="AA597" s="170" t="s">
        <v>3466</v>
      </c>
      <c r="AB597" s="243" t="s">
        <v>4419</v>
      </c>
      <c r="AC597" s="172">
        <v>1335</v>
      </c>
      <c r="AE597" s="138" t="s">
        <v>4736</v>
      </c>
      <c r="AF597" s="138"/>
      <c r="AG597" s="138" t="s">
        <v>56</v>
      </c>
      <c r="AH597" s="138" t="s">
        <v>56</v>
      </c>
      <c r="AI597" s="138"/>
      <c r="AJ597" s="138" t="s">
        <v>56</v>
      </c>
      <c r="AK597" s="222" t="s">
        <v>74</v>
      </c>
      <c r="AL597" s="222"/>
    </row>
    <row r="598" spans="1:42" ht="51.75" customHeight="1" x14ac:dyDescent="0.25">
      <c r="A598" s="14">
        <v>45882</v>
      </c>
      <c r="B598" s="41" t="s">
        <v>4766</v>
      </c>
      <c r="C598" s="41" t="s">
        <v>4767</v>
      </c>
      <c r="D598" s="41"/>
      <c r="E598" s="42" t="s">
        <v>39</v>
      </c>
      <c r="F598" s="19">
        <v>3</v>
      </c>
      <c r="G598" s="43"/>
      <c r="H598" s="43"/>
      <c r="I598" s="245" t="s">
        <v>4768</v>
      </c>
      <c r="J598" s="45">
        <v>3</v>
      </c>
      <c r="K598" s="46" t="s">
        <v>4769</v>
      </c>
      <c r="L598" s="47" t="s">
        <v>63</v>
      </c>
      <c r="M598" s="73" t="s">
        <v>42</v>
      </c>
      <c r="N598" s="77" t="s">
        <v>4770</v>
      </c>
      <c r="O598" s="49"/>
      <c r="P598" s="49"/>
      <c r="Q598" s="49"/>
      <c r="R598" s="50">
        <v>16</v>
      </c>
      <c r="S598" s="50">
        <v>411</v>
      </c>
      <c r="T598" s="51" t="s">
        <v>393</v>
      </c>
      <c r="U598" s="51">
        <v>48</v>
      </c>
      <c r="V598" s="52">
        <f t="shared" si="17"/>
        <v>144</v>
      </c>
      <c r="W598" s="51" t="s">
        <v>3611</v>
      </c>
      <c r="X598" s="198" t="s">
        <v>4771</v>
      </c>
      <c r="Y598" s="168" t="s">
        <v>82</v>
      </c>
      <c r="Z598" s="169"/>
      <c r="AA598" s="170" t="s">
        <v>4017</v>
      </c>
      <c r="AB598" s="243" t="s">
        <v>2973</v>
      </c>
      <c r="AC598" s="35">
        <v>2445.75</v>
      </c>
      <c r="AE598" s="138" t="s">
        <v>2776</v>
      </c>
      <c r="AF598" s="138"/>
      <c r="AG598" s="138" t="s">
        <v>56</v>
      </c>
      <c r="AH598" s="138" t="s">
        <v>56</v>
      </c>
      <c r="AI598" s="138"/>
      <c r="AJ598" s="138" t="s">
        <v>56</v>
      </c>
      <c r="AK598" s="138" t="s">
        <v>2284</v>
      </c>
      <c r="AL598" s="222"/>
    </row>
    <row r="599" spans="1:42" s="200" customFormat="1" ht="40.5" customHeight="1" x14ac:dyDescent="0.25">
      <c r="A599" s="14" t="s">
        <v>4772</v>
      </c>
      <c r="B599" s="204" t="s">
        <v>4773</v>
      </c>
      <c r="C599" s="204" t="s">
        <v>4774</v>
      </c>
      <c r="D599" s="41" t="s">
        <v>4775</v>
      </c>
      <c r="E599" s="205" t="s">
        <v>39</v>
      </c>
      <c r="F599" s="206">
        <v>1</v>
      </c>
      <c r="G599" s="143"/>
      <c r="H599" s="143"/>
      <c r="I599" s="362" t="s">
        <v>4776</v>
      </c>
      <c r="J599" s="207">
        <v>9</v>
      </c>
      <c r="K599" s="363" t="s">
        <v>4777</v>
      </c>
      <c r="L599" s="211" t="s">
        <v>63</v>
      </c>
      <c r="M599" s="209" t="s">
        <v>42</v>
      </c>
      <c r="N599" s="333" t="s">
        <v>4528</v>
      </c>
      <c r="O599" s="210" t="s">
        <v>4778</v>
      </c>
      <c r="P599" s="210" t="s">
        <v>4779</v>
      </c>
      <c r="Q599" s="210" t="s">
        <v>4780</v>
      </c>
      <c r="R599" s="211">
        <v>115</v>
      </c>
      <c r="S599" s="211">
        <v>382</v>
      </c>
      <c r="T599" s="212" t="s">
        <v>141</v>
      </c>
      <c r="U599" s="212">
        <v>0</v>
      </c>
      <c r="V599" s="330">
        <f t="shared" si="17"/>
        <v>0</v>
      </c>
      <c r="W599" s="212" t="s">
        <v>350</v>
      </c>
      <c r="X599" s="198" t="s">
        <v>2234</v>
      </c>
      <c r="Y599" s="263" t="s">
        <v>144</v>
      </c>
      <c r="Z599" s="169" t="s">
        <v>4531</v>
      </c>
      <c r="AA599" s="170" t="s">
        <v>3466</v>
      </c>
      <c r="AB599" s="243" t="s">
        <v>647</v>
      </c>
      <c r="AC599" s="322"/>
      <c r="AE599" s="138" t="s">
        <v>4004</v>
      </c>
      <c r="AF599" s="138" t="s">
        <v>354</v>
      </c>
      <c r="AG599" s="138" t="s">
        <v>56</v>
      </c>
      <c r="AH599" s="138" t="s">
        <v>56</v>
      </c>
      <c r="AI599" s="138"/>
      <c r="AJ599" s="138"/>
      <c r="AK599" s="138"/>
      <c r="AL599" s="222"/>
    </row>
    <row r="600" spans="1:42" s="279" customFormat="1" ht="105" x14ac:dyDescent="0.25">
      <c r="A600" s="14">
        <v>45881</v>
      </c>
      <c r="B600" s="71" t="s">
        <v>4781</v>
      </c>
      <c r="C600" s="71" t="s">
        <v>4782</v>
      </c>
      <c r="D600" s="71" t="s">
        <v>4783</v>
      </c>
      <c r="E600" s="364" t="s">
        <v>39</v>
      </c>
      <c r="F600" s="365"/>
      <c r="G600" s="365"/>
      <c r="H600" s="366">
        <v>1</v>
      </c>
      <c r="I600" s="367" t="s">
        <v>4784</v>
      </c>
      <c r="J600" s="368">
        <v>2</v>
      </c>
      <c r="K600" s="369" t="s">
        <v>4785</v>
      </c>
      <c r="L600" s="47" t="s">
        <v>63</v>
      </c>
      <c r="M600" s="73" t="s">
        <v>42</v>
      </c>
      <c r="N600" s="370" t="s">
        <v>4786</v>
      </c>
      <c r="O600" s="371" t="s">
        <v>4787</v>
      </c>
      <c r="P600" s="371" t="s">
        <v>4788</v>
      </c>
      <c r="Q600" s="371" t="s">
        <v>4789</v>
      </c>
      <c r="R600" s="372">
        <v>179</v>
      </c>
      <c r="S600" s="373">
        <v>838</v>
      </c>
      <c r="T600" s="364" t="s">
        <v>141</v>
      </c>
      <c r="U600" s="364">
        <v>10</v>
      </c>
      <c r="V600" s="374">
        <f t="shared" si="17"/>
        <v>20</v>
      </c>
      <c r="W600" s="364" t="s">
        <v>350</v>
      </c>
      <c r="X600" s="325" t="s">
        <v>4790</v>
      </c>
      <c r="Y600" s="199" t="s">
        <v>50</v>
      </c>
      <c r="Z600" s="269"/>
      <c r="AA600" s="375" t="s">
        <v>4791</v>
      </c>
      <c r="AB600" s="376" t="s">
        <v>4408</v>
      </c>
      <c r="AC600" s="377">
        <v>9606</v>
      </c>
      <c r="AD600" s="200"/>
      <c r="AE600" s="138" t="s">
        <v>4792</v>
      </c>
      <c r="AF600" s="138" t="s">
        <v>354</v>
      </c>
      <c r="AG600" s="138" t="s">
        <v>56</v>
      </c>
      <c r="AH600" s="138" t="s">
        <v>56</v>
      </c>
      <c r="AI600" s="138"/>
      <c r="AJ600" s="138"/>
      <c r="AK600" s="138"/>
      <c r="AL600" s="138"/>
      <c r="AM600" s="200"/>
      <c r="AN600" s="200"/>
      <c r="AO600" s="200"/>
      <c r="AP600" s="200"/>
    </row>
    <row r="601" spans="1:42" s="200" customFormat="1" ht="105.75" customHeight="1" x14ac:dyDescent="0.25">
      <c r="A601" s="14">
        <v>45881</v>
      </c>
      <c r="B601" s="95" t="s">
        <v>635</v>
      </c>
      <c r="C601" s="95" t="s">
        <v>4793</v>
      </c>
      <c r="D601" s="95"/>
      <c r="E601" s="96" t="s">
        <v>39</v>
      </c>
      <c r="F601" s="97"/>
      <c r="G601" s="19">
        <v>2</v>
      </c>
      <c r="H601" s="97"/>
      <c r="I601" s="245" t="s">
        <v>4794</v>
      </c>
      <c r="J601" s="98">
        <v>30</v>
      </c>
      <c r="K601" s="270" t="s">
        <v>4795</v>
      </c>
      <c r="L601" s="100" t="s">
        <v>63</v>
      </c>
      <c r="M601" s="100" t="s">
        <v>42</v>
      </c>
      <c r="N601" s="101" t="s">
        <v>4796</v>
      </c>
      <c r="O601" s="102"/>
      <c r="P601" s="102"/>
      <c r="Q601" s="102" t="s">
        <v>4797</v>
      </c>
      <c r="R601" s="103">
        <v>28</v>
      </c>
      <c r="S601" s="103">
        <v>111</v>
      </c>
      <c r="T601" s="96" t="s">
        <v>549</v>
      </c>
      <c r="U601" s="96">
        <v>1</v>
      </c>
      <c r="V601" s="75">
        <f t="shared" si="17"/>
        <v>30</v>
      </c>
      <c r="W601" s="96" t="s">
        <v>510</v>
      </c>
      <c r="X601" s="198" t="s">
        <v>644</v>
      </c>
      <c r="Y601" s="263" t="s">
        <v>324</v>
      </c>
      <c r="Z601" s="169" t="s">
        <v>645</v>
      </c>
      <c r="AA601" s="170" t="s">
        <v>646</v>
      </c>
      <c r="AB601" s="243" t="s">
        <v>647</v>
      </c>
      <c r="AC601" s="35">
        <f>26973*J601/675</f>
        <v>1198.8</v>
      </c>
      <c r="AE601" s="138" t="s">
        <v>4736</v>
      </c>
      <c r="AF601" s="138"/>
      <c r="AG601" s="138" t="s">
        <v>56</v>
      </c>
      <c r="AH601" s="138" t="s">
        <v>86</v>
      </c>
      <c r="AI601" s="138"/>
      <c r="AJ601" s="138" t="s">
        <v>56</v>
      </c>
      <c r="AK601" s="222" t="s">
        <v>74</v>
      </c>
      <c r="AL601" s="222"/>
    </row>
    <row r="602" spans="1:42" s="200" customFormat="1" ht="50.25" customHeight="1" x14ac:dyDescent="0.25">
      <c r="A602" s="14">
        <v>45881</v>
      </c>
      <c r="B602" s="41" t="s">
        <v>4798</v>
      </c>
      <c r="C602" s="41" t="s">
        <v>4799</v>
      </c>
      <c r="D602" s="41"/>
      <c r="E602" s="42" t="s">
        <v>39</v>
      </c>
      <c r="F602" s="19">
        <v>2</v>
      </c>
      <c r="G602" s="43"/>
      <c r="H602" s="43"/>
      <c r="I602" s="245" t="s">
        <v>4800</v>
      </c>
      <c r="J602" s="45">
        <v>32</v>
      </c>
      <c r="K602" s="46" t="s">
        <v>4801</v>
      </c>
      <c r="L602" s="47" t="s">
        <v>63</v>
      </c>
      <c r="M602" s="73" t="s">
        <v>42</v>
      </c>
      <c r="N602" s="77" t="s">
        <v>4802</v>
      </c>
      <c r="O602" s="49"/>
      <c r="P602" s="49" t="s">
        <v>4803</v>
      </c>
      <c r="Q602" s="49"/>
      <c r="R602" s="50">
        <v>19</v>
      </c>
      <c r="S602" s="50">
        <v>51</v>
      </c>
      <c r="T602" s="51" t="s">
        <v>96</v>
      </c>
      <c r="U602" s="51">
        <v>3</v>
      </c>
      <c r="V602" s="52">
        <f t="shared" si="17"/>
        <v>96</v>
      </c>
      <c r="W602" s="51" t="s">
        <v>221</v>
      </c>
      <c r="X602" s="198" t="s">
        <v>4663</v>
      </c>
      <c r="Y602" s="263" t="s">
        <v>144</v>
      </c>
      <c r="Z602" s="169"/>
      <c r="AA602" s="170" t="s">
        <v>3466</v>
      </c>
      <c r="AB602" s="243" t="s">
        <v>4419</v>
      </c>
      <c r="AC602" s="172">
        <v>1814.4</v>
      </c>
      <c r="AE602" s="138" t="s">
        <v>4792</v>
      </c>
      <c r="AF602" s="138"/>
      <c r="AG602" s="138" t="s">
        <v>56</v>
      </c>
      <c r="AH602" s="138" t="s">
        <v>56</v>
      </c>
      <c r="AI602" s="138"/>
      <c r="AJ602" s="138" t="s">
        <v>56</v>
      </c>
      <c r="AK602" s="222" t="s">
        <v>74</v>
      </c>
      <c r="AL602" s="222"/>
    </row>
    <row r="603" spans="1:42" s="200" customFormat="1" ht="197.25" customHeight="1" x14ac:dyDescent="0.25">
      <c r="A603" s="14">
        <v>45880</v>
      </c>
      <c r="B603" s="95" t="s">
        <v>4804</v>
      </c>
      <c r="C603" s="95" t="s">
        <v>4805</v>
      </c>
      <c r="D603" s="95" t="s">
        <v>4806</v>
      </c>
      <c r="E603" s="96" t="s">
        <v>39</v>
      </c>
      <c r="F603" s="97"/>
      <c r="G603" s="97"/>
      <c r="H603" s="19">
        <v>2</v>
      </c>
      <c r="I603" s="245" t="s">
        <v>4807</v>
      </c>
      <c r="J603" s="98">
        <f>237-8-69</f>
        <v>160</v>
      </c>
      <c r="K603" s="99" t="s">
        <v>4808</v>
      </c>
      <c r="L603" s="100" t="s">
        <v>63</v>
      </c>
      <c r="M603" s="100" t="s">
        <v>42</v>
      </c>
      <c r="N603" s="101" t="s">
        <v>4809</v>
      </c>
      <c r="O603" s="102" t="s">
        <v>4810</v>
      </c>
      <c r="P603" s="102" t="s">
        <v>51</v>
      </c>
      <c r="Q603" s="102" t="s">
        <v>4811</v>
      </c>
      <c r="R603" s="103">
        <v>15</v>
      </c>
      <c r="S603" s="103">
        <v>27</v>
      </c>
      <c r="T603" s="96" t="s">
        <v>47</v>
      </c>
      <c r="U603" s="96">
        <v>3</v>
      </c>
      <c r="V603" s="104">
        <f t="shared" si="17"/>
        <v>480</v>
      </c>
      <c r="W603" s="96" t="s">
        <v>350</v>
      </c>
      <c r="X603" s="258" t="s">
        <v>2971</v>
      </c>
      <c r="Y603" s="199" t="s">
        <v>50</v>
      </c>
      <c r="Z603" s="169" t="s">
        <v>4587</v>
      </c>
      <c r="AA603" s="170" t="s">
        <v>4812</v>
      </c>
      <c r="AB603" s="243" t="s">
        <v>4813</v>
      </c>
      <c r="AC603" s="322">
        <f>4779.25*J603/237</f>
        <v>3226.4978902953585</v>
      </c>
      <c r="AE603" s="138" t="s">
        <v>4004</v>
      </c>
      <c r="AF603" s="138"/>
      <c r="AG603" s="138" t="s">
        <v>56</v>
      </c>
      <c r="AH603" s="138" t="s">
        <v>56</v>
      </c>
      <c r="AI603" s="138"/>
      <c r="AJ603" s="138" t="s">
        <v>56</v>
      </c>
      <c r="AK603" s="138" t="s">
        <v>2284</v>
      </c>
      <c r="AL603" s="222"/>
    </row>
    <row r="604" spans="1:42" s="200" customFormat="1" ht="285" x14ac:dyDescent="0.25">
      <c r="A604" s="14">
        <v>45880</v>
      </c>
      <c r="B604" s="95" t="s">
        <v>4804</v>
      </c>
      <c r="C604" s="95" t="s">
        <v>4805</v>
      </c>
      <c r="D604" s="95" t="s">
        <v>4806</v>
      </c>
      <c r="E604" s="96" t="s">
        <v>39</v>
      </c>
      <c r="F604" s="97"/>
      <c r="G604" s="97"/>
      <c r="H604" s="19">
        <v>2</v>
      </c>
      <c r="I604" s="245" t="s">
        <v>4814</v>
      </c>
      <c r="J604" s="98">
        <f>24+24+21</f>
        <v>69</v>
      </c>
      <c r="K604" s="99" t="s">
        <v>4808</v>
      </c>
      <c r="L604" s="100" t="s">
        <v>63</v>
      </c>
      <c r="M604" s="100" t="s">
        <v>42</v>
      </c>
      <c r="N604" s="101" t="s">
        <v>4815</v>
      </c>
      <c r="O604" s="102" t="s">
        <v>4810</v>
      </c>
      <c r="P604" s="102" t="s">
        <v>4816</v>
      </c>
      <c r="Q604" s="102" t="s">
        <v>4811</v>
      </c>
      <c r="R604" s="103">
        <v>15</v>
      </c>
      <c r="S604" s="103">
        <v>27</v>
      </c>
      <c r="T604" s="96" t="s">
        <v>47</v>
      </c>
      <c r="U604" s="96">
        <v>3</v>
      </c>
      <c r="V604" s="104">
        <f t="shared" si="17"/>
        <v>207</v>
      </c>
      <c r="W604" s="96" t="s">
        <v>350</v>
      </c>
      <c r="X604" s="258" t="s">
        <v>2971</v>
      </c>
      <c r="Y604" s="199" t="s">
        <v>50</v>
      </c>
      <c r="Z604" s="169" t="s">
        <v>4587</v>
      </c>
      <c r="AA604" s="170" t="s">
        <v>4812</v>
      </c>
      <c r="AB604" s="243" t="s">
        <v>4813</v>
      </c>
      <c r="AC604" s="322">
        <f>4779.25*J604/237+750</f>
        <v>2141.4272151898731</v>
      </c>
      <c r="AE604" s="138" t="s">
        <v>4004</v>
      </c>
      <c r="AF604" s="138"/>
      <c r="AG604" s="138" t="s">
        <v>56</v>
      </c>
      <c r="AH604" s="138" t="s">
        <v>56</v>
      </c>
      <c r="AI604" s="138"/>
      <c r="AJ604" s="138" t="s">
        <v>56</v>
      </c>
      <c r="AK604" s="138" t="s">
        <v>2284</v>
      </c>
      <c r="AL604" s="222"/>
    </row>
    <row r="605" spans="1:42" s="200" customFormat="1" ht="100.5" customHeight="1" x14ac:dyDescent="0.25">
      <c r="A605" s="14">
        <v>45880</v>
      </c>
      <c r="B605" s="95" t="s">
        <v>4817</v>
      </c>
      <c r="C605" s="95" t="s">
        <v>4818</v>
      </c>
      <c r="D605" s="95"/>
      <c r="E605" s="96" t="s">
        <v>39</v>
      </c>
      <c r="F605" s="97"/>
      <c r="G605" s="19">
        <v>1</v>
      </c>
      <c r="H605" s="97"/>
      <c r="I605" s="245" t="s">
        <v>4819</v>
      </c>
      <c r="J605" s="98">
        <v>24</v>
      </c>
      <c r="K605" s="99" t="s">
        <v>4820</v>
      </c>
      <c r="L605" s="100" t="s">
        <v>63</v>
      </c>
      <c r="M605" s="100" t="s">
        <v>55</v>
      </c>
      <c r="N605" s="101" t="s">
        <v>4821</v>
      </c>
      <c r="O605" s="102" t="s">
        <v>4811</v>
      </c>
      <c r="P605" s="102" t="s">
        <v>4822</v>
      </c>
      <c r="Q605" s="102" t="s">
        <v>4823</v>
      </c>
      <c r="R605" s="103">
        <v>70</v>
      </c>
      <c r="S605" s="103">
        <v>239</v>
      </c>
      <c r="T605" s="96" t="s">
        <v>47</v>
      </c>
      <c r="U605" s="96">
        <v>10</v>
      </c>
      <c r="V605" s="104">
        <f t="shared" si="17"/>
        <v>240</v>
      </c>
      <c r="W605" s="96" t="s">
        <v>68</v>
      </c>
      <c r="X605" s="258" t="s">
        <v>2971</v>
      </c>
      <c r="Y605" s="199" t="s">
        <v>50</v>
      </c>
      <c r="Z605" s="169"/>
      <c r="AA605" s="170" t="s">
        <v>4017</v>
      </c>
      <c r="AB605" s="243" t="s">
        <v>4348</v>
      </c>
      <c r="AC605" s="172">
        <v>8769.2800000000007</v>
      </c>
      <c r="AE605" s="138" t="s">
        <v>4004</v>
      </c>
      <c r="AF605" s="138"/>
      <c r="AG605" s="138" t="s">
        <v>56</v>
      </c>
      <c r="AH605" s="138" t="s">
        <v>56</v>
      </c>
      <c r="AI605" s="138"/>
      <c r="AJ605" s="138"/>
      <c r="AK605" s="138"/>
      <c r="AL605" s="222"/>
    </row>
    <row r="606" spans="1:42" ht="150" x14ac:dyDescent="0.25">
      <c r="A606" s="14">
        <v>45880</v>
      </c>
      <c r="B606" s="95" t="s">
        <v>4824</v>
      </c>
      <c r="C606" s="95" t="s">
        <v>4825</v>
      </c>
      <c r="D606" s="95" t="s">
        <v>4826</v>
      </c>
      <c r="E606" s="96" t="s">
        <v>39</v>
      </c>
      <c r="F606" s="19">
        <v>2</v>
      </c>
      <c r="G606" s="97"/>
      <c r="H606" s="97"/>
      <c r="I606" s="245" t="s">
        <v>4827</v>
      </c>
      <c r="J606" s="98">
        <v>24</v>
      </c>
      <c r="K606" s="270" t="s">
        <v>4820</v>
      </c>
      <c r="L606" s="100" t="s">
        <v>63</v>
      </c>
      <c r="M606" s="100" t="s">
        <v>42</v>
      </c>
      <c r="N606" s="101" t="s">
        <v>4828</v>
      </c>
      <c r="O606" s="102" t="s">
        <v>4829</v>
      </c>
      <c r="P606" s="102" t="s">
        <v>4830</v>
      </c>
      <c r="Q606" s="102" t="s">
        <v>4831</v>
      </c>
      <c r="R606" s="103">
        <v>100</v>
      </c>
      <c r="S606" s="103">
        <v>358</v>
      </c>
      <c r="T606" s="96" t="s">
        <v>180</v>
      </c>
      <c r="U606" s="96">
        <v>12</v>
      </c>
      <c r="V606" s="104">
        <f t="shared" si="17"/>
        <v>288</v>
      </c>
      <c r="W606" s="96" t="s">
        <v>68</v>
      </c>
      <c r="X606" s="258" t="s">
        <v>2971</v>
      </c>
      <c r="Y606" s="168" t="s">
        <v>50</v>
      </c>
      <c r="Z606" s="169"/>
      <c r="AA606" s="170" t="s">
        <v>3466</v>
      </c>
      <c r="AB606" s="243" t="s">
        <v>4419</v>
      </c>
      <c r="AC606" s="172">
        <v>9900.08</v>
      </c>
      <c r="AE606" s="138" t="s">
        <v>4274</v>
      </c>
      <c r="AF606" s="138"/>
      <c r="AG606" s="138" t="s">
        <v>56</v>
      </c>
      <c r="AH606" s="138" t="s">
        <v>56</v>
      </c>
      <c r="AI606" s="138"/>
      <c r="AJ606" s="138"/>
      <c r="AK606" s="138"/>
      <c r="AL606" s="222"/>
    </row>
    <row r="607" spans="1:42" s="200" customFormat="1" ht="210" x14ac:dyDescent="0.25">
      <c r="A607" s="14">
        <v>45880</v>
      </c>
      <c r="B607" s="95" t="s">
        <v>4832</v>
      </c>
      <c r="C607" s="95" t="s">
        <v>4833</v>
      </c>
      <c r="D607" s="95" t="s">
        <v>4834</v>
      </c>
      <c r="E607" s="96" t="s">
        <v>39</v>
      </c>
      <c r="F607" s="19">
        <v>1</v>
      </c>
      <c r="G607" s="97"/>
      <c r="H607" s="97"/>
      <c r="I607" s="245" t="s">
        <v>4835</v>
      </c>
      <c r="J607" s="98">
        <v>21</v>
      </c>
      <c r="K607" s="99" t="s">
        <v>4820</v>
      </c>
      <c r="L607" s="100" t="s">
        <v>63</v>
      </c>
      <c r="M607" s="100" t="s">
        <v>42</v>
      </c>
      <c r="N607" s="378" t="s">
        <v>4836</v>
      </c>
      <c r="O607" s="102" t="s">
        <v>4837</v>
      </c>
      <c r="P607" s="102" t="s">
        <v>4838</v>
      </c>
      <c r="Q607" s="102" t="s">
        <v>4839</v>
      </c>
      <c r="R607" s="103">
        <v>126</v>
      </c>
      <c r="S607" s="103">
        <v>661</v>
      </c>
      <c r="T607" s="96" t="s">
        <v>141</v>
      </c>
      <c r="U607" s="96">
        <v>12</v>
      </c>
      <c r="V607" s="104">
        <f t="shared" si="17"/>
        <v>252</v>
      </c>
      <c r="W607" s="96" t="s">
        <v>68</v>
      </c>
      <c r="X607" s="258" t="s">
        <v>232</v>
      </c>
      <c r="Y607" s="199" t="s">
        <v>50</v>
      </c>
      <c r="Z607" s="169" t="s">
        <v>4587</v>
      </c>
      <c r="AA607" s="170" t="s">
        <v>4840</v>
      </c>
      <c r="AB607" s="243" t="s">
        <v>4841</v>
      </c>
      <c r="AC607" s="172">
        <v>11784.7</v>
      </c>
      <c r="AE607" s="138" t="s">
        <v>4004</v>
      </c>
      <c r="AF607" s="138"/>
      <c r="AG607" s="138" t="s">
        <v>56</v>
      </c>
      <c r="AH607" s="138" t="s">
        <v>56</v>
      </c>
      <c r="AI607" s="138"/>
      <c r="AJ607" s="138"/>
      <c r="AK607" s="138"/>
      <c r="AL607" s="222"/>
    </row>
    <row r="608" spans="1:42" s="200" customFormat="1" ht="49.5" customHeight="1" x14ac:dyDescent="0.25">
      <c r="A608" s="14">
        <v>45880</v>
      </c>
      <c r="B608" s="41" t="s">
        <v>4842</v>
      </c>
      <c r="C608" s="41" t="s">
        <v>4843</v>
      </c>
      <c r="D608" s="41"/>
      <c r="E608" s="42" t="s">
        <v>39</v>
      </c>
      <c r="F608" s="19">
        <v>1</v>
      </c>
      <c r="G608" s="43"/>
      <c r="H608" s="43"/>
      <c r="I608" s="245" t="s">
        <v>4844</v>
      </c>
      <c r="J608" s="45">
        <v>33</v>
      </c>
      <c r="K608" s="46" t="s">
        <v>4845</v>
      </c>
      <c r="L608" s="47" t="s">
        <v>63</v>
      </c>
      <c r="M608" s="73" t="s">
        <v>42</v>
      </c>
      <c r="N608" s="77" t="s">
        <v>4132</v>
      </c>
      <c r="O608" s="49"/>
      <c r="P608" s="49" t="s">
        <v>4846</v>
      </c>
      <c r="Q608" s="49" t="s">
        <v>4847</v>
      </c>
      <c r="R608" s="50">
        <v>22</v>
      </c>
      <c r="S608" s="50">
        <v>42</v>
      </c>
      <c r="T608" s="51" t="s">
        <v>96</v>
      </c>
      <c r="U608" s="51">
        <v>14</v>
      </c>
      <c r="V608" s="52">
        <f t="shared" si="17"/>
        <v>462</v>
      </c>
      <c r="W608" s="51" t="s">
        <v>350</v>
      </c>
      <c r="X608" s="198" t="s">
        <v>511</v>
      </c>
      <c r="Y608" s="263" t="s">
        <v>144</v>
      </c>
      <c r="Z608" s="169"/>
      <c r="AA608" s="170" t="s">
        <v>646</v>
      </c>
      <c r="AB608" s="243" t="s">
        <v>4419</v>
      </c>
      <c r="AC608" s="172">
        <v>7878.75</v>
      </c>
      <c r="AE608" s="138" t="s">
        <v>4004</v>
      </c>
      <c r="AF608" s="138" t="s">
        <v>354</v>
      </c>
      <c r="AG608" s="138" t="s">
        <v>56</v>
      </c>
      <c r="AH608" s="138" t="s">
        <v>56</v>
      </c>
      <c r="AI608" s="138"/>
      <c r="AJ608" s="138" t="s">
        <v>56</v>
      </c>
      <c r="AK608" s="222" t="s">
        <v>74</v>
      </c>
      <c r="AL608" s="222"/>
    </row>
    <row r="609" spans="1:39" s="200" customFormat="1" ht="54" customHeight="1" x14ac:dyDescent="0.25">
      <c r="A609" s="14">
        <v>45880</v>
      </c>
      <c r="B609" s="95" t="s">
        <v>4848</v>
      </c>
      <c r="C609" s="95" t="s">
        <v>4849</v>
      </c>
      <c r="D609" s="379" t="s">
        <v>4850</v>
      </c>
      <c r="E609" s="96" t="s">
        <v>39</v>
      </c>
      <c r="F609" s="19">
        <v>1</v>
      </c>
      <c r="G609" s="97"/>
      <c r="H609" s="97"/>
      <c r="I609" s="245" t="s">
        <v>4851</v>
      </c>
      <c r="J609" s="98">
        <v>48</v>
      </c>
      <c r="K609" s="380" t="s">
        <v>4852</v>
      </c>
      <c r="L609" s="100" t="s">
        <v>63</v>
      </c>
      <c r="M609" s="246" t="s">
        <v>42</v>
      </c>
      <c r="N609" s="305" t="s">
        <v>4853</v>
      </c>
      <c r="O609" s="102" t="s">
        <v>4854</v>
      </c>
      <c r="P609" s="102" t="s">
        <v>4855</v>
      </c>
      <c r="Q609" s="102" t="s">
        <v>4837</v>
      </c>
      <c r="R609" s="103">
        <v>83</v>
      </c>
      <c r="S609" s="103">
        <v>136</v>
      </c>
      <c r="T609" s="96" t="s">
        <v>180</v>
      </c>
      <c r="U609" s="96">
        <v>18</v>
      </c>
      <c r="V609" s="75">
        <f t="shared" si="17"/>
        <v>864</v>
      </c>
      <c r="W609" s="96" t="s">
        <v>350</v>
      </c>
      <c r="X609" s="198" t="s">
        <v>2604</v>
      </c>
      <c r="Y609" s="263" t="s">
        <v>144</v>
      </c>
      <c r="Z609" s="169" t="s">
        <v>4856</v>
      </c>
      <c r="AA609" s="170" t="s">
        <v>2972</v>
      </c>
      <c r="AB609" s="243" t="s">
        <v>647</v>
      </c>
      <c r="AC609" s="172">
        <v>14508</v>
      </c>
      <c r="AE609" s="138" t="s">
        <v>4857</v>
      </c>
      <c r="AF609" s="138"/>
      <c r="AG609" s="138" t="s">
        <v>56</v>
      </c>
      <c r="AH609" s="138" t="s">
        <v>56</v>
      </c>
      <c r="AI609" s="138"/>
      <c r="AJ609" s="138" t="s">
        <v>56</v>
      </c>
      <c r="AK609" s="222" t="s">
        <v>74</v>
      </c>
      <c r="AL609" s="222"/>
    </row>
    <row r="610" spans="1:39" s="200" customFormat="1" ht="195" x14ac:dyDescent="0.25">
      <c r="A610" s="14">
        <v>45880</v>
      </c>
      <c r="B610" s="82" t="s">
        <v>4858</v>
      </c>
      <c r="C610" s="82" t="s">
        <v>4540</v>
      </c>
      <c r="D610" s="82" t="s">
        <v>4541</v>
      </c>
      <c r="E610" s="51" t="s">
        <v>39</v>
      </c>
      <c r="F610" s="108"/>
      <c r="G610" s="108"/>
      <c r="H610" s="19">
        <v>1</v>
      </c>
      <c r="I610" s="245" t="s">
        <v>4859</v>
      </c>
      <c r="J610" s="110">
        <v>60</v>
      </c>
      <c r="K610" s="111" t="s">
        <v>4860</v>
      </c>
      <c r="L610" s="47" t="s">
        <v>63</v>
      </c>
      <c r="M610" s="73" t="s">
        <v>42</v>
      </c>
      <c r="N610" s="77" t="s">
        <v>4861</v>
      </c>
      <c r="O610" s="49" t="s">
        <v>4545</v>
      </c>
      <c r="P610" s="308" t="s">
        <v>4862</v>
      </c>
      <c r="Q610" s="49" t="s">
        <v>4838</v>
      </c>
      <c r="R610" s="50">
        <v>119</v>
      </c>
      <c r="S610" s="50">
        <v>453</v>
      </c>
      <c r="T610" s="51" t="s">
        <v>180</v>
      </c>
      <c r="U610" s="51">
        <v>21</v>
      </c>
      <c r="V610" s="75">
        <f t="shared" si="17"/>
        <v>1260</v>
      </c>
      <c r="W610" s="51" t="s">
        <v>350</v>
      </c>
      <c r="X610" s="202" t="s">
        <v>538</v>
      </c>
      <c r="Y610" s="263" t="s">
        <v>324</v>
      </c>
      <c r="Z610" s="169" t="s">
        <v>4185</v>
      </c>
      <c r="AA610" s="170" t="s">
        <v>3853</v>
      </c>
      <c r="AB610" s="243" t="s">
        <v>4546</v>
      </c>
      <c r="AC610" s="335">
        <f>(18521.1 * J610/130)</f>
        <v>8548.2000000000007</v>
      </c>
      <c r="AE610" s="138" t="s">
        <v>4004</v>
      </c>
      <c r="AF610" s="138"/>
      <c r="AG610" s="138" t="s">
        <v>56</v>
      </c>
      <c r="AH610" s="138" t="s">
        <v>56</v>
      </c>
      <c r="AI610" s="138"/>
      <c r="AJ610" s="138" t="s">
        <v>56</v>
      </c>
      <c r="AK610" s="138" t="s">
        <v>4547</v>
      </c>
      <c r="AL610" s="222"/>
    </row>
    <row r="611" spans="1:39" ht="51" customHeight="1" x14ac:dyDescent="0.25">
      <c r="A611" s="14">
        <v>45880</v>
      </c>
      <c r="B611" s="41" t="s">
        <v>4005</v>
      </c>
      <c r="C611" s="41" t="s">
        <v>4687</v>
      </c>
      <c r="D611" s="41" t="s">
        <v>4863</v>
      </c>
      <c r="E611" s="42" t="s">
        <v>39</v>
      </c>
      <c r="F611" s="43"/>
      <c r="G611" s="19">
        <v>1</v>
      </c>
      <c r="H611" s="43"/>
      <c r="I611" s="245" t="s">
        <v>9890</v>
      </c>
      <c r="J611" s="45">
        <v>200</v>
      </c>
      <c r="K611" s="46" t="s">
        <v>4864</v>
      </c>
      <c r="L611" s="47" t="s">
        <v>63</v>
      </c>
      <c r="M611" s="73" t="s">
        <v>42</v>
      </c>
      <c r="N611" s="77" t="s">
        <v>4865</v>
      </c>
      <c r="O611" s="49"/>
      <c r="P611" s="49" t="s">
        <v>4866</v>
      </c>
      <c r="Q611" s="49"/>
      <c r="R611" s="50">
        <v>26</v>
      </c>
      <c r="S611" s="50">
        <v>53</v>
      </c>
      <c r="T611" s="51" t="s">
        <v>96</v>
      </c>
      <c r="U611" s="51">
        <v>0</v>
      </c>
      <c r="V611" s="52">
        <f t="shared" ref="V611:V674" si="18">U611*J611</f>
        <v>0</v>
      </c>
      <c r="W611" s="51" t="s">
        <v>142</v>
      </c>
      <c r="X611" s="198" t="s">
        <v>3937</v>
      </c>
      <c r="Y611" s="168" t="s">
        <v>50</v>
      </c>
      <c r="Z611" s="169"/>
      <c r="AA611" s="170" t="s">
        <v>4239</v>
      </c>
      <c r="AB611" s="243" t="s">
        <v>4018</v>
      </c>
      <c r="AC611" s="172">
        <v>3498</v>
      </c>
      <c r="AE611" s="381" t="s">
        <v>4867</v>
      </c>
      <c r="AF611" s="138"/>
      <c r="AG611" s="138" t="s">
        <v>56</v>
      </c>
      <c r="AH611" s="138" t="s">
        <v>56</v>
      </c>
      <c r="AI611" s="138"/>
      <c r="AJ611" s="138" t="s">
        <v>56</v>
      </c>
      <c r="AK611" s="222" t="s">
        <v>74</v>
      </c>
      <c r="AL611" s="222"/>
    </row>
    <row r="612" spans="1:39" s="384" customFormat="1" ht="38.25" customHeight="1" x14ac:dyDescent="0.25">
      <c r="A612" s="14">
        <v>45877</v>
      </c>
      <c r="B612" s="204" t="s">
        <v>4868</v>
      </c>
      <c r="C612" s="204" t="s">
        <v>4869</v>
      </c>
      <c r="D612" s="204" t="s">
        <v>4870</v>
      </c>
      <c r="E612" s="205" t="s">
        <v>39</v>
      </c>
      <c r="F612" s="206">
        <v>2</v>
      </c>
      <c r="G612" s="143"/>
      <c r="H612" s="143"/>
      <c r="I612" s="362" t="s">
        <v>4871</v>
      </c>
      <c r="J612" s="207">
        <v>1</v>
      </c>
      <c r="K612" s="382" t="s">
        <v>4872</v>
      </c>
      <c r="L612" s="208" t="s">
        <v>63</v>
      </c>
      <c r="M612" s="209" t="s">
        <v>42</v>
      </c>
      <c r="N612" s="74" t="s">
        <v>4873</v>
      </c>
      <c r="O612" s="49"/>
      <c r="P612" s="49" t="s">
        <v>4874</v>
      </c>
      <c r="Q612" s="49" t="s">
        <v>4875</v>
      </c>
      <c r="R612" s="50">
        <v>1</v>
      </c>
      <c r="S612" s="50">
        <v>2</v>
      </c>
      <c r="T612" s="51" t="s">
        <v>96</v>
      </c>
      <c r="U612" s="51">
        <v>51</v>
      </c>
      <c r="V612" s="75">
        <f t="shared" si="18"/>
        <v>51</v>
      </c>
      <c r="W612" s="51" t="s">
        <v>4876</v>
      </c>
      <c r="X612" s="198" t="s">
        <v>4877</v>
      </c>
      <c r="Y612" s="383" t="s">
        <v>82</v>
      </c>
      <c r="Z612" s="169"/>
      <c r="AA612" s="170" t="s">
        <v>4878</v>
      </c>
      <c r="AB612" s="243" t="s">
        <v>4879</v>
      </c>
      <c r="AC612" s="35">
        <f>J612/200 * 9192</f>
        <v>45.96</v>
      </c>
      <c r="AE612" s="381" t="s">
        <v>4867</v>
      </c>
      <c r="AF612" s="381"/>
      <c r="AG612" s="381" t="s">
        <v>56</v>
      </c>
      <c r="AH612" s="381" t="s">
        <v>86</v>
      </c>
      <c r="AI612" s="381"/>
      <c r="AJ612" s="381" t="s">
        <v>4880</v>
      </c>
      <c r="AK612" s="381" t="s">
        <v>1527</v>
      </c>
      <c r="AL612" s="385"/>
    </row>
    <row r="613" spans="1:39" s="200" customFormat="1" ht="270" x14ac:dyDescent="0.25">
      <c r="A613" s="14">
        <v>45877</v>
      </c>
      <c r="B613" s="95" t="s">
        <v>4804</v>
      </c>
      <c r="C613" s="95" t="s">
        <v>4805</v>
      </c>
      <c r="D613" s="95" t="s">
        <v>4806</v>
      </c>
      <c r="E613" s="96" t="s">
        <v>39</v>
      </c>
      <c r="F613" s="97"/>
      <c r="G613" s="97"/>
      <c r="H613" s="19">
        <v>2</v>
      </c>
      <c r="I613" s="245" t="s">
        <v>4881</v>
      </c>
      <c r="J613" s="98">
        <v>8</v>
      </c>
      <c r="K613" s="99" t="s">
        <v>4808</v>
      </c>
      <c r="L613" s="100" t="s">
        <v>63</v>
      </c>
      <c r="M613" s="100" t="s">
        <v>42</v>
      </c>
      <c r="N613" s="101" t="s">
        <v>4882</v>
      </c>
      <c r="O613" s="102" t="s">
        <v>4810</v>
      </c>
      <c r="P613" s="102" t="s">
        <v>4816</v>
      </c>
      <c r="Q613" s="102" t="s">
        <v>4811</v>
      </c>
      <c r="R613" s="103">
        <v>15</v>
      </c>
      <c r="S613" s="103">
        <v>27</v>
      </c>
      <c r="T613" s="96" t="s">
        <v>47</v>
      </c>
      <c r="U613" s="96">
        <v>3</v>
      </c>
      <c r="V613" s="104">
        <f t="shared" si="18"/>
        <v>24</v>
      </c>
      <c r="W613" s="96" t="s">
        <v>350</v>
      </c>
      <c r="X613" s="258" t="s">
        <v>2971</v>
      </c>
      <c r="Y613" s="199" t="s">
        <v>50</v>
      </c>
      <c r="Z613" s="169" t="s">
        <v>4587</v>
      </c>
      <c r="AA613" s="170" t="s">
        <v>4812</v>
      </c>
      <c r="AB613" s="243" t="s">
        <v>4813</v>
      </c>
      <c r="AC613" s="322">
        <f>4779.25*J613/237+750</f>
        <v>911.32489451476795</v>
      </c>
      <c r="AE613" s="137" t="s">
        <v>4004</v>
      </c>
      <c r="AF613" s="138"/>
      <c r="AG613" s="138" t="s">
        <v>56</v>
      </c>
      <c r="AH613" s="138" t="s">
        <v>56</v>
      </c>
      <c r="AI613" s="138"/>
      <c r="AJ613" s="138" t="s">
        <v>56</v>
      </c>
      <c r="AK613" s="138" t="s">
        <v>2284</v>
      </c>
      <c r="AL613" s="222"/>
    </row>
    <row r="614" spans="1:39" s="200" customFormat="1" ht="46.5" customHeight="1" x14ac:dyDescent="0.25">
      <c r="A614" s="14">
        <v>45877</v>
      </c>
      <c r="B614" s="95" t="s">
        <v>4748</v>
      </c>
      <c r="C614" s="95" t="s">
        <v>4883</v>
      </c>
      <c r="D614" s="95" t="s">
        <v>4884</v>
      </c>
      <c r="E614" s="96" t="s">
        <v>39</v>
      </c>
      <c r="F614" s="19">
        <v>1</v>
      </c>
      <c r="G614" s="97"/>
      <c r="H614" s="97"/>
      <c r="I614" s="245" t="s">
        <v>4885</v>
      </c>
      <c r="J614" s="98">
        <v>3</v>
      </c>
      <c r="K614" s="99" t="s">
        <v>4886</v>
      </c>
      <c r="L614" s="100" t="s">
        <v>63</v>
      </c>
      <c r="M614" s="100" t="s">
        <v>55</v>
      </c>
      <c r="N614" s="101" t="s">
        <v>4887</v>
      </c>
      <c r="O614" s="102" t="s">
        <v>4822</v>
      </c>
      <c r="P614" s="102" t="s">
        <v>4888</v>
      </c>
      <c r="Q614" s="102" t="s">
        <v>4862</v>
      </c>
      <c r="R614" s="103">
        <v>64</v>
      </c>
      <c r="S614" s="103">
        <v>556</v>
      </c>
      <c r="T614" s="96" t="s">
        <v>47</v>
      </c>
      <c r="U614" s="96">
        <v>10</v>
      </c>
      <c r="V614" s="104">
        <f t="shared" si="18"/>
        <v>30</v>
      </c>
      <c r="W614" s="96" t="s">
        <v>142</v>
      </c>
      <c r="X614" s="198" t="s">
        <v>4889</v>
      </c>
      <c r="Y614" s="199" t="s">
        <v>144</v>
      </c>
      <c r="Z614" s="269"/>
      <c r="AA614" s="170" t="s">
        <v>4032</v>
      </c>
      <c r="AB614" s="243" t="s">
        <v>3819</v>
      </c>
      <c r="AC614" s="35">
        <v>7942.01</v>
      </c>
      <c r="AE614" s="138" t="s">
        <v>4792</v>
      </c>
      <c r="AF614" s="138"/>
      <c r="AG614" s="138" t="s">
        <v>56</v>
      </c>
      <c r="AH614" s="138" t="s">
        <v>86</v>
      </c>
      <c r="AI614" s="138"/>
      <c r="AJ614" s="138"/>
      <c r="AK614" s="138"/>
      <c r="AL614" s="222"/>
    </row>
    <row r="615" spans="1:39" ht="120" x14ac:dyDescent="0.25">
      <c r="A615" s="14">
        <v>45877</v>
      </c>
      <c r="B615" s="95" t="s">
        <v>4890</v>
      </c>
      <c r="C615" s="95" t="s">
        <v>4891</v>
      </c>
      <c r="D615" s="95"/>
      <c r="E615" s="96" t="s">
        <v>39</v>
      </c>
      <c r="F615" s="19">
        <v>1</v>
      </c>
      <c r="G615" s="97"/>
      <c r="H615" s="97"/>
      <c r="I615" s="245" t="s">
        <v>4892</v>
      </c>
      <c r="J615" s="98">
        <v>8</v>
      </c>
      <c r="K615" s="270" t="s">
        <v>4820</v>
      </c>
      <c r="L615" s="103" t="s">
        <v>63</v>
      </c>
      <c r="M615" s="100" t="s">
        <v>42</v>
      </c>
      <c r="N615" s="101" t="s">
        <v>4893</v>
      </c>
      <c r="O615" s="102" t="s">
        <v>4875</v>
      </c>
      <c r="P615" s="102" t="s">
        <v>4894</v>
      </c>
      <c r="Q615" s="102" t="s">
        <v>4895</v>
      </c>
      <c r="R615" s="103">
        <v>116</v>
      </c>
      <c r="S615" s="103">
        <v>456</v>
      </c>
      <c r="T615" s="96" t="s">
        <v>180</v>
      </c>
      <c r="U615" s="96">
        <v>14</v>
      </c>
      <c r="V615" s="104">
        <f t="shared" si="18"/>
        <v>112</v>
      </c>
      <c r="W615" s="96" t="s">
        <v>68</v>
      </c>
      <c r="X615" s="258" t="s">
        <v>2971</v>
      </c>
      <c r="Y615" s="168" t="s">
        <v>50</v>
      </c>
      <c r="Z615" s="169"/>
      <c r="AA615" s="170" t="s">
        <v>4791</v>
      </c>
      <c r="AB615" s="243" t="s">
        <v>4896</v>
      </c>
      <c r="AC615" s="172">
        <v>13131.2</v>
      </c>
      <c r="AE615" s="137" t="s">
        <v>4004</v>
      </c>
      <c r="AF615" s="138"/>
      <c r="AG615" s="138" t="s">
        <v>56</v>
      </c>
      <c r="AH615" s="138" t="s">
        <v>56</v>
      </c>
      <c r="AI615" s="138"/>
      <c r="AJ615" s="138"/>
      <c r="AK615" s="138"/>
      <c r="AL615" s="222"/>
    </row>
    <row r="616" spans="1:39" s="200" customFormat="1" ht="58.5" customHeight="1" x14ac:dyDescent="0.25">
      <c r="A616" s="14">
        <v>45877</v>
      </c>
      <c r="B616" s="41" t="s">
        <v>4897</v>
      </c>
      <c r="C616" s="41" t="s">
        <v>4898</v>
      </c>
      <c r="D616" s="41" t="s">
        <v>4899</v>
      </c>
      <c r="E616" s="42" t="s">
        <v>39</v>
      </c>
      <c r="F616" s="43"/>
      <c r="G616" s="19">
        <v>1</v>
      </c>
      <c r="H616" s="43"/>
      <c r="I616" s="245" t="s">
        <v>4900</v>
      </c>
      <c r="J616" s="45">
        <v>200</v>
      </c>
      <c r="K616" s="46" t="s">
        <v>4901</v>
      </c>
      <c r="L616" s="47" t="s">
        <v>63</v>
      </c>
      <c r="M616" s="73" t="s">
        <v>42</v>
      </c>
      <c r="N616" s="77" t="s">
        <v>4902</v>
      </c>
      <c r="O616" s="49" t="s">
        <v>4903</v>
      </c>
      <c r="P616" s="49" t="s">
        <v>4904</v>
      </c>
      <c r="Q616" s="49" t="s">
        <v>4811</v>
      </c>
      <c r="R616" s="50">
        <v>81</v>
      </c>
      <c r="S616" s="50">
        <v>372</v>
      </c>
      <c r="T616" s="51" t="s">
        <v>180</v>
      </c>
      <c r="U616" s="51">
        <v>0</v>
      </c>
      <c r="V616" s="52">
        <f t="shared" si="18"/>
        <v>0</v>
      </c>
      <c r="W616" s="51" t="s">
        <v>350</v>
      </c>
      <c r="X616" s="198" t="s">
        <v>69</v>
      </c>
      <c r="Y616" s="199" t="s">
        <v>70</v>
      </c>
      <c r="Z616" s="169"/>
      <c r="AA616" s="170" t="s">
        <v>4791</v>
      </c>
      <c r="AB616" s="243" t="s">
        <v>647</v>
      </c>
      <c r="AC616" s="172">
        <v>30066</v>
      </c>
      <c r="AE616" s="255" t="s">
        <v>4905</v>
      </c>
      <c r="AF616" s="138" t="s">
        <v>354</v>
      </c>
      <c r="AG616" s="138" t="s">
        <v>56</v>
      </c>
      <c r="AH616" s="138" t="s">
        <v>56</v>
      </c>
      <c r="AI616" s="138"/>
      <c r="AJ616" s="138"/>
      <c r="AK616" s="138"/>
      <c r="AL616" s="222"/>
    </row>
    <row r="617" spans="1:39" ht="36.75" customHeight="1" x14ac:dyDescent="0.25">
      <c r="A617" s="14">
        <v>45877</v>
      </c>
      <c r="B617" s="41" t="s">
        <v>4906</v>
      </c>
      <c r="C617" s="41" t="s">
        <v>4907</v>
      </c>
      <c r="D617" s="41" t="s">
        <v>4908</v>
      </c>
      <c r="E617" s="42" t="s">
        <v>39</v>
      </c>
      <c r="F617" s="43"/>
      <c r="G617" s="43"/>
      <c r="H617" s="19">
        <v>1</v>
      </c>
      <c r="I617" s="245" t="s">
        <v>4909</v>
      </c>
      <c r="J617" s="45">
        <v>300</v>
      </c>
      <c r="K617" s="46" t="s">
        <v>4910</v>
      </c>
      <c r="L617" s="47" t="s">
        <v>63</v>
      </c>
      <c r="M617" s="73" t="s">
        <v>42</v>
      </c>
      <c r="N617" s="77" t="s">
        <v>4047</v>
      </c>
      <c r="O617" s="49" t="s">
        <v>4911</v>
      </c>
      <c r="P617" s="49" t="s">
        <v>4912</v>
      </c>
      <c r="Q617" s="49" t="s">
        <v>4913</v>
      </c>
      <c r="R617" s="50">
        <v>52</v>
      </c>
      <c r="S617" s="50">
        <v>127</v>
      </c>
      <c r="T617" s="51" t="s">
        <v>180</v>
      </c>
      <c r="U617" s="51">
        <v>0</v>
      </c>
      <c r="V617" s="52">
        <f t="shared" si="18"/>
        <v>0</v>
      </c>
      <c r="W617" s="51" t="s">
        <v>350</v>
      </c>
      <c r="X617" s="198" t="s">
        <v>2234</v>
      </c>
      <c r="Y617" s="360" t="s">
        <v>144</v>
      </c>
      <c r="Z617" s="169"/>
      <c r="AA617" s="170" t="s">
        <v>4521</v>
      </c>
      <c r="AB617" s="243" t="s">
        <v>4522</v>
      </c>
      <c r="AC617" s="172">
        <v>11269</v>
      </c>
      <c r="AE617" s="255"/>
      <c r="AF617" s="138" t="s">
        <v>354</v>
      </c>
      <c r="AG617" s="138" t="s">
        <v>56</v>
      </c>
      <c r="AH617" s="138" t="s">
        <v>56</v>
      </c>
      <c r="AI617" s="138"/>
      <c r="AJ617" s="138"/>
      <c r="AK617" s="138"/>
      <c r="AL617" s="222"/>
    </row>
    <row r="618" spans="1:39" s="200" customFormat="1" ht="119.25" customHeight="1" x14ac:dyDescent="0.25">
      <c r="A618" s="14">
        <v>45877</v>
      </c>
      <c r="B618" s="41" t="s">
        <v>4005</v>
      </c>
      <c r="C618" s="41" t="s">
        <v>4687</v>
      </c>
      <c r="D618" s="41" t="s">
        <v>4914</v>
      </c>
      <c r="E618" s="42" t="s">
        <v>39</v>
      </c>
      <c r="F618" s="19">
        <v>1</v>
      </c>
      <c r="G618" s="43"/>
      <c r="H618" s="43"/>
      <c r="I618" s="245" t="s">
        <v>4915</v>
      </c>
      <c r="J618" s="45">
        <v>5</v>
      </c>
      <c r="K618" s="46" t="s">
        <v>4901</v>
      </c>
      <c r="L618" s="47" t="s">
        <v>63</v>
      </c>
      <c r="M618" s="73" t="s">
        <v>42</v>
      </c>
      <c r="N618" s="77" t="s">
        <v>4916</v>
      </c>
      <c r="O618" s="49"/>
      <c r="P618" s="49" t="s">
        <v>4917</v>
      </c>
      <c r="Q618" s="49" t="s">
        <v>4918</v>
      </c>
      <c r="R618" s="50">
        <v>23</v>
      </c>
      <c r="S618" s="50">
        <v>319</v>
      </c>
      <c r="T618" s="51" t="s">
        <v>96</v>
      </c>
      <c r="U618" s="51">
        <v>0</v>
      </c>
      <c r="V618" s="52">
        <f t="shared" si="18"/>
        <v>0</v>
      </c>
      <c r="W618" s="51" t="s">
        <v>142</v>
      </c>
      <c r="X618" s="198" t="s">
        <v>4692</v>
      </c>
      <c r="Y618" s="199" t="s">
        <v>82</v>
      </c>
      <c r="Z618" s="169" t="s">
        <v>645</v>
      </c>
      <c r="AA618" s="170" t="s">
        <v>4693</v>
      </c>
      <c r="AB618" s="243" t="s">
        <v>4018</v>
      </c>
      <c r="AC618" s="322">
        <f>(27562*J618/480) + 2550</f>
        <v>2837.1041666666665</v>
      </c>
      <c r="AD618" s="137" t="s">
        <v>4694</v>
      </c>
      <c r="AE618" s="138" t="s">
        <v>4792</v>
      </c>
      <c r="AF618" s="138"/>
      <c r="AG618" s="138" t="s">
        <v>56</v>
      </c>
      <c r="AH618" s="138" t="s">
        <v>56</v>
      </c>
      <c r="AI618" s="138"/>
      <c r="AJ618" s="138" t="s">
        <v>56</v>
      </c>
      <c r="AK618" s="138" t="s">
        <v>1527</v>
      </c>
      <c r="AL618" s="222"/>
      <c r="AM618"/>
    </row>
    <row r="619" spans="1:39" s="200" customFormat="1" ht="166.5" x14ac:dyDescent="0.25">
      <c r="A619" s="14">
        <v>45877</v>
      </c>
      <c r="B619" s="41" t="s">
        <v>4005</v>
      </c>
      <c r="C619" s="41" t="s">
        <v>4687</v>
      </c>
      <c r="D619" s="41" t="s">
        <v>4914</v>
      </c>
      <c r="E619" s="42" t="s">
        <v>39</v>
      </c>
      <c r="F619" s="19">
        <v>2</v>
      </c>
      <c r="G619" s="43"/>
      <c r="H619" s="43"/>
      <c r="I619" s="245" t="s">
        <v>4919</v>
      </c>
      <c r="J619" s="45">
        <v>5</v>
      </c>
      <c r="K619" s="46" t="s">
        <v>4901</v>
      </c>
      <c r="L619" s="47" t="s">
        <v>63</v>
      </c>
      <c r="M619" s="73" t="s">
        <v>42</v>
      </c>
      <c r="N619" s="77" t="s">
        <v>4920</v>
      </c>
      <c r="O619" s="49"/>
      <c r="P619" s="49" t="s">
        <v>4921</v>
      </c>
      <c r="Q619" s="49" t="s">
        <v>4922</v>
      </c>
      <c r="R619" s="50">
        <v>22</v>
      </c>
      <c r="S619" s="50">
        <v>419</v>
      </c>
      <c r="T619" s="51" t="s">
        <v>67</v>
      </c>
      <c r="U619" s="51">
        <v>0</v>
      </c>
      <c r="V619" s="52">
        <f t="shared" si="18"/>
        <v>0</v>
      </c>
      <c r="W619" s="51" t="s">
        <v>142</v>
      </c>
      <c r="X619" s="198" t="s">
        <v>4692</v>
      </c>
      <c r="Y619" s="199" t="s">
        <v>82</v>
      </c>
      <c r="Z619" s="169" t="s">
        <v>645</v>
      </c>
      <c r="AA619" s="170" t="s">
        <v>4693</v>
      </c>
      <c r="AB619" s="243" t="s">
        <v>4018</v>
      </c>
      <c r="AC619" s="35">
        <f>(J619/720*49780.8)+2550</f>
        <v>2895.7</v>
      </c>
      <c r="AD619" s="137" t="s">
        <v>4699</v>
      </c>
      <c r="AE619" s="138" t="s">
        <v>4792</v>
      </c>
      <c r="AF619" s="138"/>
      <c r="AG619" s="138" t="s">
        <v>56</v>
      </c>
      <c r="AH619" s="138" t="s">
        <v>56</v>
      </c>
      <c r="AI619" s="138"/>
      <c r="AJ619" s="138" t="s">
        <v>56</v>
      </c>
      <c r="AK619" s="138" t="s">
        <v>1527</v>
      </c>
      <c r="AL619" s="138"/>
    </row>
    <row r="620" spans="1:39" ht="33.75" customHeight="1" x14ac:dyDescent="0.25">
      <c r="A620" s="14">
        <v>45877</v>
      </c>
      <c r="B620" s="41" t="s">
        <v>4923</v>
      </c>
      <c r="C620" s="41" t="s">
        <v>4924</v>
      </c>
      <c r="D620" s="41"/>
      <c r="E620" s="42" t="s">
        <v>39</v>
      </c>
      <c r="F620" s="19">
        <v>1</v>
      </c>
      <c r="G620" s="43"/>
      <c r="H620" s="43"/>
      <c r="I620" s="245" t="s">
        <v>4925</v>
      </c>
      <c r="J620" s="45">
        <v>4</v>
      </c>
      <c r="K620" s="46" t="s">
        <v>4901</v>
      </c>
      <c r="L620" s="47" t="s">
        <v>63</v>
      </c>
      <c r="M620" s="73" t="s">
        <v>42</v>
      </c>
      <c r="N620" s="77" t="s">
        <v>4926</v>
      </c>
      <c r="O620" s="49" t="s">
        <v>4927</v>
      </c>
      <c r="P620" s="49" t="s">
        <v>4928</v>
      </c>
      <c r="Q620" s="49" t="s">
        <v>4888</v>
      </c>
      <c r="R620" s="50">
        <v>95</v>
      </c>
      <c r="S620" s="50">
        <v>502</v>
      </c>
      <c r="T620" s="51" t="s">
        <v>180</v>
      </c>
      <c r="U620" s="51">
        <v>2</v>
      </c>
      <c r="V620" s="52">
        <f t="shared" si="18"/>
        <v>8</v>
      </c>
      <c r="W620" s="51" t="s">
        <v>350</v>
      </c>
      <c r="X620" s="198" t="s">
        <v>881</v>
      </c>
      <c r="Y620" s="168" t="s">
        <v>50</v>
      </c>
      <c r="Z620" s="169" t="s">
        <v>4587</v>
      </c>
      <c r="AA620" s="170" t="s">
        <v>4136</v>
      </c>
      <c r="AB620" s="243" t="s">
        <v>2973</v>
      </c>
      <c r="AC620" s="172">
        <v>7955.2</v>
      </c>
      <c r="AE620" s="138" t="s">
        <v>4792</v>
      </c>
      <c r="AF620" s="138"/>
      <c r="AG620" s="138" t="s">
        <v>56</v>
      </c>
      <c r="AH620" s="138" t="s">
        <v>86</v>
      </c>
      <c r="AI620" s="138"/>
      <c r="AJ620" s="138"/>
      <c r="AK620" s="138"/>
      <c r="AL620" s="222"/>
    </row>
    <row r="621" spans="1:39" s="200" customFormat="1" ht="33.75" customHeight="1" x14ac:dyDescent="0.25">
      <c r="A621" s="14">
        <v>45877</v>
      </c>
      <c r="B621" s="41" t="s">
        <v>4929</v>
      </c>
      <c r="C621" s="41" t="s">
        <v>4930</v>
      </c>
      <c r="D621" s="41" t="s">
        <v>4931</v>
      </c>
      <c r="E621" s="42" t="s">
        <v>39</v>
      </c>
      <c r="F621" s="19">
        <v>1</v>
      </c>
      <c r="G621" s="43"/>
      <c r="H621" s="43"/>
      <c r="I621" s="245" t="s">
        <v>4932</v>
      </c>
      <c r="J621" s="45">
        <v>3</v>
      </c>
      <c r="K621" s="46" t="s">
        <v>4901</v>
      </c>
      <c r="L621" s="47" t="s">
        <v>63</v>
      </c>
      <c r="M621" s="73" t="s">
        <v>42</v>
      </c>
      <c r="N621" s="77" t="s">
        <v>240</v>
      </c>
      <c r="O621" s="49" t="s">
        <v>4933</v>
      </c>
      <c r="P621" s="308" t="s">
        <v>4934</v>
      </c>
      <c r="Q621" s="49" t="s">
        <v>4935</v>
      </c>
      <c r="R621" s="50">
        <v>7</v>
      </c>
      <c r="S621" s="50">
        <v>52</v>
      </c>
      <c r="T621" s="51" t="s">
        <v>47</v>
      </c>
      <c r="U621" s="51">
        <v>7</v>
      </c>
      <c r="V621" s="52">
        <f t="shared" si="18"/>
        <v>21</v>
      </c>
      <c r="W621" s="51" t="s">
        <v>350</v>
      </c>
      <c r="X621" s="198" t="s">
        <v>4936</v>
      </c>
      <c r="Y621" s="199" t="s">
        <v>144</v>
      </c>
      <c r="Z621" s="169"/>
      <c r="AA621" s="170" t="s">
        <v>3953</v>
      </c>
      <c r="AB621" s="243" t="s">
        <v>3954</v>
      </c>
      <c r="AC621" s="172">
        <v>2500.1999999999998</v>
      </c>
      <c r="AE621" s="137" t="s">
        <v>4004</v>
      </c>
      <c r="AF621" s="138"/>
      <c r="AG621" s="138" t="s">
        <v>56</v>
      </c>
      <c r="AH621" s="138" t="s">
        <v>56</v>
      </c>
      <c r="AI621" s="138"/>
      <c r="AJ621" s="138"/>
      <c r="AK621" s="222"/>
      <c r="AL621" s="222"/>
    </row>
    <row r="622" spans="1:39" ht="105" x14ac:dyDescent="0.25">
      <c r="A622" s="14">
        <v>45877</v>
      </c>
      <c r="B622" s="41" t="s">
        <v>4937</v>
      </c>
      <c r="C622" s="41" t="s">
        <v>4938</v>
      </c>
      <c r="D622" s="41"/>
      <c r="E622" s="42" t="s">
        <v>39</v>
      </c>
      <c r="F622" s="19">
        <v>2</v>
      </c>
      <c r="G622" s="43"/>
      <c r="H622" s="43"/>
      <c r="I622" s="245" t="s">
        <v>4939</v>
      </c>
      <c r="J622" s="45">
        <v>3</v>
      </c>
      <c r="K622" s="46" t="s">
        <v>4901</v>
      </c>
      <c r="L622" s="47" t="s">
        <v>63</v>
      </c>
      <c r="M622" s="73" t="s">
        <v>42</v>
      </c>
      <c r="N622" s="77" t="s">
        <v>4940</v>
      </c>
      <c r="O622" s="49" t="s">
        <v>4941</v>
      </c>
      <c r="P622" s="49" t="s">
        <v>4942</v>
      </c>
      <c r="Q622" s="194" t="s">
        <v>4943</v>
      </c>
      <c r="R622" s="50">
        <v>44</v>
      </c>
      <c r="S622" s="50">
        <v>148</v>
      </c>
      <c r="T622" s="51" t="s">
        <v>96</v>
      </c>
      <c r="U622" s="51">
        <v>11</v>
      </c>
      <c r="V622" s="52">
        <f t="shared" si="18"/>
        <v>33</v>
      </c>
      <c r="W622" s="51" t="s">
        <v>3611</v>
      </c>
      <c r="X622" s="198" t="s">
        <v>3612</v>
      </c>
      <c r="Y622" s="168"/>
      <c r="Z622" s="169"/>
      <c r="AA622" s="170" t="s">
        <v>4017</v>
      </c>
      <c r="AB622" s="243" t="s">
        <v>4348</v>
      </c>
      <c r="AC622" s="35">
        <f>2483+815</f>
        <v>3298</v>
      </c>
      <c r="AE622" s="138" t="s">
        <v>4792</v>
      </c>
      <c r="AF622" s="138"/>
      <c r="AG622" s="138" t="s">
        <v>56</v>
      </c>
      <c r="AH622" s="138" t="s">
        <v>56</v>
      </c>
      <c r="AI622" s="138"/>
      <c r="AJ622" s="138"/>
      <c r="AK622" s="138"/>
      <c r="AL622" s="222"/>
    </row>
    <row r="623" spans="1:39" ht="56.25" customHeight="1" x14ac:dyDescent="0.25">
      <c r="A623" s="14">
        <v>45876</v>
      </c>
      <c r="B623" s="41" t="s">
        <v>4401</v>
      </c>
      <c r="C623" s="41" t="s">
        <v>4944</v>
      </c>
      <c r="D623" s="71" t="s">
        <v>4945</v>
      </c>
      <c r="E623" s="42" t="s">
        <v>39</v>
      </c>
      <c r="F623" s="43"/>
      <c r="G623" s="43"/>
      <c r="H623" s="19">
        <v>1</v>
      </c>
      <c r="I623" s="245" t="s">
        <v>9891</v>
      </c>
      <c r="J623" s="45">
        <v>113</v>
      </c>
      <c r="K623" s="46" t="s">
        <v>4946</v>
      </c>
      <c r="L623" s="47" t="s">
        <v>63</v>
      </c>
      <c r="M623" s="73" t="s">
        <v>42</v>
      </c>
      <c r="N623" s="77" t="s">
        <v>4947</v>
      </c>
      <c r="O623" s="49" t="s">
        <v>4948</v>
      </c>
      <c r="P623" s="49" t="s">
        <v>4921</v>
      </c>
      <c r="Q623" s="49" t="s">
        <v>4949</v>
      </c>
      <c r="R623" s="92">
        <v>156</v>
      </c>
      <c r="S623" s="50">
        <v>856</v>
      </c>
      <c r="T623" s="51" t="s">
        <v>141</v>
      </c>
      <c r="U623" s="51">
        <v>1</v>
      </c>
      <c r="V623" s="52">
        <f t="shared" si="18"/>
        <v>113</v>
      </c>
      <c r="W623" s="51" t="s">
        <v>350</v>
      </c>
      <c r="X623" s="198" t="s">
        <v>482</v>
      </c>
      <c r="Y623" s="168" t="s">
        <v>50</v>
      </c>
      <c r="Z623" s="169" t="s">
        <v>645</v>
      </c>
      <c r="AA623" s="170" t="s">
        <v>4495</v>
      </c>
      <c r="AB623" s="243" t="s">
        <v>4408</v>
      </c>
      <c r="AC623" s="35">
        <f>23497.22+1359.45</f>
        <v>24856.670000000002</v>
      </c>
      <c r="AE623" s="137" t="s">
        <v>4004</v>
      </c>
      <c r="AF623" s="138" t="s">
        <v>354</v>
      </c>
      <c r="AG623" s="138" t="s">
        <v>56</v>
      </c>
      <c r="AH623" s="138" t="s">
        <v>56</v>
      </c>
      <c r="AI623" s="138"/>
      <c r="AJ623" s="138" t="s">
        <v>4880</v>
      </c>
      <c r="AK623" s="138" t="s">
        <v>1527</v>
      </c>
      <c r="AL623" s="222"/>
    </row>
    <row r="624" spans="1:39" s="200" customFormat="1" ht="58.5" customHeight="1" x14ac:dyDescent="0.25">
      <c r="A624" s="14">
        <v>45876</v>
      </c>
      <c r="B624" s="41" t="s">
        <v>4950</v>
      </c>
      <c r="C624" s="41" t="s">
        <v>4951</v>
      </c>
      <c r="D624" s="41" t="s">
        <v>4952</v>
      </c>
      <c r="E624" s="42" t="s">
        <v>39</v>
      </c>
      <c r="F624" s="19">
        <v>1</v>
      </c>
      <c r="G624" s="43"/>
      <c r="H624" s="43"/>
      <c r="I624" s="245" t="s">
        <v>4953</v>
      </c>
      <c r="J624" s="45">
        <v>75</v>
      </c>
      <c r="K624" s="46" t="s">
        <v>4954</v>
      </c>
      <c r="L624" s="47" t="s">
        <v>63</v>
      </c>
      <c r="M624" s="73" t="s">
        <v>42</v>
      </c>
      <c r="N624" s="77" t="s">
        <v>4955</v>
      </c>
      <c r="O624" s="49" t="s">
        <v>4831</v>
      </c>
      <c r="P624" s="49" t="s">
        <v>4917</v>
      </c>
      <c r="Q624" s="49" t="s">
        <v>4956</v>
      </c>
      <c r="R624" s="50">
        <v>59</v>
      </c>
      <c r="S624" s="50">
        <v>202</v>
      </c>
      <c r="T624" s="51" t="s">
        <v>47</v>
      </c>
      <c r="U624" s="51">
        <v>8</v>
      </c>
      <c r="V624" s="75">
        <f t="shared" si="18"/>
        <v>600</v>
      </c>
      <c r="W624" s="51" t="s">
        <v>221</v>
      </c>
      <c r="X624" s="198" t="s">
        <v>2504</v>
      </c>
      <c r="Y624" s="199" t="s">
        <v>82</v>
      </c>
      <c r="Z624" s="169"/>
      <c r="AA624" s="170" t="s">
        <v>4957</v>
      </c>
      <c r="AB624" s="243" t="s">
        <v>3975</v>
      </c>
      <c r="AC624" s="172">
        <v>6499.5</v>
      </c>
      <c r="AE624" s="138" t="s">
        <v>4792</v>
      </c>
      <c r="AF624" s="138"/>
      <c r="AG624" s="138" t="s">
        <v>56</v>
      </c>
      <c r="AH624" s="138" t="s">
        <v>56</v>
      </c>
      <c r="AI624" s="138"/>
      <c r="AJ624" s="138"/>
      <c r="AK624" s="138"/>
      <c r="AL624" s="138"/>
    </row>
    <row r="625" spans="1:38" ht="63" customHeight="1" x14ac:dyDescent="0.25">
      <c r="A625" s="14">
        <v>45876</v>
      </c>
      <c r="B625" s="41" t="s">
        <v>4958</v>
      </c>
      <c r="C625" s="41" t="s">
        <v>4959</v>
      </c>
      <c r="D625" s="41" t="s">
        <v>4960</v>
      </c>
      <c r="E625" s="42" t="s">
        <v>39</v>
      </c>
      <c r="F625" s="19">
        <v>2</v>
      </c>
      <c r="G625" s="43"/>
      <c r="H625" s="43"/>
      <c r="I625" s="245" t="s">
        <v>4961</v>
      </c>
      <c r="J625" s="45">
        <v>45</v>
      </c>
      <c r="K625" s="46" t="s">
        <v>4954</v>
      </c>
      <c r="L625" s="47" t="s">
        <v>63</v>
      </c>
      <c r="M625" s="73" t="s">
        <v>42</v>
      </c>
      <c r="N625" s="74" t="s">
        <v>4873</v>
      </c>
      <c r="O625" s="49"/>
      <c r="P625" s="49" t="s">
        <v>4874</v>
      </c>
      <c r="Q625" s="49" t="s">
        <v>4875</v>
      </c>
      <c r="R625" s="50">
        <v>1</v>
      </c>
      <c r="S625" s="50">
        <v>2</v>
      </c>
      <c r="T625" s="51" t="s">
        <v>96</v>
      </c>
      <c r="U625" s="51">
        <v>51</v>
      </c>
      <c r="V625" s="75">
        <f t="shared" si="18"/>
        <v>2295</v>
      </c>
      <c r="W625" s="51" t="s">
        <v>4876</v>
      </c>
      <c r="X625" s="198" t="s">
        <v>4877</v>
      </c>
      <c r="Y625" s="199" t="s">
        <v>82</v>
      </c>
      <c r="Z625" s="169"/>
      <c r="AA625" s="170" t="s">
        <v>4878</v>
      </c>
      <c r="AB625" s="243" t="s">
        <v>4879</v>
      </c>
      <c r="AC625" s="35">
        <f>J625/200 * 9192</f>
        <v>2068.2000000000003</v>
      </c>
      <c r="AE625" s="138" t="s">
        <v>4867</v>
      </c>
      <c r="AF625" s="138"/>
      <c r="AG625" s="138" t="s">
        <v>56</v>
      </c>
      <c r="AH625" s="138" t="s">
        <v>86</v>
      </c>
      <c r="AI625" s="138"/>
      <c r="AJ625" s="138" t="s">
        <v>4880</v>
      </c>
      <c r="AK625" s="138" t="s">
        <v>1527</v>
      </c>
      <c r="AL625" s="222"/>
    </row>
    <row r="626" spans="1:38" s="200" customFormat="1" ht="72.75" customHeight="1" x14ac:dyDescent="0.25">
      <c r="A626" s="14">
        <v>45875</v>
      </c>
      <c r="B626" s="41" t="s">
        <v>4962</v>
      </c>
      <c r="C626" s="41" t="s">
        <v>4963</v>
      </c>
      <c r="D626" s="41" t="s">
        <v>4964</v>
      </c>
      <c r="E626" s="42" t="s">
        <v>39</v>
      </c>
      <c r="F626" s="143"/>
      <c r="G626" s="43"/>
      <c r="H626" s="19">
        <v>1</v>
      </c>
      <c r="I626" s="386" t="s">
        <v>4965</v>
      </c>
      <c r="J626" s="45">
        <v>2</v>
      </c>
      <c r="K626" s="387" t="s">
        <v>4966</v>
      </c>
      <c r="L626" s="47" t="s">
        <v>63</v>
      </c>
      <c r="M626" s="73" t="s">
        <v>42</v>
      </c>
      <c r="N626" s="77" t="s">
        <v>4967</v>
      </c>
      <c r="O626" s="49" t="s">
        <v>4968</v>
      </c>
      <c r="P626" s="49" t="s">
        <v>4969</v>
      </c>
      <c r="Q626" s="49" t="s">
        <v>4970</v>
      </c>
      <c r="R626" s="50">
        <v>26</v>
      </c>
      <c r="S626" s="50">
        <v>48</v>
      </c>
      <c r="T626" s="51" t="s">
        <v>47</v>
      </c>
      <c r="U626" s="51">
        <v>0</v>
      </c>
      <c r="V626" s="52">
        <f t="shared" si="18"/>
        <v>0</v>
      </c>
      <c r="W626" s="51" t="s">
        <v>350</v>
      </c>
      <c r="X626" s="198" t="s">
        <v>2234</v>
      </c>
      <c r="Y626" s="263" t="s">
        <v>144</v>
      </c>
      <c r="Z626" s="169"/>
      <c r="AA626" s="170" t="s">
        <v>352</v>
      </c>
      <c r="AB626" s="243" t="s">
        <v>4896</v>
      </c>
      <c r="AC626" s="322">
        <f>J626/550*7095</f>
        <v>25.8</v>
      </c>
      <c r="AE626" s="138" t="s">
        <v>4004</v>
      </c>
      <c r="AF626" s="138"/>
      <c r="AG626" s="138" t="s">
        <v>56</v>
      </c>
      <c r="AH626" s="138" t="s">
        <v>56</v>
      </c>
      <c r="AI626" s="138"/>
      <c r="AJ626" s="138" t="s">
        <v>56</v>
      </c>
      <c r="AK626" s="137" t="s">
        <v>4971</v>
      </c>
      <c r="AL626" s="222"/>
    </row>
    <row r="627" spans="1:38" ht="243" customHeight="1" x14ac:dyDescent="0.25">
      <c r="A627" s="14">
        <v>45875</v>
      </c>
      <c r="B627" s="41" t="s">
        <v>4972</v>
      </c>
      <c r="C627" s="41" t="s">
        <v>4973</v>
      </c>
      <c r="D627" s="41" t="s">
        <v>4974</v>
      </c>
      <c r="E627" s="42" t="s">
        <v>39</v>
      </c>
      <c r="F627" s="43"/>
      <c r="G627" s="43"/>
      <c r="H627" s="19">
        <v>1</v>
      </c>
      <c r="I627" s="245" t="s">
        <v>9892</v>
      </c>
      <c r="J627" s="45">
        <v>54</v>
      </c>
      <c r="K627" s="46" t="s">
        <v>4975</v>
      </c>
      <c r="L627" s="47" t="s">
        <v>63</v>
      </c>
      <c r="M627" s="73" t="s">
        <v>42</v>
      </c>
      <c r="N627" s="388" t="s">
        <v>4976</v>
      </c>
      <c r="O627" s="49" t="s">
        <v>4977</v>
      </c>
      <c r="P627" s="49" t="s">
        <v>4978</v>
      </c>
      <c r="Q627" s="49" t="s">
        <v>4979</v>
      </c>
      <c r="R627" s="50">
        <v>130</v>
      </c>
      <c r="S627" s="50">
        <v>1187</v>
      </c>
      <c r="T627" s="51" t="s">
        <v>180</v>
      </c>
      <c r="U627" s="51">
        <v>22</v>
      </c>
      <c r="V627" s="75">
        <f t="shared" si="18"/>
        <v>1188</v>
      </c>
      <c r="W627" s="51" t="s">
        <v>221</v>
      </c>
      <c r="X627" s="202" t="s">
        <v>1189</v>
      </c>
      <c r="Y627" s="360" t="s">
        <v>144</v>
      </c>
      <c r="Z627" s="169" t="s">
        <v>4587</v>
      </c>
      <c r="AA627" s="170" t="s">
        <v>4957</v>
      </c>
      <c r="AB627" s="243" t="s">
        <v>3975</v>
      </c>
      <c r="AC627" s="172">
        <v>19166.22</v>
      </c>
      <c r="AE627" s="138" t="s">
        <v>4980</v>
      </c>
      <c r="AF627" s="138"/>
      <c r="AG627" s="138" t="s">
        <v>4981</v>
      </c>
      <c r="AH627" s="138" t="s">
        <v>56</v>
      </c>
      <c r="AI627" s="138"/>
      <c r="AJ627" s="138" t="s">
        <v>4982</v>
      </c>
      <c r="AK627" s="138" t="s">
        <v>1527</v>
      </c>
      <c r="AL627" s="222"/>
    </row>
    <row r="628" spans="1:38" s="200" customFormat="1" ht="96" customHeight="1" x14ac:dyDescent="0.25">
      <c r="A628" s="14">
        <v>45875</v>
      </c>
      <c r="B628" s="41" t="s">
        <v>4983</v>
      </c>
      <c r="C628" s="41" t="s">
        <v>4984</v>
      </c>
      <c r="D628" s="41"/>
      <c r="E628" s="42" t="s">
        <v>39</v>
      </c>
      <c r="F628" s="43"/>
      <c r="G628" s="43"/>
      <c r="H628" s="19">
        <v>1</v>
      </c>
      <c r="I628" s="245" t="s">
        <v>4985</v>
      </c>
      <c r="J628" s="45">
        <v>50</v>
      </c>
      <c r="K628" s="46" t="s">
        <v>4986</v>
      </c>
      <c r="L628" s="50" t="s">
        <v>63</v>
      </c>
      <c r="M628" s="73" t="s">
        <v>42</v>
      </c>
      <c r="N628" s="77" t="s">
        <v>4987</v>
      </c>
      <c r="O628" s="49" t="s">
        <v>4988</v>
      </c>
      <c r="P628" s="49" t="s">
        <v>4989</v>
      </c>
      <c r="Q628" s="49" t="s">
        <v>4903</v>
      </c>
      <c r="R628" s="50">
        <v>45</v>
      </c>
      <c r="S628" s="50">
        <v>102</v>
      </c>
      <c r="T628" s="51" t="s">
        <v>47</v>
      </c>
      <c r="U628" s="51">
        <v>3</v>
      </c>
      <c r="V628" s="52">
        <f t="shared" si="18"/>
        <v>150</v>
      </c>
      <c r="W628" s="51" t="s">
        <v>350</v>
      </c>
      <c r="X628" s="198" t="s">
        <v>2384</v>
      </c>
      <c r="Y628" s="199" t="s">
        <v>50</v>
      </c>
      <c r="Z628" s="169"/>
      <c r="AA628" s="170" t="s">
        <v>4136</v>
      </c>
      <c r="AB628" s="243" t="s">
        <v>2973</v>
      </c>
      <c r="AC628" s="172">
        <v>4756</v>
      </c>
      <c r="AE628" s="138" t="s">
        <v>4004</v>
      </c>
      <c r="AF628" s="138"/>
      <c r="AG628" s="138" t="s">
        <v>56</v>
      </c>
      <c r="AH628" s="138" t="s">
        <v>56</v>
      </c>
      <c r="AI628" s="138"/>
      <c r="AJ628" s="138"/>
      <c r="AK628" s="138"/>
      <c r="AL628" s="138"/>
    </row>
    <row r="629" spans="1:38" s="200" customFormat="1" ht="46.5" customHeight="1" x14ac:dyDescent="0.25">
      <c r="A629" s="14">
        <v>45875</v>
      </c>
      <c r="B629" s="41" t="s">
        <v>4990</v>
      </c>
      <c r="C629" s="41" t="s">
        <v>4991</v>
      </c>
      <c r="D629" s="41" t="s">
        <v>4992</v>
      </c>
      <c r="E629" s="42" t="s">
        <v>39</v>
      </c>
      <c r="F629" s="43"/>
      <c r="G629" s="43"/>
      <c r="H629" s="19">
        <v>1</v>
      </c>
      <c r="I629" s="245" t="s">
        <v>4993</v>
      </c>
      <c r="J629" s="45">
        <v>50</v>
      </c>
      <c r="K629" s="46" t="s">
        <v>4986</v>
      </c>
      <c r="L629" s="50" t="s">
        <v>63</v>
      </c>
      <c r="M629" s="73" t="s">
        <v>42</v>
      </c>
      <c r="N629" s="77" t="s">
        <v>3326</v>
      </c>
      <c r="O629" s="49" t="s">
        <v>4994</v>
      </c>
      <c r="P629" s="49" t="s">
        <v>4995</v>
      </c>
      <c r="Q629" s="49" t="s">
        <v>4988</v>
      </c>
      <c r="R629" s="50">
        <v>34</v>
      </c>
      <c r="S629" s="50">
        <v>80</v>
      </c>
      <c r="T629" s="51" t="s">
        <v>47</v>
      </c>
      <c r="U629" s="51">
        <v>4</v>
      </c>
      <c r="V629" s="52">
        <f t="shared" si="18"/>
        <v>200</v>
      </c>
      <c r="W629" s="51" t="s">
        <v>350</v>
      </c>
      <c r="X629" s="198" t="s">
        <v>2384</v>
      </c>
      <c r="Y629" s="199" t="s">
        <v>50</v>
      </c>
      <c r="Z629" s="169"/>
      <c r="AA629" s="170" t="s">
        <v>2972</v>
      </c>
      <c r="AB629" s="243" t="s">
        <v>647</v>
      </c>
      <c r="AC629" s="172">
        <v>3897</v>
      </c>
      <c r="AE629" s="138" t="s">
        <v>4004</v>
      </c>
      <c r="AF629" s="138"/>
      <c r="AG629" s="138" t="s">
        <v>56</v>
      </c>
      <c r="AH629" s="138" t="s">
        <v>56</v>
      </c>
      <c r="AI629" s="138"/>
      <c r="AJ629" s="138"/>
      <c r="AK629" s="138"/>
      <c r="AL629" s="138"/>
    </row>
    <row r="630" spans="1:38" ht="223.5" customHeight="1" x14ac:dyDescent="0.25">
      <c r="A630" s="14">
        <v>45875</v>
      </c>
      <c r="B630" s="164" t="s">
        <v>4996</v>
      </c>
      <c r="C630" s="41" t="s">
        <v>4997</v>
      </c>
      <c r="D630" s="41" t="s">
        <v>4998</v>
      </c>
      <c r="E630" s="42" t="s">
        <v>39</v>
      </c>
      <c r="F630" s="19">
        <v>1</v>
      </c>
      <c r="G630" s="43"/>
      <c r="H630" s="43"/>
      <c r="I630" s="245" t="s">
        <v>4999</v>
      </c>
      <c r="J630" s="45">
        <v>67</v>
      </c>
      <c r="K630" s="46" t="s">
        <v>4975</v>
      </c>
      <c r="L630" s="47" t="s">
        <v>63</v>
      </c>
      <c r="M630" s="73" t="s">
        <v>42</v>
      </c>
      <c r="N630" s="77" t="s">
        <v>5000</v>
      </c>
      <c r="O630" s="49" t="s">
        <v>5001</v>
      </c>
      <c r="P630" s="49" t="s">
        <v>5002</v>
      </c>
      <c r="Q630" s="49" t="s">
        <v>5003</v>
      </c>
      <c r="R630" s="50">
        <v>35</v>
      </c>
      <c r="S630" s="50">
        <v>528</v>
      </c>
      <c r="T630" s="51" t="s">
        <v>47</v>
      </c>
      <c r="U630" s="51">
        <v>3</v>
      </c>
      <c r="V630" s="52">
        <f t="shared" si="18"/>
        <v>201</v>
      </c>
      <c r="W630" s="51" t="s">
        <v>221</v>
      </c>
      <c r="X630" s="202" t="s">
        <v>1189</v>
      </c>
      <c r="Y630" s="360" t="s">
        <v>144</v>
      </c>
      <c r="Z630" s="169" t="s">
        <v>5004</v>
      </c>
      <c r="AA630" s="170" t="s">
        <v>5005</v>
      </c>
      <c r="AB630" s="243" t="s">
        <v>3873</v>
      </c>
      <c r="AC630" s="172">
        <v>9155.5499999999993</v>
      </c>
      <c r="AE630" s="138" t="s">
        <v>4004</v>
      </c>
      <c r="AF630" s="138"/>
      <c r="AG630" s="138" t="s">
        <v>56</v>
      </c>
      <c r="AH630" s="138" t="s">
        <v>86</v>
      </c>
      <c r="AI630" s="138"/>
      <c r="AJ630" s="138" t="s">
        <v>56</v>
      </c>
      <c r="AK630" s="138" t="s">
        <v>5006</v>
      </c>
      <c r="AL630" s="222"/>
    </row>
    <row r="631" spans="1:38" s="200" customFormat="1" ht="60.75" customHeight="1" x14ac:dyDescent="0.25">
      <c r="A631" s="14">
        <v>45875</v>
      </c>
      <c r="B631" s="41" t="s">
        <v>4523</v>
      </c>
      <c r="C631" s="41" t="s">
        <v>4524</v>
      </c>
      <c r="D631" s="41" t="s">
        <v>4775</v>
      </c>
      <c r="E631" s="42" t="s">
        <v>39</v>
      </c>
      <c r="F631" s="19">
        <v>1</v>
      </c>
      <c r="G631" s="43"/>
      <c r="H631" s="43"/>
      <c r="I631" s="245" t="s">
        <v>5007</v>
      </c>
      <c r="J631" s="45">
        <v>191</v>
      </c>
      <c r="K631" s="46" t="s">
        <v>5008</v>
      </c>
      <c r="L631" s="50" t="s">
        <v>63</v>
      </c>
      <c r="M631" s="73" t="s">
        <v>42</v>
      </c>
      <c r="N631" s="77" t="s">
        <v>5009</v>
      </c>
      <c r="O631" s="49" t="s">
        <v>4778</v>
      </c>
      <c r="P631" s="49" t="s">
        <v>4779</v>
      </c>
      <c r="Q631" s="49" t="s">
        <v>4780</v>
      </c>
      <c r="R631" s="50">
        <v>115</v>
      </c>
      <c r="S631" s="50">
        <v>382</v>
      </c>
      <c r="T631" s="51" t="s">
        <v>141</v>
      </c>
      <c r="U631" s="51">
        <v>0</v>
      </c>
      <c r="V631" s="52">
        <f t="shared" si="18"/>
        <v>0</v>
      </c>
      <c r="W631" s="51" t="s">
        <v>350</v>
      </c>
      <c r="X631" s="198" t="s">
        <v>2234</v>
      </c>
      <c r="Y631" s="263" t="s">
        <v>144</v>
      </c>
      <c r="Z631" s="169" t="s">
        <v>4531</v>
      </c>
      <c r="AA631" s="170" t="s">
        <v>3466</v>
      </c>
      <c r="AB631" s="243" t="s">
        <v>647</v>
      </c>
      <c r="AC631" s="322">
        <f>(23027*J631/200) + 1100</f>
        <v>23090.785</v>
      </c>
      <c r="AE631" s="138" t="s">
        <v>4004</v>
      </c>
      <c r="AF631" s="138" t="s">
        <v>354</v>
      </c>
      <c r="AG631" s="138" t="s">
        <v>56</v>
      </c>
      <c r="AH631" s="138" t="s">
        <v>56</v>
      </c>
      <c r="AI631" s="138"/>
      <c r="AJ631" s="138"/>
      <c r="AK631" s="138"/>
      <c r="AL631" s="222"/>
    </row>
    <row r="632" spans="1:38" s="200" customFormat="1" ht="76.5" customHeight="1" x14ac:dyDescent="0.25">
      <c r="A632" s="14">
        <v>45874</v>
      </c>
      <c r="B632" s="95" t="s">
        <v>5010</v>
      </c>
      <c r="C632" s="95" t="s">
        <v>5011</v>
      </c>
      <c r="D632" s="95"/>
      <c r="E632" s="96" t="s">
        <v>39</v>
      </c>
      <c r="F632" s="19">
        <v>1</v>
      </c>
      <c r="G632" s="97"/>
      <c r="H632" s="97"/>
      <c r="I632" s="245" t="s">
        <v>5012</v>
      </c>
      <c r="J632" s="98">
        <v>24</v>
      </c>
      <c r="K632" s="270" t="s">
        <v>9981</v>
      </c>
      <c r="L632" s="100" t="s">
        <v>63</v>
      </c>
      <c r="M632" s="100" t="s">
        <v>42</v>
      </c>
      <c r="N632" s="101" t="s">
        <v>5013</v>
      </c>
      <c r="O632" s="102" t="s">
        <v>4988</v>
      </c>
      <c r="P632" s="102" t="s">
        <v>5014</v>
      </c>
      <c r="Q632" s="102" t="s">
        <v>4829</v>
      </c>
      <c r="R632" s="103">
        <v>15</v>
      </c>
      <c r="S632" s="103">
        <v>27</v>
      </c>
      <c r="T632" s="96" t="s">
        <v>47</v>
      </c>
      <c r="U632" s="96">
        <v>3</v>
      </c>
      <c r="V632" s="104">
        <f t="shared" si="18"/>
        <v>72</v>
      </c>
      <c r="W632" s="96" t="s">
        <v>68</v>
      </c>
      <c r="X632" s="258" t="s">
        <v>2971</v>
      </c>
      <c r="Y632" s="199" t="s">
        <v>50</v>
      </c>
      <c r="Z632" s="169" t="s">
        <v>645</v>
      </c>
      <c r="AA632" s="170" t="s">
        <v>4812</v>
      </c>
      <c r="AB632" s="243" t="s">
        <v>4813</v>
      </c>
      <c r="AC632" s="172">
        <v>4128.24</v>
      </c>
      <c r="AE632" s="137" t="s">
        <v>4004</v>
      </c>
      <c r="AF632" s="138"/>
      <c r="AG632" s="138" t="s">
        <v>56</v>
      </c>
      <c r="AH632" s="138" t="s">
        <v>56</v>
      </c>
      <c r="AI632" s="138"/>
      <c r="AJ632" s="138" t="s">
        <v>56</v>
      </c>
      <c r="AK632" s="137" t="s">
        <v>2284</v>
      </c>
      <c r="AL632" s="222"/>
    </row>
    <row r="633" spans="1:38" ht="270" x14ac:dyDescent="0.25">
      <c r="A633" s="14">
        <v>45874</v>
      </c>
      <c r="B633" s="41" t="s">
        <v>5015</v>
      </c>
      <c r="C633" s="41" t="s">
        <v>5016</v>
      </c>
      <c r="D633" s="41"/>
      <c r="E633" s="42" t="s">
        <v>39</v>
      </c>
      <c r="F633" s="43"/>
      <c r="G633" s="43"/>
      <c r="H633" s="19">
        <v>2</v>
      </c>
      <c r="I633" s="245" t="s">
        <v>5017</v>
      </c>
      <c r="J633" s="45">
        <v>50</v>
      </c>
      <c r="K633" s="46" t="s">
        <v>4986</v>
      </c>
      <c r="L633" s="47" t="s">
        <v>63</v>
      </c>
      <c r="M633" s="73" t="s">
        <v>42</v>
      </c>
      <c r="N633" s="77" t="s">
        <v>5018</v>
      </c>
      <c r="O633" s="49"/>
      <c r="P633" s="49"/>
      <c r="Q633" s="49" t="s">
        <v>5019</v>
      </c>
      <c r="R633" s="50">
        <v>6</v>
      </c>
      <c r="S633" s="50">
        <v>14</v>
      </c>
      <c r="T633" s="51" t="s">
        <v>47</v>
      </c>
      <c r="U633" s="51">
        <v>1</v>
      </c>
      <c r="V633" s="52">
        <f t="shared" si="18"/>
        <v>50</v>
      </c>
      <c r="W633" s="51" t="s">
        <v>142</v>
      </c>
      <c r="X633" s="198" t="s">
        <v>1243</v>
      </c>
      <c r="Y633" s="199" t="s">
        <v>82</v>
      </c>
      <c r="Z633" s="169"/>
      <c r="AA633" s="170" t="s">
        <v>4495</v>
      </c>
      <c r="AB633" s="243" t="s">
        <v>4408</v>
      </c>
      <c r="AC633" s="172">
        <f>380+3920</f>
        <v>4300</v>
      </c>
      <c r="AE633" s="138" t="s">
        <v>4004</v>
      </c>
      <c r="AF633" s="138"/>
      <c r="AG633" s="138" t="s">
        <v>56</v>
      </c>
      <c r="AH633" s="138" t="s">
        <v>56</v>
      </c>
      <c r="AI633" s="138"/>
      <c r="AJ633" s="138" t="s">
        <v>56</v>
      </c>
      <c r="AK633" s="138" t="s">
        <v>5020</v>
      </c>
      <c r="AL633" s="222"/>
    </row>
    <row r="634" spans="1:38" s="200" customFormat="1" ht="44.25" customHeight="1" x14ac:dyDescent="0.25">
      <c r="A634" s="14">
        <v>45874</v>
      </c>
      <c r="B634" s="41" t="s">
        <v>4713</v>
      </c>
      <c r="C634" s="41" t="s">
        <v>5021</v>
      </c>
      <c r="D634" s="41" t="s">
        <v>5022</v>
      </c>
      <c r="E634" s="42" t="s">
        <v>39</v>
      </c>
      <c r="F634" s="19">
        <v>1</v>
      </c>
      <c r="G634" s="43"/>
      <c r="H634" s="43"/>
      <c r="I634" s="245" t="s">
        <v>5023</v>
      </c>
      <c r="J634" s="45">
        <v>200</v>
      </c>
      <c r="K634" s="46" t="s">
        <v>5024</v>
      </c>
      <c r="L634" s="47" t="s">
        <v>63</v>
      </c>
      <c r="M634" s="73" t="s">
        <v>42</v>
      </c>
      <c r="N634" s="77" t="s">
        <v>5025</v>
      </c>
      <c r="O634" s="49" t="s">
        <v>5026</v>
      </c>
      <c r="P634" s="49" t="s">
        <v>4874</v>
      </c>
      <c r="Q634" s="49" t="s">
        <v>5027</v>
      </c>
      <c r="R634" s="50">
        <v>28</v>
      </c>
      <c r="S634" s="50">
        <v>61</v>
      </c>
      <c r="T634" s="51" t="s">
        <v>47</v>
      </c>
      <c r="U634" s="51">
        <v>1</v>
      </c>
      <c r="V634" s="52">
        <f t="shared" si="18"/>
        <v>200</v>
      </c>
      <c r="W634" s="51" t="s">
        <v>350</v>
      </c>
      <c r="X634" s="198" t="s">
        <v>5028</v>
      </c>
      <c r="Y634" s="199" t="s">
        <v>50</v>
      </c>
      <c r="Z634" s="169"/>
      <c r="AA634" s="170" t="s">
        <v>3466</v>
      </c>
      <c r="AB634" s="243" t="s">
        <v>647</v>
      </c>
      <c r="AC634" s="172">
        <v>3336</v>
      </c>
      <c r="AE634" s="138" t="s">
        <v>4792</v>
      </c>
      <c r="AF634" s="138"/>
      <c r="AG634" s="138" t="s">
        <v>56</v>
      </c>
      <c r="AH634" s="138" t="s">
        <v>86</v>
      </c>
      <c r="AI634" s="138"/>
      <c r="AJ634" s="138"/>
      <c r="AK634" s="138"/>
      <c r="AL634" s="222"/>
    </row>
    <row r="635" spans="1:38" s="200" customFormat="1" ht="61.5" customHeight="1" x14ac:dyDescent="0.25">
      <c r="A635" s="14">
        <v>45874</v>
      </c>
      <c r="B635" s="41" t="s">
        <v>5029</v>
      </c>
      <c r="C635" s="41" t="s">
        <v>5030</v>
      </c>
      <c r="D635" s="41" t="s">
        <v>5031</v>
      </c>
      <c r="E635" s="42" t="s">
        <v>39</v>
      </c>
      <c r="F635" s="19">
        <v>1</v>
      </c>
      <c r="G635" s="43"/>
      <c r="H635" s="43"/>
      <c r="I635" s="245" t="s">
        <v>5032</v>
      </c>
      <c r="J635" s="45">
        <v>6</v>
      </c>
      <c r="K635" s="46" t="s">
        <v>5033</v>
      </c>
      <c r="L635" s="50" t="s">
        <v>63</v>
      </c>
      <c r="M635" s="73" t="s">
        <v>42</v>
      </c>
      <c r="N635" s="77" t="s">
        <v>5034</v>
      </c>
      <c r="O635" s="49" t="s">
        <v>5035</v>
      </c>
      <c r="P635" s="49" t="s">
        <v>4895</v>
      </c>
      <c r="Q635" s="49" t="s">
        <v>5036</v>
      </c>
      <c r="R635" s="92">
        <v>143</v>
      </c>
      <c r="S635" s="50">
        <v>907</v>
      </c>
      <c r="T635" s="51" t="s">
        <v>180</v>
      </c>
      <c r="U635" s="51">
        <v>85</v>
      </c>
      <c r="V635" s="52">
        <f t="shared" si="18"/>
        <v>510</v>
      </c>
      <c r="W635" s="130" t="s">
        <v>3611</v>
      </c>
      <c r="X635" s="198" t="s">
        <v>4015</v>
      </c>
      <c r="Y635" s="199" t="s">
        <v>82</v>
      </c>
      <c r="Z635" s="169"/>
      <c r="AA635" s="170" t="s">
        <v>4017</v>
      </c>
      <c r="AB635" s="243" t="s">
        <v>4348</v>
      </c>
      <c r="AC635" s="35">
        <v>11263.4</v>
      </c>
      <c r="AE635" s="138" t="s">
        <v>4004</v>
      </c>
      <c r="AF635" s="138" t="s">
        <v>354</v>
      </c>
      <c r="AG635" s="138" t="s">
        <v>56</v>
      </c>
      <c r="AH635" s="138" t="s">
        <v>56</v>
      </c>
      <c r="AI635" s="138"/>
      <c r="AJ635" s="138"/>
      <c r="AK635" s="222"/>
      <c r="AL635" s="222"/>
    </row>
    <row r="636" spans="1:38" s="200" customFormat="1" ht="75.75" customHeight="1" x14ac:dyDescent="0.25">
      <c r="A636" s="14">
        <v>45874</v>
      </c>
      <c r="B636" s="41" t="s">
        <v>5037</v>
      </c>
      <c r="C636" s="41" t="s">
        <v>5038</v>
      </c>
      <c r="D636" s="41" t="s">
        <v>5039</v>
      </c>
      <c r="E636" s="42" t="s">
        <v>39</v>
      </c>
      <c r="F636" s="321">
        <v>2</v>
      </c>
      <c r="G636" s="43"/>
      <c r="H636" s="43"/>
      <c r="I636" s="245" t="s">
        <v>5040</v>
      </c>
      <c r="J636" s="45">
        <v>250</v>
      </c>
      <c r="K636" s="46" t="s">
        <v>5033</v>
      </c>
      <c r="L636" s="47" t="s">
        <v>63</v>
      </c>
      <c r="M636" s="42" t="s">
        <v>42</v>
      </c>
      <c r="N636" s="77" t="s">
        <v>5041</v>
      </c>
      <c r="O636" s="49" t="s">
        <v>5042</v>
      </c>
      <c r="P636" s="49" t="s">
        <v>5043</v>
      </c>
      <c r="Q636" s="49" t="s">
        <v>5044</v>
      </c>
      <c r="R636" s="50">
        <v>71</v>
      </c>
      <c r="S636" s="50">
        <v>161</v>
      </c>
      <c r="T636" s="51" t="s">
        <v>47</v>
      </c>
      <c r="U636" s="51">
        <v>2</v>
      </c>
      <c r="V636" s="52">
        <f t="shared" si="18"/>
        <v>500</v>
      </c>
      <c r="W636" s="51" t="s">
        <v>221</v>
      </c>
      <c r="X636" s="198" t="s">
        <v>5045</v>
      </c>
      <c r="Y636" s="199" t="s">
        <v>82</v>
      </c>
      <c r="Z636" s="169"/>
      <c r="AA636" s="170" t="s">
        <v>352</v>
      </c>
      <c r="AB636" s="243" t="s">
        <v>4813</v>
      </c>
      <c r="AC636" s="35">
        <v>19580</v>
      </c>
      <c r="AE636" s="138" t="s">
        <v>4004</v>
      </c>
      <c r="AF636" s="138"/>
      <c r="AG636" s="138" t="s">
        <v>56</v>
      </c>
      <c r="AH636" s="138" t="s">
        <v>56</v>
      </c>
      <c r="AI636" s="138"/>
      <c r="AJ636" s="138"/>
      <c r="AK636" s="138"/>
      <c r="AL636" s="222"/>
    </row>
    <row r="637" spans="1:38" s="200" customFormat="1" ht="59.25" customHeight="1" x14ac:dyDescent="0.25">
      <c r="A637" s="14">
        <v>45874</v>
      </c>
      <c r="B637" s="41" t="s">
        <v>5029</v>
      </c>
      <c r="C637" s="41" t="s">
        <v>5046</v>
      </c>
      <c r="D637" s="41" t="s">
        <v>5047</v>
      </c>
      <c r="E637" s="42" t="s">
        <v>39</v>
      </c>
      <c r="F637" s="43"/>
      <c r="G637" s="43"/>
      <c r="H637" s="19">
        <v>1</v>
      </c>
      <c r="I637" s="245" t="s">
        <v>5048</v>
      </c>
      <c r="J637" s="45">
        <v>3</v>
      </c>
      <c r="K637" s="46" t="s">
        <v>5033</v>
      </c>
      <c r="L637" s="50" t="s">
        <v>63</v>
      </c>
      <c r="M637" s="73" t="s">
        <v>42</v>
      </c>
      <c r="N637" s="77" t="s">
        <v>5049</v>
      </c>
      <c r="O637" s="49" t="s">
        <v>5050</v>
      </c>
      <c r="P637" s="49" t="s">
        <v>5051</v>
      </c>
      <c r="Q637" s="49" t="s">
        <v>5052</v>
      </c>
      <c r="R637" s="92">
        <v>206</v>
      </c>
      <c r="S637" s="50">
        <v>1248</v>
      </c>
      <c r="T637" s="51" t="s">
        <v>141</v>
      </c>
      <c r="U637" s="51">
        <v>7</v>
      </c>
      <c r="V637" s="52">
        <f t="shared" si="18"/>
        <v>21</v>
      </c>
      <c r="W637" s="51" t="s">
        <v>350</v>
      </c>
      <c r="X637" s="198" t="s">
        <v>5053</v>
      </c>
      <c r="Y637" s="199" t="s">
        <v>144</v>
      </c>
      <c r="Z637" s="169"/>
      <c r="AA637" s="170" t="s">
        <v>3466</v>
      </c>
      <c r="AB637" s="243" t="s">
        <v>4348</v>
      </c>
      <c r="AC637" s="172">
        <v>10670.4</v>
      </c>
      <c r="AE637" s="138" t="s">
        <v>4792</v>
      </c>
      <c r="AF637" s="138" t="s">
        <v>354</v>
      </c>
      <c r="AG637" s="138" t="s">
        <v>56</v>
      </c>
      <c r="AH637" s="138" t="s">
        <v>86</v>
      </c>
      <c r="AI637" s="138"/>
      <c r="AJ637" s="138"/>
      <c r="AK637" s="222"/>
      <c r="AL637" s="222"/>
    </row>
    <row r="638" spans="1:38" s="200" customFormat="1" ht="65.25" customHeight="1" x14ac:dyDescent="0.25">
      <c r="A638" s="14">
        <v>45874</v>
      </c>
      <c r="B638" s="41" t="s">
        <v>5054</v>
      </c>
      <c r="C638" s="41" t="s">
        <v>4963</v>
      </c>
      <c r="D638" s="41" t="s">
        <v>5055</v>
      </c>
      <c r="E638" s="42" t="s">
        <v>39</v>
      </c>
      <c r="F638" s="143"/>
      <c r="G638" s="43"/>
      <c r="H638" s="19">
        <v>1</v>
      </c>
      <c r="I638" s="245" t="s">
        <v>5056</v>
      </c>
      <c r="J638" s="45">
        <v>548</v>
      </c>
      <c r="K638" s="46" t="s">
        <v>5057</v>
      </c>
      <c r="L638" s="47" t="s">
        <v>63</v>
      </c>
      <c r="M638" s="73" t="s">
        <v>42</v>
      </c>
      <c r="N638" s="77" t="s">
        <v>4967</v>
      </c>
      <c r="O638" s="49" t="s">
        <v>4968</v>
      </c>
      <c r="P638" s="49" t="s">
        <v>4969</v>
      </c>
      <c r="Q638" s="49" t="s">
        <v>4970</v>
      </c>
      <c r="R638" s="50">
        <v>26</v>
      </c>
      <c r="S638" s="50">
        <v>48</v>
      </c>
      <c r="T638" s="51" t="s">
        <v>47</v>
      </c>
      <c r="U638" s="51">
        <v>0</v>
      </c>
      <c r="V638" s="52">
        <f t="shared" si="18"/>
        <v>0</v>
      </c>
      <c r="W638" s="51" t="s">
        <v>350</v>
      </c>
      <c r="X638" s="198" t="s">
        <v>2234</v>
      </c>
      <c r="Y638" s="263" t="s">
        <v>144</v>
      </c>
      <c r="Z638" s="169"/>
      <c r="AA638" s="170" t="s">
        <v>352</v>
      </c>
      <c r="AB638" s="243" t="s">
        <v>4896</v>
      </c>
      <c r="AC638" s="322">
        <f>(J638/550*7095) + 760</f>
        <v>7829.2</v>
      </c>
      <c r="AE638" s="138" t="s">
        <v>4004</v>
      </c>
      <c r="AF638" s="138"/>
      <c r="AG638" s="138" t="s">
        <v>56</v>
      </c>
      <c r="AH638" s="138" t="s">
        <v>56</v>
      </c>
      <c r="AI638" s="138"/>
      <c r="AJ638" s="138" t="s">
        <v>56</v>
      </c>
      <c r="AK638" s="137" t="s">
        <v>4971</v>
      </c>
      <c r="AL638" s="222"/>
    </row>
    <row r="639" spans="1:38" s="200" customFormat="1" ht="160.5" customHeight="1" x14ac:dyDescent="0.25">
      <c r="A639" s="14">
        <v>45873</v>
      </c>
      <c r="B639" s="389" t="s">
        <v>5058</v>
      </c>
      <c r="C639" s="390" t="s">
        <v>5059</v>
      </c>
      <c r="D639" s="390" t="s">
        <v>5060</v>
      </c>
      <c r="E639" s="391" t="s">
        <v>195</v>
      </c>
      <c r="F639" s="392"/>
      <c r="G639" s="392"/>
      <c r="H639" s="19">
        <v>2</v>
      </c>
      <c r="I639" s="393" t="s">
        <v>5061</v>
      </c>
      <c r="J639" s="394">
        <v>57</v>
      </c>
      <c r="K639" s="270" t="s">
        <v>5062</v>
      </c>
      <c r="L639" s="100" t="s">
        <v>63</v>
      </c>
      <c r="M639" s="246" t="s">
        <v>42</v>
      </c>
      <c r="N639" s="101" t="s">
        <v>5063</v>
      </c>
      <c r="O639" s="395"/>
      <c r="P639" s="395"/>
      <c r="Q639" s="395" t="s">
        <v>5064</v>
      </c>
      <c r="R639" s="396">
        <v>1</v>
      </c>
      <c r="S639" s="396">
        <v>5</v>
      </c>
      <c r="T639" s="391" t="s">
        <v>393</v>
      </c>
      <c r="U639" s="391">
        <v>5</v>
      </c>
      <c r="V639" s="397">
        <f t="shared" si="18"/>
        <v>285</v>
      </c>
      <c r="W639" s="391" t="s">
        <v>350</v>
      </c>
      <c r="X639" s="198" t="s">
        <v>482</v>
      </c>
      <c r="Y639" s="199" t="s">
        <v>50</v>
      </c>
      <c r="Z639" s="169" t="s">
        <v>483</v>
      </c>
      <c r="AA639" s="170" t="s">
        <v>3872</v>
      </c>
      <c r="AB639" s="243" t="s">
        <v>5065</v>
      </c>
      <c r="AC639" s="35">
        <f>1680+145.75+850+1500+(3595.5*2/153)</f>
        <v>4222.75</v>
      </c>
      <c r="AE639" s="138" t="s">
        <v>4792</v>
      </c>
      <c r="AF639" s="138" t="s">
        <v>354</v>
      </c>
      <c r="AG639" s="138" t="s">
        <v>56</v>
      </c>
      <c r="AH639" s="138" t="s">
        <v>56</v>
      </c>
      <c r="AI639" s="138"/>
      <c r="AJ639" s="138"/>
      <c r="AK639" s="138"/>
      <c r="AL639" s="222"/>
    </row>
    <row r="640" spans="1:38" s="200" customFormat="1" ht="144" customHeight="1" x14ac:dyDescent="0.25">
      <c r="A640" s="14">
        <v>45873</v>
      </c>
      <c r="B640" s="41" t="s">
        <v>5066</v>
      </c>
      <c r="C640" s="41" t="s">
        <v>5067</v>
      </c>
      <c r="D640" s="41" t="s">
        <v>5068</v>
      </c>
      <c r="E640" s="42" t="s">
        <v>39</v>
      </c>
      <c r="F640" s="321">
        <v>2</v>
      </c>
      <c r="G640" s="43"/>
      <c r="H640" s="43"/>
      <c r="I640" s="245" t="s">
        <v>5069</v>
      </c>
      <c r="J640" s="45">
        <v>55</v>
      </c>
      <c r="K640" s="46" t="s">
        <v>5070</v>
      </c>
      <c r="L640" s="47" t="s">
        <v>63</v>
      </c>
      <c r="M640" s="73" t="s">
        <v>42</v>
      </c>
      <c r="N640" s="77" t="s">
        <v>5071</v>
      </c>
      <c r="O640" s="49"/>
      <c r="P640" s="49" t="s">
        <v>5072</v>
      </c>
      <c r="Q640" s="49" t="s">
        <v>5073</v>
      </c>
      <c r="R640" s="50">
        <v>10</v>
      </c>
      <c r="S640" s="50">
        <v>23</v>
      </c>
      <c r="T640" s="51" t="s">
        <v>96</v>
      </c>
      <c r="U640" s="51">
        <v>18</v>
      </c>
      <c r="V640" s="75">
        <f t="shared" si="18"/>
        <v>990</v>
      </c>
      <c r="W640" s="51" t="s">
        <v>350</v>
      </c>
      <c r="X640" s="198" t="s">
        <v>5074</v>
      </c>
      <c r="Y640" s="199" t="s">
        <v>50</v>
      </c>
      <c r="Z640" s="269"/>
      <c r="AA640" s="170" t="s">
        <v>3437</v>
      </c>
      <c r="AB640" s="243" t="s">
        <v>5075</v>
      </c>
      <c r="AC640" s="35">
        <v>2723.25</v>
      </c>
      <c r="AE640" s="138" t="s">
        <v>4792</v>
      </c>
      <c r="AF640" s="138"/>
      <c r="AG640" s="138" t="s">
        <v>56</v>
      </c>
      <c r="AH640" s="138" t="s">
        <v>86</v>
      </c>
      <c r="AI640" s="138" t="s">
        <v>102</v>
      </c>
      <c r="AJ640" s="138"/>
      <c r="AK640" s="138"/>
      <c r="AL640" s="222"/>
    </row>
    <row r="641" spans="1:38" ht="178.5" customHeight="1" x14ac:dyDescent="0.25">
      <c r="A641" s="14">
        <v>45873</v>
      </c>
      <c r="B641" s="95" t="s">
        <v>5076</v>
      </c>
      <c r="C641" s="95" t="s">
        <v>5077</v>
      </c>
      <c r="D641" s="95" t="s">
        <v>5078</v>
      </c>
      <c r="E641" s="96" t="s">
        <v>39</v>
      </c>
      <c r="F641" s="19">
        <v>1</v>
      </c>
      <c r="G641" s="97"/>
      <c r="H641" s="97"/>
      <c r="I641" s="245" t="s">
        <v>5079</v>
      </c>
      <c r="J641" s="98">
        <v>60</v>
      </c>
      <c r="K641" s="165" t="s">
        <v>5080</v>
      </c>
      <c r="L641" s="100" t="s">
        <v>63</v>
      </c>
      <c r="M641" s="100" t="s">
        <v>42</v>
      </c>
      <c r="N641" s="398" t="s">
        <v>5081</v>
      </c>
      <c r="O641" s="102" t="s">
        <v>5082</v>
      </c>
      <c r="P641" s="102" t="s">
        <v>5083</v>
      </c>
      <c r="Q641" s="102" t="s">
        <v>5084</v>
      </c>
      <c r="R641" s="103">
        <v>41</v>
      </c>
      <c r="S641" s="103">
        <v>85</v>
      </c>
      <c r="T641" s="96" t="s">
        <v>47</v>
      </c>
      <c r="U641" s="96">
        <v>30</v>
      </c>
      <c r="V641" s="104">
        <f t="shared" si="18"/>
        <v>1800</v>
      </c>
      <c r="W641" s="96" t="s">
        <v>4184</v>
      </c>
      <c r="X641" s="202" t="s">
        <v>538</v>
      </c>
      <c r="Y641" s="168" t="s">
        <v>3963</v>
      </c>
      <c r="Z641" s="297"/>
      <c r="AA641" s="170" t="s">
        <v>3974</v>
      </c>
      <c r="AB641" s="243" t="s">
        <v>4186</v>
      </c>
      <c r="AC641" s="82">
        <f>4574+800+850</f>
        <v>6224</v>
      </c>
      <c r="AE641" s="137" t="s">
        <v>4004</v>
      </c>
      <c r="AF641" s="138"/>
      <c r="AG641" s="138" t="s">
        <v>56</v>
      </c>
      <c r="AH641" s="137" t="s">
        <v>4188</v>
      </c>
      <c r="AI641" s="138"/>
      <c r="AJ641" s="138"/>
      <c r="AK641" s="138"/>
      <c r="AL641" s="222"/>
    </row>
    <row r="642" spans="1:38" ht="148.5" customHeight="1" x14ac:dyDescent="0.25">
      <c r="A642" s="14">
        <v>45870</v>
      </c>
      <c r="B642" s="41" t="s">
        <v>5085</v>
      </c>
      <c r="C642" s="41" t="s">
        <v>5086</v>
      </c>
      <c r="D642" s="41" t="s">
        <v>5087</v>
      </c>
      <c r="E642" s="42" t="s">
        <v>39</v>
      </c>
      <c r="F642" s="321">
        <v>1</v>
      </c>
      <c r="G642" s="43"/>
      <c r="H642" s="43"/>
      <c r="I642" s="245" t="s">
        <v>5088</v>
      </c>
      <c r="J642" s="45">
        <v>40</v>
      </c>
      <c r="K642" s="46" t="s">
        <v>5089</v>
      </c>
      <c r="L642" s="47" t="s">
        <v>63</v>
      </c>
      <c r="M642" s="73" t="s">
        <v>42</v>
      </c>
      <c r="N642" s="77" t="s">
        <v>5090</v>
      </c>
      <c r="O642" s="49" t="s">
        <v>5091</v>
      </c>
      <c r="P642" s="49" t="s">
        <v>5092</v>
      </c>
      <c r="Q642" s="49" t="s">
        <v>5026</v>
      </c>
      <c r="R642" s="50">
        <v>138</v>
      </c>
      <c r="S642" s="50">
        <v>615</v>
      </c>
      <c r="T642" s="51" t="s">
        <v>180</v>
      </c>
      <c r="U642" s="51">
        <v>1</v>
      </c>
      <c r="V642" s="52">
        <f t="shared" si="18"/>
        <v>40</v>
      </c>
      <c r="W642" s="51" t="s">
        <v>5093</v>
      </c>
      <c r="X642" s="202" t="s">
        <v>538</v>
      </c>
      <c r="Y642" s="263" t="s">
        <v>324</v>
      </c>
      <c r="Z642" s="399" t="s">
        <v>5094</v>
      </c>
      <c r="AA642" s="170" t="s">
        <v>3974</v>
      </c>
      <c r="AB642" s="243" t="s">
        <v>4186</v>
      </c>
      <c r="AC642" s="35">
        <v>7995.2</v>
      </c>
      <c r="AD642" s="200"/>
      <c r="AE642" s="137" t="s">
        <v>4004</v>
      </c>
      <c r="AF642" s="138"/>
      <c r="AG642" s="138" t="s">
        <v>56</v>
      </c>
      <c r="AH642" s="137" t="s">
        <v>4188</v>
      </c>
      <c r="AI642" s="138"/>
      <c r="AJ642" s="138"/>
      <c r="AK642" s="138"/>
      <c r="AL642" s="222"/>
    </row>
    <row r="643" spans="1:38" s="200" customFormat="1" ht="43.5" customHeight="1" x14ac:dyDescent="0.25">
      <c r="A643" s="14">
        <v>45870</v>
      </c>
      <c r="B643" s="41" t="s">
        <v>5095</v>
      </c>
      <c r="C643" s="41" t="s">
        <v>5096</v>
      </c>
      <c r="D643" s="71"/>
      <c r="E643" s="42" t="s">
        <v>39</v>
      </c>
      <c r="F643" s="43"/>
      <c r="G643" s="43"/>
      <c r="H643" s="19">
        <v>1</v>
      </c>
      <c r="I643" s="245" t="s">
        <v>5097</v>
      </c>
      <c r="J643" s="45">
        <v>3</v>
      </c>
      <c r="K643" s="46" t="s">
        <v>5098</v>
      </c>
      <c r="L643" s="47" t="s">
        <v>63</v>
      </c>
      <c r="M643" s="73" t="s">
        <v>42</v>
      </c>
      <c r="N643" s="77" t="s">
        <v>5099</v>
      </c>
      <c r="O643" s="49"/>
      <c r="P643" s="49"/>
      <c r="Q643" s="49" t="s">
        <v>4678</v>
      </c>
      <c r="R643" s="50">
        <v>132</v>
      </c>
      <c r="S643" s="50">
        <v>940</v>
      </c>
      <c r="T643" s="51" t="s">
        <v>180</v>
      </c>
      <c r="U643" s="51">
        <v>22</v>
      </c>
      <c r="V643" s="52">
        <f t="shared" si="18"/>
        <v>66</v>
      </c>
      <c r="W643" s="51" t="s">
        <v>142</v>
      </c>
      <c r="X643" s="198" t="s">
        <v>98</v>
      </c>
      <c r="Y643" s="199" t="s">
        <v>82</v>
      </c>
      <c r="Z643" s="169"/>
      <c r="AA643" s="170" t="s">
        <v>352</v>
      </c>
      <c r="AB643" s="243" t="s">
        <v>3865</v>
      </c>
      <c r="AC643" s="172">
        <v>7240.72</v>
      </c>
      <c r="AE643" s="137" t="s">
        <v>4004</v>
      </c>
      <c r="AF643" s="138" t="s">
        <v>5100</v>
      </c>
      <c r="AG643" s="138" t="s">
        <v>56</v>
      </c>
      <c r="AH643" s="138" t="s">
        <v>56</v>
      </c>
      <c r="AI643" s="138"/>
      <c r="AJ643" s="138"/>
      <c r="AK643" s="138"/>
      <c r="AL643" s="138"/>
    </row>
    <row r="644" spans="1:38" ht="153" customHeight="1" x14ac:dyDescent="0.25">
      <c r="A644" s="14">
        <v>45870</v>
      </c>
      <c r="B644" s="41" t="s">
        <v>3855</v>
      </c>
      <c r="C644" s="41" t="s">
        <v>3856</v>
      </c>
      <c r="D644" s="41" t="s">
        <v>3857</v>
      </c>
      <c r="E644" s="51" t="s">
        <v>39</v>
      </c>
      <c r="F644" s="321">
        <v>1</v>
      </c>
      <c r="G644" s="43"/>
      <c r="H644" s="43"/>
      <c r="I644" s="245" t="s">
        <v>5101</v>
      </c>
      <c r="J644" s="45">
        <v>60</v>
      </c>
      <c r="K644" s="46" t="s">
        <v>5102</v>
      </c>
      <c r="L644" s="47" t="s">
        <v>63</v>
      </c>
      <c r="M644" s="73" t="s">
        <v>42</v>
      </c>
      <c r="N644" s="77" t="s">
        <v>5103</v>
      </c>
      <c r="O644" s="49" t="s">
        <v>3861</v>
      </c>
      <c r="P644" s="49" t="s">
        <v>3862</v>
      </c>
      <c r="Q644" s="49" t="s">
        <v>3863</v>
      </c>
      <c r="R644" s="92">
        <v>148</v>
      </c>
      <c r="S644" s="50">
        <v>675</v>
      </c>
      <c r="T644" s="51" t="s">
        <v>141</v>
      </c>
      <c r="U644" s="51">
        <v>2</v>
      </c>
      <c r="V644" s="52">
        <f t="shared" si="18"/>
        <v>120</v>
      </c>
      <c r="W644" s="51" t="s">
        <v>350</v>
      </c>
      <c r="X644" s="198" t="s">
        <v>482</v>
      </c>
      <c r="Y644" s="199" t="s">
        <v>50</v>
      </c>
      <c r="Z644" s="169" t="s">
        <v>5104</v>
      </c>
      <c r="AA644" s="170" t="s">
        <v>3864</v>
      </c>
      <c r="AB644" s="243" t="s">
        <v>3865</v>
      </c>
      <c r="AC644" s="35">
        <f>40401.2*J644/188</f>
        <v>12894</v>
      </c>
      <c r="AE644" s="138" t="s">
        <v>4792</v>
      </c>
      <c r="AF644" s="138" t="s">
        <v>5100</v>
      </c>
      <c r="AG644" s="138" t="s">
        <v>56</v>
      </c>
      <c r="AH644" s="138" t="s">
        <v>56</v>
      </c>
      <c r="AI644" s="138"/>
      <c r="AJ644" s="138" t="s">
        <v>56</v>
      </c>
      <c r="AK644" s="138" t="s">
        <v>2284</v>
      </c>
      <c r="AL644" s="222"/>
    </row>
    <row r="645" spans="1:38" s="200" customFormat="1" ht="147" customHeight="1" x14ac:dyDescent="0.25">
      <c r="A645" s="14">
        <v>45870</v>
      </c>
      <c r="B645" s="41" t="s">
        <v>5105</v>
      </c>
      <c r="C645" s="41" t="s">
        <v>5106</v>
      </c>
      <c r="D645" s="41" t="s">
        <v>5107</v>
      </c>
      <c r="E645" s="42" t="s">
        <v>39</v>
      </c>
      <c r="F645" s="43"/>
      <c r="G645" s="43"/>
      <c r="H645" s="19" t="s">
        <v>1877</v>
      </c>
      <c r="I645" s="245" t="s">
        <v>5108</v>
      </c>
      <c r="J645" s="45">
        <v>60</v>
      </c>
      <c r="K645" s="46" t="s">
        <v>5109</v>
      </c>
      <c r="L645" s="47" t="s">
        <v>63</v>
      </c>
      <c r="M645" s="73" t="s">
        <v>42</v>
      </c>
      <c r="N645" s="77" t="s">
        <v>5110</v>
      </c>
      <c r="O645" s="49"/>
      <c r="P645" s="49"/>
      <c r="Q645" s="49"/>
      <c r="R645" s="50">
        <v>1</v>
      </c>
      <c r="S645" s="50">
        <v>1</v>
      </c>
      <c r="T645" s="51" t="s">
        <v>393</v>
      </c>
      <c r="U645" s="51">
        <v>1</v>
      </c>
      <c r="V645" s="52">
        <f t="shared" si="18"/>
        <v>60</v>
      </c>
      <c r="W645" s="51" t="s">
        <v>350</v>
      </c>
      <c r="X645" s="198" t="s">
        <v>482</v>
      </c>
      <c r="Y645" s="199" t="s">
        <v>50</v>
      </c>
      <c r="Z645" s="269" t="s">
        <v>4664</v>
      </c>
      <c r="AA645" s="170" t="s">
        <v>3872</v>
      </c>
      <c r="AB645" s="243" t="s">
        <v>3873</v>
      </c>
      <c r="AC645" s="322">
        <f>5255 * J645/188</f>
        <v>1677.127659574468</v>
      </c>
      <c r="AE645" s="138" t="s">
        <v>4792</v>
      </c>
      <c r="AF645" s="138"/>
      <c r="AG645" s="138" t="s">
        <v>56</v>
      </c>
      <c r="AH645" s="138" t="s">
        <v>56</v>
      </c>
      <c r="AI645" s="138"/>
      <c r="AJ645" s="138" t="s">
        <v>56</v>
      </c>
      <c r="AK645" s="138" t="s">
        <v>2284</v>
      </c>
      <c r="AL645" s="222"/>
    </row>
    <row r="646" spans="1:38" ht="226.5" x14ac:dyDescent="0.25">
      <c r="A646" s="14">
        <v>45870</v>
      </c>
      <c r="B646" s="41" t="s">
        <v>3845</v>
      </c>
      <c r="C646" s="41" t="s">
        <v>3846</v>
      </c>
      <c r="D646" s="41" t="s">
        <v>3847</v>
      </c>
      <c r="E646" s="42" t="s">
        <v>39</v>
      </c>
      <c r="F646" s="43"/>
      <c r="G646" s="43"/>
      <c r="H646" s="19">
        <v>1</v>
      </c>
      <c r="I646" s="245" t="s">
        <v>5111</v>
      </c>
      <c r="J646" s="45">
        <v>120</v>
      </c>
      <c r="K646" s="46" t="s">
        <v>5112</v>
      </c>
      <c r="L646" s="47" t="s">
        <v>63</v>
      </c>
      <c r="M646" s="73" t="s">
        <v>42</v>
      </c>
      <c r="N646" s="77" t="s">
        <v>5113</v>
      </c>
      <c r="O646" s="49"/>
      <c r="P646" s="49" t="s">
        <v>3851</v>
      </c>
      <c r="Q646" s="49" t="s">
        <v>3852</v>
      </c>
      <c r="R646" s="50">
        <v>2</v>
      </c>
      <c r="S646" s="50">
        <v>4</v>
      </c>
      <c r="T646" s="51" t="s">
        <v>96</v>
      </c>
      <c r="U646" s="51">
        <v>0</v>
      </c>
      <c r="V646" s="52">
        <f t="shared" si="18"/>
        <v>0</v>
      </c>
      <c r="W646" s="51" t="s">
        <v>350</v>
      </c>
      <c r="X646" s="198" t="s">
        <v>482</v>
      </c>
      <c r="Y646" s="199" t="s">
        <v>50</v>
      </c>
      <c r="Z646" s="169" t="s">
        <v>4664</v>
      </c>
      <c r="AA646" s="170" t="s">
        <v>3853</v>
      </c>
      <c r="AB646" s="243" t="s">
        <v>3854</v>
      </c>
      <c r="AC646" s="35">
        <f>6403.2*J646/368</f>
        <v>2088</v>
      </c>
      <c r="AE646" s="137" t="s">
        <v>4792</v>
      </c>
      <c r="AF646" s="138" t="s">
        <v>354</v>
      </c>
      <c r="AG646" s="138" t="s">
        <v>56</v>
      </c>
      <c r="AH646" s="138" t="s">
        <v>56</v>
      </c>
      <c r="AI646" s="138"/>
      <c r="AJ646" s="138" t="s">
        <v>56</v>
      </c>
      <c r="AK646" s="138" t="s">
        <v>1527</v>
      </c>
      <c r="AL646" s="222"/>
    </row>
    <row r="647" spans="1:38" s="200" customFormat="1" ht="90" x14ac:dyDescent="0.25">
      <c r="A647" s="14">
        <v>45869</v>
      </c>
      <c r="B647" s="41" t="s">
        <v>5114</v>
      </c>
      <c r="C647" s="41" t="s">
        <v>5115</v>
      </c>
      <c r="D647" s="41" t="s">
        <v>5116</v>
      </c>
      <c r="E647" s="51" t="s">
        <v>39</v>
      </c>
      <c r="F647" s="43"/>
      <c r="G647" s="43"/>
      <c r="H647" s="19">
        <v>2</v>
      </c>
      <c r="I647" s="245" t="s">
        <v>5117</v>
      </c>
      <c r="J647" s="45">
        <v>120</v>
      </c>
      <c r="K647" s="46" t="s">
        <v>5118</v>
      </c>
      <c r="L647" s="47" t="s">
        <v>63</v>
      </c>
      <c r="M647" s="73" t="s">
        <v>42</v>
      </c>
      <c r="N647" s="77" t="s">
        <v>5119</v>
      </c>
      <c r="O647" s="49" t="s">
        <v>5120</v>
      </c>
      <c r="P647" s="49" t="s">
        <v>5044</v>
      </c>
      <c r="Q647" s="49" t="s">
        <v>5121</v>
      </c>
      <c r="R647" s="50">
        <v>2</v>
      </c>
      <c r="S647" s="50">
        <v>6</v>
      </c>
      <c r="T647" s="51" t="s">
        <v>47</v>
      </c>
      <c r="U647" s="51">
        <v>1</v>
      </c>
      <c r="V647" s="52">
        <f t="shared" si="18"/>
        <v>120</v>
      </c>
      <c r="W647" s="51" t="s">
        <v>350</v>
      </c>
      <c r="X647" s="198" t="s">
        <v>1445</v>
      </c>
      <c r="Y647" s="263" t="s">
        <v>144</v>
      </c>
      <c r="Z647" s="169"/>
      <c r="AA647" s="170" t="s">
        <v>4957</v>
      </c>
      <c r="AB647" s="243" t="s">
        <v>5122</v>
      </c>
      <c r="AC647" s="172">
        <v>2310</v>
      </c>
      <c r="AE647" s="137" t="s">
        <v>5123</v>
      </c>
      <c r="AF647" s="138"/>
      <c r="AG647" s="138" t="s">
        <v>56</v>
      </c>
      <c r="AH647" s="138" t="s">
        <v>56</v>
      </c>
      <c r="AI647" s="138"/>
      <c r="AJ647" s="138"/>
      <c r="AK647" s="138"/>
      <c r="AL647" s="138"/>
    </row>
    <row r="648" spans="1:38" ht="375" x14ac:dyDescent="0.25">
      <c r="A648" s="14">
        <v>45869</v>
      </c>
      <c r="B648" s="95" t="s">
        <v>3964</v>
      </c>
      <c r="C648" s="95" t="s">
        <v>5124</v>
      </c>
      <c r="D648" s="95" t="s">
        <v>3966</v>
      </c>
      <c r="E648" s="96" t="s">
        <v>39</v>
      </c>
      <c r="F648" s="97"/>
      <c r="G648" s="97"/>
      <c r="H648" s="19">
        <v>1</v>
      </c>
      <c r="I648" s="245" t="s">
        <v>5125</v>
      </c>
      <c r="J648" s="98">
        <v>70</v>
      </c>
      <c r="K648" s="99" t="s">
        <v>5126</v>
      </c>
      <c r="L648" s="100" t="s">
        <v>63</v>
      </c>
      <c r="M648" s="246" t="s">
        <v>42</v>
      </c>
      <c r="N648" s="398" t="s">
        <v>5127</v>
      </c>
      <c r="O648" s="102" t="s">
        <v>5128</v>
      </c>
      <c r="P648" s="102" t="s">
        <v>5129</v>
      </c>
      <c r="Q648" s="102" t="s">
        <v>4968</v>
      </c>
      <c r="R648" s="103">
        <v>116</v>
      </c>
      <c r="S648" s="103">
        <v>480</v>
      </c>
      <c r="T648" s="96" t="s">
        <v>141</v>
      </c>
      <c r="U648" s="96">
        <v>18</v>
      </c>
      <c r="V648" s="75">
        <f t="shared" si="18"/>
        <v>1260</v>
      </c>
      <c r="W648" s="96" t="s">
        <v>4184</v>
      </c>
      <c r="X648" s="202" t="s">
        <v>538</v>
      </c>
      <c r="Y648" s="199" t="s">
        <v>3963</v>
      </c>
      <c r="Z648" s="169"/>
      <c r="AA648" s="170" t="s">
        <v>3974</v>
      </c>
      <c r="AB648" s="243" t="s">
        <v>3975</v>
      </c>
      <c r="AC648" s="82">
        <f>12595.8+1100+2800</f>
        <v>16495.8</v>
      </c>
      <c r="AE648" s="137" t="s">
        <v>4004</v>
      </c>
      <c r="AF648" s="138"/>
      <c r="AG648" s="138" t="s">
        <v>56</v>
      </c>
      <c r="AH648" s="138" t="s">
        <v>56</v>
      </c>
      <c r="AI648" s="138"/>
      <c r="AJ648" s="138"/>
      <c r="AK648" s="138"/>
      <c r="AL648" s="222"/>
    </row>
    <row r="649" spans="1:38" ht="53.25" customHeight="1" x14ac:dyDescent="0.25">
      <c r="A649" s="14">
        <v>45869</v>
      </c>
      <c r="B649" s="95" t="s">
        <v>4672</v>
      </c>
      <c r="C649" s="95" t="s">
        <v>4673</v>
      </c>
      <c r="D649" s="95" t="s">
        <v>5130</v>
      </c>
      <c r="E649" s="96" t="s">
        <v>39</v>
      </c>
      <c r="F649" s="97"/>
      <c r="G649" s="97"/>
      <c r="H649" s="19">
        <v>3</v>
      </c>
      <c r="I649" s="386" t="s">
        <v>5131</v>
      </c>
      <c r="J649" s="98">
        <v>4</v>
      </c>
      <c r="K649" s="270" t="s">
        <v>5132</v>
      </c>
      <c r="L649" s="100" t="s">
        <v>63</v>
      </c>
      <c r="M649" s="100" t="s">
        <v>42</v>
      </c>
      <c r="N649" s="101" t="s">
        <v>4677</v>
      </c>
      <c r="O649" s="102"/>
      <c r="P649" s="102"/>
      <c r="Q649" s="102" t="s">
        <v>4678</v>
      </c>
      <c r="R649" s="103">
        <v>8</v>
      </c>
      <c r="S649" s="103">
        <v>106</v>
      </c>
      <c r="T649" s="96" t="s">
        <v>47</v>
      </c>
      <c r="U649" s="96">
        <v>68</v>
      </c>
      <c r="V649" s="75">
        <f t="shared" si="18"/>
        <v>272</v>
      </c>
      <c r="W649" s="96" t="s">
        <v>68</v>
      </c>
      <c r="X649" s="258" t="s">
        <v>232</v>
      </c>
      <c r="Y649" s="168" t="s">
        <v>50</v>
      </c>
      <c r="Z649" s="169"/>
      <c r="AA649" s="170" t="s">
        <v>4679</v>
      </c>
      <c r="AB649" s="243" t="s">
        <v>4680</v>
      </c>
      <c r="AC649" s="35">
        <f>750 + J649/14 * 7112</f>
        <v>2782</v>
      </c>
      <c r="AE649" s="137" t="s">
        <v>4004</v>
      </c>
      <c r="AF649" s="138"/>
      <c r="AG649" s="138" t="s">
        <v>56</v>
      </c>
      <c r="AH649" s="138" t="s">
        <v>56</v>
      </c>
      <c r="AI649" s="138"/>
      <c r="AJ649" s="138" t="s">
        <v>4681</v>
      </c>
      <c r="AK649" s="138" t="s">
        <v>2284</v>
      </c>
      <c r="AL649" s="222"/>
    </row>
    <row r="650" spans="1:38" s="200" customFormat="1" ht="36.75" customHeight="1" x14ac:dyDescent="0.25">
      <c r="A650" s="14">
        <v>45868</v>
      </c>
      <c r="B650" s="41" t="s">
        <v>5133</v>
      </c>
      <c r="C650" s="41" t="s">
        <v>5134</v>
      </c>
      <c r="D650" s="41"/>
      <c r="E650" s="42" t="s">
        <v>39</v>
      </c>
      <c r="F650" s="321">
        <v>1</v>
      </c>
      <c r="G650" s="43"/>
      <c r="H650" s="43"/>
      <c r="I650" s="245" t="s">
        <v>5135</v>
      </c>
      <c r="J650" s="45">
        <v>650</v>
      </c>
      <c r="K650" s="46" t="s">
        <v>5136</v>
      </c>
      <c r="L650" s="47" t="s">
        <v>63</v>
      </c>
      <c r="M650" s="47" t="s">
        <v>55</v>
      </c>
      <c r="N650" s="77" t="s">
        <v>5137</v>
      </c>
      <c r="O650" s="49"/>
      <c r="P650" s="49" t="s">
        <v>5138</v>
      </c>
      <c r="Q650" s="49" t="s">
        <v>5042</v>
      </c>
      <c r="R650" s="50">
        <v>31</v>
      </c>
      <c r="S650" s="50">
        <v>60</v>
      </c>
      <c r="T650" s="51" t="s">
        <v>67</v>
      </c>
      <c r="U650" s="51">
        <v>0</v>
      </c>
      <c r="V650" s="52">
        <f t="shared" si="18"/>
        <v>0</v>
      </c>
      <c r="W650" s="51" t="s">
        <v>350</v>
      </c>
      <c r="X650" s="198" t="s">
        <v>2234</v>
      </c>
      <c r="Y650" s="263" t="s">
        <v>144</v>
      </c>
      <c r="Z650" s="169"/>
      <c r="AA650" s="170" t="s">
        <v>4840</v>
      </c>
      <c r="AB650" s="243" t="s">
        <v>5139</v>
      </c>
      <c r="AC650" s="172">
        <v>9425</v>
      </c>
      <c r="AE650" s="138" t="s">
        <v>5140</v>
      </c>
      <c r="AF650" s="138"/>
      <c r="AG650" s="138" t="s">
        <v>56</v>
      </c>
      <c r="AH650" s="138" t="s">
        <v>56</v>
      </c>
      <c r="AI650" s="138"/>
      <c r="AJ650" s="138"/>
      <c r="AK650" s="138"/>
      <c r="AL650" s="222"/>
    </row>
    <row r="651" spans="1:38" s="200" customFormat="1" ht="32.25" customHeight="1" x14ac:dyDescent="0.25">
      <c r="A651" s="14">
        <v>45868</v>
      </c>
      <c r="B651" s="41" t="s">
        <v>5141</v>
      </c>
      <c r="C651" s="41" t="s">
        <v>5142</v>
      </c>
      <c r="D651" s="41"/>
      <c r="E651" s="42" t="s">
        <v>39</v>
      </c>
      <c r="F651" s="321">
        <v>1</v>
      </c>
      <c r="G651" s="43"/>
      <c r="H651" s="43"/>
      <c r="I651" s="245" t="s">
        <v>5143</v>
      </c>
      <c r="J651" s="45">
        <v>200</v>
      </c>
      <c r="K651" s="46" t="s">
        <v>5144</v>
      </c>
      <c r="L651" s="47" t="s">
        <v>63</v>
      </c>
      <c r="M651" s="73" t="s">
        <v>42</v>
      </c>
      <c r="N651" s="77" t="s">
        <v>5145</v>
      </c>
      <c r="O651" s="49"/>
      <c r="P651" s="49" t="s">
        <v>3851</v>
      </c>
      <c r="Q651" s="49" t="s">
        <v>5146</v>
      </c>
      <c r="R651" s="50">
        <v>40</v>
      </c>
      <c r="S651" s="50">
        <v>70</v>
      </c>
      <c r="T651" s="51" t="s">
        <v>47</v>
      </c>
      <c r="U651" s="51">
        <v>0</v>
      </c>
      <c r="V651" s="52">
        <f t="shared" si="18"/>
        <v>0</v>
      </c>
      <c r="W651" s="51" t="s">
        <v>142</v>
      </c>
      <c r="X651" s="198" t="s">
        <v>5147</v>
      </c>
      <c r="Y651" s="199" t="s">
        <v>70</v>
      </c>
      <c r="Z651" s="169"/>
      <c r="AA651" s="170" t="s">
        <v>4791</v>
      </c>
      <c r="AB651" s="243" t="s">
        <v>4896</v>
      </c>
      <c r="AC651" s="172">
        <v>5336</v>
      </c>
      <c r="AE651" s="138" t="s">
        <v>4867</v>
      </c>
      <c r="AF651" s="138"/>
      <c r="AG651" s="138" t="s">
        <v>56</v>
      </c>
      <c r="AH651" s="138" t="s">
        <v>56</v>
      </c>
      <c r="AI651" s="138"/>
      <c r="AJ651" s="138"/>
      <c r="AK651" s="138"/>
      <c r="AL651" s="138"/>
    </row>
    <row r="652" spans="1:38" s="200" customFormat="1" ht="62.25" customHeight="1" x14ac:dyDescent="0.25">
      <c r="A652" s="14">
        <v>45867</v>
      </c>
      <c r="B652" s="41" t="s">
        <v>5148</v>
      </c>
      <c r="C652" s="41" t="s">
        <v>5149</v>
      </c>
      <c r="D652" s="41"/>
      <c r="E652" s="42" t="s">
        <v>39</v>
      </c>
      <c r="F652" s="321">
        <v>1</v>
      </c>
      <c r="G652" s="43"/>
      <c r="H652" s="43"/>
      <c r="I652" s="245" t="s">
        <v>5150</v>
      </c>
      <c r="J652" s="45">
        <v>20</v>
      </c>
      <c r="K652" s="46" t="s">
        <v>5136</v>
      </c>
      <c r="L652" s="47" t="s">
        <v>63</v>
      </c>
      <c r="M652" s="73" t="s">
        <v>42</v>
      </c>
      <c r="N652" s="77" t="s">
        <v>5151</v>
      </c>
      <c r="O652" s="49"/>
      <c r="P652" s="49" t="s">
        <v>5152</v>
      </c>
      <c r="Q652" s="49" t="s">
        <v>5153</v>
      </c>
      <c r="R652" s="50">
        <v>42</v>
      </c>
      <c r="S652" s="50">
        <v>316</v>
      </c>
      <c r="T652" s="51" t="s">
        <v>96</v>
      </c>
      <c r="U652" s="51">
        <v>86</v>
      </c>
      <c r="V652" s="75">
        <f t="shared" si="18"/>
        <v>1720</v>
      </c>
      <c r="W652" s="51" t="s">
        <v>350</v>
      </c>
      <c r="X652" s="198" t="s">
        <v>5154</v>
      </c>
      <c r="Y652" s="199" t="s">
        <v>50</v>
      </c>
      <c r="Z652" s="169"/>
      <c r="AA652" s="170" t="s">
        <v>4840</v>
      </c>
      <c r="AB652" s="243" t="s">
        <v>4841</v>
      </c>
      <c r="AC652" s="172">
        <v>5661.6</v>
      </c>
      <c r="AE652" s="138" t="s">
        <v>4867</v>
      </c>
      <c r="AF652" s="138"/>
      <c r="AG652" s="138" t="s">
        <v>56</v>
      </c>
      <c r="AH652" s="138" t="s">
        <v>56</v>
      </c>
      <c r="AI652" s="138"/>
      <c r="AJ652" s="138" t="s">
        <v>56</v>
      </c>
      <c r="AK652" s="138" t="s">
        <v>2284</v>
      </c>
      <c r="AL652" s="222"/>
    </row>
    <row r="653" spans="1:38" s="200" customFormat="1" ht="34.5" customHeight="1" x14ac:dyDescent="0.25">
      <c r="A653" s="14">
        <v>45867</v>
      </c>
      <c r="B653" s="41" t="s">
        <v>5155</v>
      </c>
      <c r="C653" s="41" t="s">
        <v>5156</v>
      </c>
      <c r="D653" s="41" t="s">
        <v>5157</v>
      </c>
      <c r="E653" s="42" t="s">
        <v>39</v>
      </c>
      <c r="F653" s="321">
        <v>1</v>
      </c>
      <c r="G653" s="43"/>
      <c r="H653" s="43"/>
      <c r="I653" s="245" t="s">
        <v>5158</v>
      </c>
      <c r="J653" s="45">
        <v>28</v>
      </c>
      <c r="K653" s="46" t="s">
        <v>5159</v>
      </c>
      <c r="L653" s="47" t="s">
        <v>63</v>
      </c>
      <c r="M653" s="47" t="s">
        <v>55</v>
      </c>
      <c r="N653" s="77" t="s">
        <v>2440</v>
      </c>
      <c r="O653" s="49" t="s">
        <v>5160</v>
      </c>
      <c r="P653" s="49"/>
      <c r="Q653" s="49" t="s">
        <v>4678</v>
      </c>
      <c r="R653" s="50">
        <v>70</v>
      </c>
      <c r="S653" s="50">
        <v>656</v>
      </c>
      <c r="T653" s="51" t="s">
        <v>47</v>
      </c>
      <c r="U653" s="51">
        <v>14</v>
      </c>
      <c r="V653" s="52">
        <f t="shared" si="18"/>
        <v>392</v>
      </c>
      <c r="W653" s="51" t="s">
        <v>5161</v>
      </c>
      <c r="X653" s="198" t="s">
        <v>732</v>
      </c>
      <c r="Y653" s="199" t="s">
        <v>70</v>
      </c>
      <c r="Z653" s="169"/>
      <c r="AA653" s="170" t="s">
        <v>646</v>
      </c>
      <c r="AB653" s="243" t="s">
        <v>2826</v>
      </c>
      <c r="AC653" s="172">
        <v>9516</v>
      </c>
      <c r="AE653" s="137" t="s">
        <v>4004</v>
      </c>
      <c r="AF653" s="138" t="s">
        <v>354</v>
      </c>
      <c r="AG653" s="138" t="s">
        <v>56</v>
      </c>
      <c r="AH653" s="138" t="s">
        <v>56</v>
      </c>
      <c r="AI653" s="138"/>
      <c r="AJ653" s="138"/>
      <c r="AK653" s="138"/>
      <c r="AL653" s="222"/>
    </row>
    <row r="654" spans="1:38" s="200" customFormat="1" ht="37.5" customHeight="1" x14ac:dyDescent="0.25">
      <c r="A654" s="14">
        <v>45867</v>
      </c>
      <c r="B654" s="54" t="s">
        <v>5162</v>
      </c>
      <c r="C654" s="54" t="s">
        <v>5163</v>
      </c>
      <c r="D654" s="54"/>
      <c r="E654" s="56" t="s">
        <v>39</v>
      </c>
      <c r="F654" s="57"/>
      <c r="G654" s="57"/>
      <c r="H654" s="19">
        <v>2</v>
      </c>
      <c r="I654" s="245" t="s">
        <v>5164</v>
      </c>
      <c r="J654" s="59">
        <v>60</v>
      </c>
      <c r="K654" s="400" t="s">
        <v>5165</v>
      </c>
      <c r="L654" s="61" t="s">
        <v>63</v>
      </c>
      <c r="M654" s="61" t="s">
        <v>55</v>
      </c>
      <c r="N654" s="80" t="s">
        <v>5166</v>
      </c>
      <c r="O654" s="62"/>
      <c r="P654" s="62"/>
      <c r="Q654" s="62" t="s">
        <v>4678</v>
      </c>
      <c r="R654" s="61">
        <v>33</v>
      </c>
      <c r="S654" s="61">
        <v>58</v>
      </c>
      <c r="T654" s="56" t="s">
        <v>96</v>
      </c>
      <c r="U654" s="56">
        <v>2</v>
      </c>
      <c r="V654" s="63">
        <f t="shared" si="18"/>
        <v>120</v>
      </c>
      <c r="W654" s="56" t="s">
        <v>350</v>
      </c>
      <c r="X654" s="198" t="s">
        <v>5167</v>
      </c>
      <c r="Y654" s="199" t="s">
        <v>82</v>
      </c>
      <c r="Z654" s="169"/>
      <c r="AA654" s="170" t="s">
        <v>3466</v>
      </c>
      <c r="AB654" s="243" t="s">
        <v>4419</v>
      </c>
      <c r="AC654" s="172">
        <v>6610</v>
      </c>
      <c r="AE654" s="138" t="s">
        <v>4867</v>
      </c>
      <c r="AF654" s="138"/>
      <c r="AG654" s="138" t="s">
        <v>56</v>
      </c>
      <c r="AH654" s="138" t="s">
        <v>86</v>
      </c>
      <c r="AI654" s="138"/>
      <c r="AJ654" s="138"/>
      <c r="AK654" s="138"/>
      <c r="AL654" s="222"/>
    </row>
    <row r="655" spans="1:38" s="200" customFormat="1" ht="48.75" customHeight="1" x14ac:dyDescent="0.25">
      <c r="A655" s="14">
        <v>45867</v>
      </c>
      <c r="B655" s="41" t="s">
        <v>4588</v>
      </c>
      <c r="C655" s="41" t="s">
        <v>5168</v>
      </c>
      <c r="D655" s="41"/>
      <c r="E655" s="42" t="s">
        <v>39</v>
      </c>
      <c r="F655" s="43"/>
      <c r="G655" s="43"/>
      <c r="H655" s="43"/>
      <c r="I655" s="245" t="s">
        <v>5169</v>
      </c>
      <c r="J655" s="45">
        <v>8</v>
      </c>
      <c r="K655" s="46" t="s">
        <v>5118</v>
      </c>
      <c r="L655" s="47"/>
      <c r="M655" s="42"/>
      <c r="N655" s="77" t="s">
        <v>5170</v>
      </c>
      <c r="O655" s="49"/>
      <c r="P655" s="49"/>
      <c r="Q655" s="49"/>
      <c r="R655" s="50"/>
      <c r="S655" s="50"/>
      <c r="T655" s="51"/>
      <c r="U655" s="51"/>
      <c r="V655" s="52">
        <f t="shared" si="18"/>
        <v>0</v>
      </c>
      <c r="W655" s="51" t="s">
        <v>142</v>
      </c>
      <c r="X655" s="198" t="s">
        <v>5171</v>
      </c>
      <c r="Y655" s="199" t="s">
        <v>50</v>
      </c>
      <c r="Z655" s="169"/>
      <c r="AA655" s="170" t="s">
        <v>83</v>
      </c>
      <c r="AB655" s="243" t="s">
        <v>4522</v>
      </c>
      <c r="AC655" s="172">
        <v>1680</v>
      </c>
      <c r="AE655" s="137" t="s">
        <v>5172</v>
      </c>
      <c r="AF655" s="138"/>
      <c r="AG655" s="138"/>
      <c r="AH655" s="138"/>
      <c r="AI655" s="138"/>
      <c r="AJ655" s="138"/>
      <c r="AK655" s="138"/>
      <c r="AL655" s="138"/>
    </row>
    <row r="656" spans="1:38" ht="61.5" customHeight="1" x14ac:dyDescent="0.25">
      <c r="A656" s="14">
        <v>45866</v>
      </c>
      <c r="B656" s="41" t="s">
        <v>5173</v>
      </c>
      <c r="C656" s="41" t="s">
        <v>5174</v>
      </c>
      <c r="D656" s="41" t="s">
        <v>5175</v>
      </c>
      <c r="E656" s="42" t="s">
        <v>39</v>
      </c>
      <c r="F656" s="43"/>
      <c r="G656" s="43"/>
      <c r="H656" s="321">
        <v>1</v>
      </c>
      <c r="I656" s="245" t="s">
        <v>9893</v>
      </c>
      <c r="J656" s="45">
        <v>1</v>
      </c>
      <c r="K656" s="46" t="s">
        <v>5176</v>
      </c>
      <c r="L656" s="47" t="s">
        <v>63</v>
      </c>
      <c r="M656" s="73" t="s">
        <v>42</v>
      </c>
      <c r="N656" s="401" t="s">
        <v>5177</v>
      </c>
      <c r="O656" s="49" t="s">
        <v>5178</v>
      </c>
      <c r="P656" s="49" t="s">
        <v>5179</v>
      </c>
      <c r="Q656" s="49" t="s">
        <v>5180</v>
      </c>
      <c r="R656" s="50">
        <v>75</v>
      </c>
      <c r="S656" s="92">
        <v>1102</v>
      </c>
      <c r="T656" s="51" t="s">
        <v>47</v>
      </c>
      <c r="U656" s="51">
        <v>29</v>
      </c>
      <c r="V656" s="52">
        <f t="shared" si="18"/>
        <v>29</v>
      </c>
      <c r="W656" s="51" t="s">
        <v>350</v>
      </c>
      <c r="X656" s="198" t="s">
        <v>934</v>
      </c>
      <c r="Y656" s="199" t="s">
        <v>82</v>
      </c>
      <c r="Z656" s="399" t="s">
        <v>5094</v>
      </c>
      <c r="AA656" s="170" t="s">
        <v>352</v>
      </c>
      <c r="AB656" s="243" t="s">
        <v>4896</v>
      </c>
      <c r="AC656" s="35">
        <f>8984.24*J656/8</f>
        <v>1123.03</v>
      </c>
      <c r="AE656" s="137" t="s">
        <v>4004</v>
      </c>
      <c r="AF656" s="138" t="s">
        <v>354</v>
      </c>
      <c r="AG656" s="138" t="s">
        <v>56</v>
      </c>
      <c r="AH656" s="138" t="s">
        <v>56</v>
      </c>
      <c r="AI656" s="138"/>
      <c r="AJ656" s="137" t="s">
        <v>5181</v>
      </c>
      <c r="AK656" s="138" t="s">
        <v>1527</v>
      </c>
      <c r="AL656" s="222"/>
    </row>
    <row r="657" spans="1:39" ht="67.5" customHeight="1" x14ac:dyDescent="0.25">
      <c r="A657" s="14">
        <v>45866</v>
      </c>
      <c r="B657" s="41" t="s">
        <v>5182</v>
      </c>
      <c r="C657" s="41" t="s">
        <v>5183</v>
      </c>
      <c r="D657" s="41" t="s">
        <v>5184</v>
      </c>
      <c r="E657" s="42" t="s">
        <v>39</v>
      </c>
      <c r="F657" s="43"/>
      <c r="G657" s="43"/>
      <c r="H657" s="19">
        <v>1</v>
      </c>
      <c r="I657" s="245" t="s">
        <v>5185</v>
      </c>
      <c r="J657" s="45">
        <f>500-102</f>
        <v>398</v>
      </c>
      <c r="K657" s="46" t="s">
        <v>5186</v>
      </c>
      <c r="L657" s="47" t="s">
        <v>63</v>
      </c>
      <c r="M657" s="73" t="s">
        <v>42</v>
      </c>
      <c r="N657" s="77" t="s">
        <v>5187</v>
      </c>
      <c r="O657" s="49"/>
      <c r="P657" s="49" t="s">
        <v>5188</v>
      </c>
      <c r="Q657" s="49" t="s">
        <v>5121</v>
      </c>
      <c r="R657" s="50">
        <v>3</v>
      </c>
      <c r="S657" s="50">
        <v>6</v>
      </c>
      <c r="T657" s="51" t="s">
        <v>96</v>
      </c>
      <c r="U657" s="51">
        <v>0</v>
      </c>
      <c r="V657" s="52">
        <f t="shared" si="18"/>
        <v>0</v>
      </c>
      <c r="W657" s="51" t="s">
        <v>221</v>
      </c>
      <c r="X657" s="198" t="s">
        <v>222</v>
      </c>
      <c r="Y657" s="168" t="s">
        <v>82</v>
      </c>
      <c r="Z657" s="269"/>
      <c r="AA657" s="170" t="s">
        <v>5189</v>
      </c>
      <c r="AB657" s="243" t="s">
        <v>5190</v>
      </c>
      <c r="AC657" s="35">
        <f>6150*(J657/500)</f>
        <v>4895.4000000000005</v>
      </c>
      <c r="AE657" s="137" t="s">
        <v>5191</v>
      </c>
      <c r="AF657" s="138"/>
      <c r="AG657" s="138" t="s">
        <v>56</v>
      </c>
      <c r="AH657" s="138" t="s">
        <v>56</v>
      </c>
      <c r="AI657" s="138"/>
      <c r="AJ657" s="138" t="s">
        <v>56</v>
      </c>
      <c r="AK657" s="138" t="s">
        <v>1527</v>
      </c>
      <c r="AL657" s="222"/>
    </row>
    <row r="658" spans="1:39" s="200" customFormat="1" ht="74.25" customHeight="1" x14ac:dyDescent="0.25">
      <c r="A658" s="14">
        <v>45866</v>
      </c>
      <c r="B658" s="41" t="s">
        <v>5192</v>
      </c>
      <c r="C658" s="41" t="s">
        <v>5193</v>
      </c>
      <c r="D658" s="41" t="s">
        <v>5194</v>
      </c>
      <c r="E658" s="42" t="s">
        <v>39</v>
      </c>
      <c r="F658" s="43"/>
      <c r="G658" s="43"/>
      <c r="H658" s="321">
        <v>1</v>
      </c>
      <c r="I658" s="245" t="s">
        <v>5195</v>
      </c>
      <c r="J658" s="45">
        <v>50</v>
      </c>
      <c r="K658" s="46" t="s">
        <v>5196</v>
      </c>
      <c r="L658" s="47" t="s">
        <v>63</v>
      </c>
      <c r="M658" s="73" t="s">
        <v>42</v>
      </c>
      <c r="N658" s="77" t="s">
        <v>5197</v>
      </c>
      <c r="O658" s="49" t="s">
        <v>5198</v>
      </c>
      <c r="P658" s="49" t="s">
        <v>5199</v>
      </c>
      <c r="Q658" s="49" t="s">
        <v>5188</v>
      </c>
      <c r="R658" s="50">
        <v>53</v>
      </c>
      <c r="S658" s="50">
        <v>184</v>
      </c>
      <c r="T658" s="51" t="s">
        <v>47</v>
      </c>
      <c r="U658" s="51">
        <v>3</v>
      </c>
      <c r="V658" s="52">
        <f t="shared" si="18"/>
        <v>150</v>
      </c>
      <c r="W658" s="51" t="s">
        <v>350</v>
      </c>
      <c r="X658" s="198" t="s">
        <v>2384</v>
      </c>
      <c r="Y658" s="199" t="s">
        <v>50</v>
      </c>
      <c r="Z658" s="169"/>
      <c r="AA658" s="170" t="s">
        <v>5200</v>
      </c>
      <c r="AB658" s="243" t="s">
        <v>4813</v>
      </c>
      <c r="AC658" s="172">
        <v>5177.5</v>
      </c>
      <c r="AE658" s="138" t="s">
        <v>4867</v>
      </c>
      <c r="AF658" s="138"/>
      <c r="AG658" s="138" t="s">
        <v>56</v>
      </c>
      <c r="AH658" s="137" t="s">
        <v>56</v>
      </c>
      <c r="AI658" s="138"/>
      <c r="AJ658" s="138"/>
      <c r="AK658" s="138"/>
      <c r="AL658" s="222"/>
    </row>
    <row r="659" spans="1:39" s="200" customFormat="1" ht="129.75" customHeight="1" x14ac:dyDescent="0.25">
      <c r="A659" s="14">
        <v>45866</v>
      </c>
      <c r="B659" s="41" t="s">
        <v>5201</v>
      </c>
      <c r="C659" s="41" t="s">
        <v>5202</v>
      </c>
      <c r="D659" s="41" t="s">
        <v>5203</v>
      </c>
      <c r="E659" s="42" t="s">
        <v>39</v>
      </c>
      <c r="F659" s="321">
        <v>1</v>
      </c>
      <c r="G659" s="43"/>
      <c r="H659" s="43"/>
      <c r="I659" s="245" t="s">
        <v>5204</v>
      </c>
      <c r="J659" s="45">
        <v>36</v>
      </c>
      <c r="K659" s="46" t="s">
        <v>5205</v>
      </c>
      <c r="L659" s="47" t="s">
        <v>63</v>
      </c>
      <c r="M659" s="73" t="s">
        <v>42</v>
      </c>
      <c r="N659" s="77" t="s">
        <v>5206</v>
      </c>
      <c r="O659" s="49"/>
      <c r="P659" s="49" t="s">
        <v>5207</v>
      </c>
      <c r="Q659" s="49" t="s">
        <v>5180</v>
      </c>
      <c r="R659" s="50">
        <v>33</v>
      </c>
      <c r="S659" s="50">
        <v>167</v>
      </c>
      <c r="T659" s="51" t="s">
        <v>96</v>
      </c>
      <c r="U659" s="51">
        <v>5</v>
      </c>
      <c r="V659" s="52">
        <f t="shared" si="18"/>
        <v>180</v>
      </c>
      <c r="W659" s="51" t="s">
        <v>5208</v>
      </c>
      <c r="X659" s="198" t="s">
        <v>1982</v>
      </c>
      <c r="Y659" s="199" t="s">
        <v>82</v>
      </c>
      <c r="Z659" s="169"/>
      <c r="AA659" s="170" t="s">
        <v>5200</v>
      </c>
      <c r="AB659" s="243" t="s">
        <v>4813</v>
      </c>
      <c r="AC659" s="172">
        <f>5022+2900</f>
        <v>7922</v>
      </c>
      <c r="AE659" s="138" t="s">
        <v>4867</v>
      </c>
      <c r="AF659" s="138"/>
      <c r="AG659" s="138" t="s">
        <v>56</v>
      </c>
      <c r="AH659" s="137" t="s">
        <v>56</v>
      </c>
      <c r="AI659" s="138"/>
      <c r="AJ659" s="138" t="s">
        <v>5209</v>
      </c>
      <c r="AK659" s="138" t="s">
        <v>5210</v>
      </c>
      <c r="AL659" s="222"/>
    </row>
    <row r="660" spans="1:39" ht="285" x14ac:dyDescent="0.25">
      <c r="A660" s="14">
        <v>45866</v>
      </c>
      <c r="B660" s="41" t="s">
        <v>5211</v>
      </c>
      <c r="C660" s="41" t="s">
        <v>5212</v>
      </c>
      <c r="D660" s="41" t="s">
        <v>5213</v>
      </c>
      <c r="E660" s="42" t="s">
        <v>39</v>
      </c>
      <c r="F660" s="43"/>
      <c r="G660" s="43"/>
      <c r="H660" s="19" t="s">
        <v>5214</v>
      </c>
      <c r="I660" s="245" t="s">
        <v>9894</v>
      </c>
      <c r="J660" s="45">
        <v>38</v>
      </c>
      <c r="K660" s="46" t="s">
        <v>9982</v>
      </c>
      <c r="L660" s="277" t="s">
        <v>63</v>
      </c>
      <c r="M660" s="73" t="s">
        <v>42</v>
      </c>
      <c r="N660" s="77" t="s">
        <v>5215</v>
      </c>
      <c r="O660" s="49" t="s">
        <v>5216</v>
      </c>
      <c r="P660" s="49" t="s">
        <v>5217</v>
      </c>
      <c r="Q660" s="49" t="s">
        <v>5218</v>
      </c>
      <c r="R660" s="92">
        <v>172</v>
      </c>
      <c r="S660" s="50">
        <v>689</v>
      </c>
      <c r="T660" s="51" t="s">
        <v>141</v>
      </c>
      <c r="U660" s="51">
        <v>25</v>
      </c>
      <c r="V660" s="75">
        <f t="shared" si="18"/>
        <v>950</v>
      </c>
      <c r="W660" s="51" t="s">
        <v>221</v>
      </c>
      <c r="X660" s="202" t="s">
        <v>1189</v>
      </c>
      <c r="Y660" s="360" t="s">
        <v>144</v>
      </c>
      <c r="Z660" s="169" t="s">
        <v>5104</v>
      </c>
      <c r="AA660" s="170" t="s">
        <v>4693</v>
      </c>
      <c r="AB660" s="243" t="s">
        <v>3854</v>
      </c>
      <c r="AC660" s="172">
        <v>12487.18</v>
      </c>
      <c r="AE660" s="137" t="s">
        <v>4004</v>
      </c>
      <c r="AF660" s="138" t="s">
        <v>354</v>
      </c>
      <c r="AG660" s="138" t="s">
        <v>56</v>
      </c>
      <c r="AH660" s="138" t="s">
        <v>56</v>
      </c>
      <c r="AI660" s="138"/>
      <c r="AJ660" s="138" t="s">
        <v>5219</v>
      </c>
      <c r="AK660" s="138" t="s">
        <v>1527</v>
      </c>
      <c r="AL660" s="222"/>
    </row>
    <row r="661" spans="1:39" s="200" customFormat="1" ht="195" x14ac:dyDescent="0.25">
      <c r="A661" s="14">
        <v>45866</v>
      </c>
      <c r="B661" s="41" t="s">
        <v>5220</v>
      </c>
      <c r="C661" s="41" t="s">
        <v>5212</v>
      </c>
      <c r="D661" s="41" t="s">
        <v>5221</v>
      </c>
      <c r="E661" s="42" t="s">
        <v>39</v>
      </c>
      <c r="F661" s="19">
        <v>1</v>
      </c>
      <c r="G661" s="43"/>
      <c r="H661" s="43"/>
      <c r="I661" s="245" t="s">
        <v>9895</v>
      </c>
      <c r="J661" s="45">
        <v>43</v>
      </c>
      <c r="K661" s="46" t="s">
        <v>9928</v>
      </c>
      <c r="L661" s="47" t="s">
        <v>41</v>
      </c>
      <c r="M661" s="73" t="s">
        <v>42</v>
      </c>
      <c r="N661" s="77" t="s">
        <v>5222</v>
      </c>
      <c r="O661" s="49" t="s">
        <v>5223</v>
      </c>
      <c r="P661" s="49" t="s">
        <v>5224</v>
      </c>
      <c r="Q661" s="49" t="s">
        <v>5225</v>
      </c>
      <c r="R661" s="50">
        <v>76</v>
      </c>
      <c r="S661" s="50">
        <v>882</v>
      </c>
      <c r="T661" s="51" t="s">
        <v>47</v>
      </c>
      <c r="U661" s="51">
        <v>5</v>
      </c>
      <c r="V661" s="52">
        <f t="shared" si="18"/>
        <v>215</v>
      </c>
      <c r="W661" s="51" t="s">
        <v>221</v>
      </c>
      <c r="X661" s="202" t="s">
        <v>1189</v>
      </c>
      <c r="Y661" s="263" t="s">
        <v>144</v>
      </c>
      <c r="Z661" s="169"/>
      <c r="AA661" s="170" t="s">
        <v>4693</v>
      </c>
      <c r="AB661" s="243" t="s">
        <v>3854</v>
      </c>
      <c r="AC661" s="172">
        <v>10653.68</v>
      </c>
      <c r="AE661" s="137" t="s">
        <v>4004</v>
      </c>
      <c r="AF661" s="138"/>
      <c r="AG661" s="138" t="s">
        <v>56</v>
      </c>
      <c r="AH661" s="138" t="s">
        <v>56</v>
      </c>
      <c r="AI661" s="138"/>
      <c r="AJ661" s="138" t="s">
        <v>5226</v>
      </c>
      <c r="AK661" s="138" t="s">
        <v>1527</v>
      </c>
      <c r="AL661" s="222"/>
      <c r="AM661"/>
    </row>
    <row r="662" spans="1:39" ht="180" x14ac:dyDescent="0.25">
      <c r="A662" s="14">
        <v>45866</v>
      </c>
      <c r="B662" s="41" t="s">
        <v>5227</v>
      </c>
      <c r="C662" s="41" t="s">
        <v>5212</v>
      </c>
      <c r="D662" s="41" t="s">
        <v>5228</v>
      </c>
      <c r="E662" s="42" t="s">
        <v>39</v>
      </c>
      <c r="F662" s="43"/>
      <c r="G662" s="43"/>
      <c r="H662" s="19">
        <v>4</v>
      </c>
      <c r="I662" s="245" t="s">
        <v>9896</v>
      </c>
      <c r="J662" s="45">
        <v>11</v>
      </c>
      <c r="K662" s="46" t="s">
        <v>9983</v>
      </c>
      <c r="L662" s="47" t="s">
        <v>63</v>
      </c>
      <c r="M662" s="73" t="s">
        <v>42</v>
      </c>
      <c r="N662" s="77" t="s">
        <v>5229</v>
      </c>
      <c r="O662" s="49" t="s">
        <v>5230</v>
      </c>
      <c r="P662" s="49"/>
      <c r="Q662" s="49" t="s">
        <v>5231</v>
      </c>
      <c r="R662" s="50">
        <v>68</v>
      </c>
      <c r="S662" s="50">
        <v>464</v>
      </c>
      <c r="T662" s="51" t="s">
        <v>180</v>
      </c>
      <c r="U662" s="51">
        <v>8</v>
      </c>
      <c r="V662" s="52">
        <f t="shared" si="18"/>
        <v>88</v>
      </c>
      <c r="W662" s="51" t="s">
        <v>221</v>
      </c>
      <c r="X662" s="202" t="s">
        <v>1189</v>
      </c>
      <c r="Y662" s="360" t="s">
        <v>144</v>
      </c>
      <c r="Z662" s="169"/>
      <c r="AA662" s="170" t="s">
        <v>4693</v>
      </c>
      <c r="AB662" s="243" t="s">
        <v>3854</v>
      </c>
      <c r="AC662" s="172">
        <v>2560.36</v>
      </c>
      <c r="AE662" s="137" t="s">
        <v>4004</v>
      </c>
      <c r="AF662" s="138"/>
      <c r="AG662" s="138" t="s">
        <v>56</v>
      </c>
      <c r="AH662" s="138" t="s">
        <v>56</v>
      </c>
      <c r="AI662" s="138"/>
      <c r="AJ662" s="138" t="s">
        <v>5232</v>
      </c>
      <c r="AK662" s="138" t="s">
        <v>1527</v>
      </c>
      <c r="AL662" s="222"/>
    </row>
    <row r="663" spans="1:39" ht="243.75" x14ac:dyDescent="0.25">
      <c r="A663" s="14">
        <v>45863</v>
      </c>
      <c r="B663" s="41" t="s">
        <v>5173</v>
      </c>
      <c r="C663" s="41" t="s">
        <v>5233</v>
      </c>
      <c r="D663" s="41" t="s">
        <v>5234</v>
      </c>
      <c r="E663" s="42" t="s">
        <v>1379</v>
      </c>
      <c r="F663" s="43"/>
      <c r="G663" s="43"/>
      <c r="H663" s="321">
        <v>1</v>
      </c>
      <c r="I663" s="245" t="s">
        <v>9897</v>
      </c>
      <c r="J663" s="45">
        <v>3</v>
      </c>
      <c r="K663" s="46" t="s">
        <v>5235</v>
      </c>
      <c r="L663" s="47" t="s">
        <v>63</v>
      </c>
      <c r="M663" s="73" t="s">
        <v>42</v>
      </c>
      <c r="N663" s="77" t="s">
        <v>5236</v>
      </c>
      <c r="O663" s="49" t="s">
        <v>5237</v>
      </c>
      <c r="P663" s="49" t="s">
        <v>5238</v>
      </c>
      <c r="Q663" s="49" t="s">
        <v>5239</v>
      </c>
      <c r="R663" s="50">
        <v>105</v>
      </c>
      <c r="S663" s="50">
        <v>588</v>
      </c>
      <c r="T663" s="51" t="s">
        <v>141</v>
      </c>
      <c r="U663" s="51">
        <v>11</v>
      </c>
      <c r="V663" s="52">
        <f t="shared" si="18"/>
        <v>33</v>
      </c>
      <c r="W663" s="51" t="s">
        <v>221</v>
      </c>
      <c r="X663" s="198" t="s">
        <v>232</v>
      </c>
      <c r="Y663" s="199" t="s">
        <v>50</v>
      </c>
      <c r="Z663" s="169" t="s">
        <v>5240</v>
      </c>
      <c r="AA663" s="170" t="s">
        <v>646</v>
      </c>
      <c r="AB663" s="243" t="s">
        <v>4896</v>
      </c>
      <c r="AC663" s="172">
        <v>5922.45</v>
      </c>
      <c r="AE663" s="222" t="s">
        <v>5241</v>
      </c>
      <c r="AF663" s="138"/>
      <c r="AG663" s="138" t="s">
        <v>56</v>
      </c>
      <c r="AH663" s="138" t="s">
        <v>56</v>
      </c>
      <c r="AI663" s="138"/>
      <c r="AJ663" s="138" t="s">
        <v>56</v>
      </c>
      <c r="AK663" s="138" t="s">
        <v>1527</v>
      </c>
      <c r="AL663" s="222"/>
    </row>
    <row r="664" spans="1:39" ht="51.75" customHeight="1" x14ac:dyDescent="0.25">
      <c r="A664" s="14">
        <v>45863</v>
      </c>
      <c r="B664" s="41" t="s">
        <v>5242</v>
      </c>
      <c r="C664" s="41" t="s">
        <v>5243</v>
      </c>
      <c r="D664" s="41"/>
      <c r="E664" s="42" t="s">
        <v>39</v>
      </c>
      <c r="F664" s="321">
        <v>1</v>
      </c>
      <c r="G664" s="43"/>
      <c r="H664" s="43"/>
      <c r="I664" s="245" t="s">
        <v>5244</v>
      </c>
      <c r="J664" s="45">
        <v>20</v>
      </c>
      <c r="K664" s="46" t="s">
        <v>5235</v>
      </c>
      <c r="L664" s="47" t="s">
        <v>63</v>
      </c>
      <c r="M664" s="73" t="s">
        <v>42</v>
      </c>
      <c r="N664" s="77" t="s">
        <v>5245</v>
      </c>
      <c r="O664" s="49" t="s">
        <v>5238</v>
      </c>
      <c r="P664" s="49" t="s">
        <v>5178</v>
      </c>
      <c r="Q664" s="49" t="s">
        <v>5246</v>
      </c>
      <c r="R664" s="50">
        <v>72</v>
      </c>
      <c r="S664" s="50">
        <v>639</v>
      </c>
      <c r="T664" s="51" t="s">
        <v>47</v>
      </c>
      <c r="U664" s="51">
        <v>3</v>
      </c>
      <c r="V664" s="52">
        <f t="shared" si="18"/>
        <v>60</v>
      </c>
      <c r="W664" s="51" t="s">
        <v>350</v>
      </c>
      <c r="X664" s="198" t="s">
        <v>5247</v>
      </c>
      <c r="Y664" s="168" t="s">
        <v>2880</v>
      </c>
      <c r="Z664" s="169"/>
      <c r="AA664" s="170" t="s">
        <v>646</v>
      </c>
      <c r="AB664" s="243" t="s">
        <v>2826</v>
      </c>
      <c r="AC664" s="172">
        <v>4586</v>
      </c>
      <c r="AE664" s="137" t="s">
        <v>4004</v>
      </c>
      <c r="AF664" s="138"/>
      <c r="AG664" s="138" t="s">
        <v>56</v>
      </c>
      <c r="AH664" s="138" t="s">
        <v>56</v>
      </c>
      <c r="AI664" s="138"/>
      <c r="AJ664" s="138" t="s">
        <v>56</v>
      </c>
      <c r="AK664" s="138" t="s">
        <v>2284</v>
      </c>
      <c r="AL664" s="222"/>
    </row>
    <row r="665" spans="1:39" ht="183" x14ac:dyDescent="0.25">
      <c r="A665" s="14">
        <v>45863</v>
      </c>
      <c r="B665" s="41" t="s">
        <v>5085</v>
      </c>
      <c r="C665" s="41" t="s">
        <v>5086</v>
      </c>
      <c r="D665" s="41" t="s">
        <v>5087</v>
      </c>
      <c r="E665" s="42" t="s">
        <v>39</v>
      </c>
      <c r="F665" s="321">
        <v>1</v>
      </c>
      <c r="G665" s="43"/>
      <c r="H665" s="43"/>
      <c r="I665" s="245" t="s">
        <v>5248</v>
      </c>
      <c r="J665" s="45">
        <v>70</v>
      </c>
      <c r="K665" s="46" t="s">
        <v>5235</v>
      </c>
      <c r="L665" s="47" t="s">
        <v>63</v>
      </c>
      <c r="M665" s="73" t="s">
        <v>42</v>
      </c>
      <c r="N665" s="77" t="s">
        <v>5090</v>
      </c>
      <c r="O665" s="49" t="s">
        <v>5153</v>
      </c>
      <c r="P665" s="49" t="s">
        <v>5249</v>
      </c>
      <c r="Q665" s="49" t="s">
        <v>5250</v>
      </c>
      <c r="R665" s="50">
        <v>138</v>
      </c>
      <c r="S665" s="50">
        <v>615</v>
      </c>
      <c r="T665" s="51" t="s">
        <v>180</v>
      </c>
      <c r="U665" s="51">
        <v>1</v>
      </c>
      <c r="V665" s="52">
        <f t="shared" si="18"/>
        <v>70</v>
      </c>
      <c r="W665" s="51" t="s">
        <v>4184</v>
      </c>
      <c r="X665" s="202" t="s">
        <v>538</v>
      </c>
      <c r="Y665" s="199" t="s">
        <v>3963</v>
      </c>
      <c r="Z665" s="399" t="s">
        <v>5094</v>
      </c>
      <c r="AA665" s="170" t="s">
        <v>3974</v>
      </c>
      <c r="AB665" s="243" t="s">
        <v>4186</v>
      </c>
      <c r="AC665" s="35">
        <f>17220+1250</f>
        <v>18470</v>
      </c>
      <c r="AD665" s="200"/>
      <c r="AE665" s="137" t="s">
        <v>4004</v>
      </c>
      <c r="AF665" s="138"/>
      <c r="AG665" s="138" t="s">
        <v>56</v>
      </c>
      <c r="AH665" s="137" t="s">
        <v>4188</v>
      </c>
      <c r="AI665" s="138"/>
      <c r="AJ665" s="138"/>
      <c r="AK665" s="138"/>
      <c r="AL665" s="222"/>
    </row>
    <row r="666" spans="1:39" s="200" customFormat="1" ht="36" customHeight="1" x14ac:dyDescent="0.25">
      <c r="A666" s="14">
        <v>45863</v>
      </c>
      <c r="B666" s="41" t="s">
        <v>5251</v>
      </c>
      <c r="C666" s="41" t="s">
        <v>5252</v>
      </c>
      <c r="D666" s="41"/>
      <c r="E666" s="51" t="s">
        <v>39</v>
      </c>
      <c r="F666" s="321">
        <v>1</v>
      </c>
      <c r="G666" s="43"/>
      <c r="H666" s="43"/>
      <c r="I666" s="245" t="s">
        <v>5253</v>
      </c>
      <c r="J666" s="45">
        <v>7</v>
      </c>
      <c r="K666" s="46" t="s">
        <v>9929</v>
      </c>
      <c r="L666" s="277" t="s">
        <v>63</v>
      </c>
      <c r="M666" s="73" t="s">
        <v>42</v>
      </c>
      <c r="N666" s="77" t="s">
        <v>5254</v>
      </c>
      <c r="O666" s="49" t="s">
        <v>5255</v>
      </c>
      <c r="P666" s="49" t="s">
        <v>5256</v>
      </c>
      <c r="Q666" s="49" t="s">
        <v>3861</v>
      </c>
      <c r="R666" s="50">
        <v>99</v>
      </c>
      <c r="S666" s="50">
        <v>562</v>
      </c>
      <c r="T666" s="51" t="s">
        <v>180</v>
      </c>
      <c r="U666" s="51">
        <v>19</v>
      </c>
      <c r="V666" s="52">
        <f t="shared" si="18"/>
        <v>133</v>
      </c>
      <c r="W666" s="51" t="s">
        <v>68</v>
      </c>
      <c r="X666" s="198" t="s">
        <v>5257</v>
      </c>
      <c r="Y666" s="263" t="s">
        <v>144</v>
      </c>
      <c r="Z666" s="169"/>
      <c r="AA666" s="170" t="s">
        <v>5258</v>
      </c>
      <c r="AB666" s="243" t="s">
        <v>5065</v>
      </c>
      <c r="AC666" s="172">
        <v>7515.68</v>
      </c>
      <c r="AE666" s="137" t="s">
        <v>4004</v>
      </c>
      <c r="AF666" s="138" t="s">
        <v>354</v>
      </c>
      <c r="AG666" s="138" t="s">
        <v>56</v>
      </c>
      <c r="AH666" s="138" t="s">
        <v>56</v>
      </c>
      <c r="AI666" s="138"/>
      <c r="AJ666" s="138"/>
      <c r="AK666" s="138"/>
      <c r="AL666" s="222"/>
    </row>
    <row r="667" spans="1:39" ht="237.75" customHeight="1" x14ac:dyDescent="0.25">
      <c r="A667" s="14">
        <v>45863</v>
      </c>
      <c r="B667" s="41" t="s">
        <v>5173</v>
      </c>
      <c r="C667" s="41" t="s">
        <v>5174</v>
      </c>
      <c r="D667" s="41" t="s">
        <v>5259</v>
      </c>
      <c r="E667" s="42" t="s">
        <v>39</v>
      </c>
      <c r="F667" s="43"/>
      <c r="G667" s="43"/>
      <c r="H667" s="321">
        <v>1</v>
      </c>
      <c r="I667" s="245" t="s">
        <v>5260</v>
      </c>
      <c r="J667" s="45">
        <v>7</v>
      </c>
      <c r="K667" s="46" t="s">
        <v>5235</v>
      </c>
      <c r="L667" s="47" t="s">
        <v>63</v>
      </c>
      <c r="M667" s="73" t="s">
        <v>42</v>
      </c>
      <c r="N667" s="401" t="s">
        <v>5177</v>
      </c>
      <c r="O667" s="49" t="s">
        <v>5178</v>
      </c>
      <c r="P667" s="49" t="s">
        <v>5179</v>
      </c>
      <c r="Q667" s="49" t="s">
        <v>5180</v>
      </c>
      <c r="R667" s="50">
        <v>75</v>
      </c>
      <c r="S667" s="92">
        <v>1102</v>
      </c>
      <c r="T667" s="51" t="s">
        <v>47</v>
      </c>
      <c r="U667" s="51">
        <v>29</v>
      </c>
      <c r="V667" s="52">
        <f t="shared" si="18"/>
        <v>203</v>
      </c>
      <c r="W667" s="51" t="s">
        <v>350</v>
      </c>
      <c r="X667" s="198" t="s">
        <v>934</v>
      </c>
      <c r="Y667" s="199" t="s">
        <v>82</v>
      </c>
      <c r="Z667" s="399" t="s">
        <v>5094</v>
      </c>
      <c r="AA667" s="170" t="s">
        <v>352</v>
      </c>
      <c r="AB667" s="243" t="s">
        <v>4896</v>
      </c>
      <c r="AC667" s="35">
        <f>8984.24*J667/8</f>
        <v>7861.21</v>
      </c>
      <c r="AE667" s="137" t="s">
        <v>4004</v>
      </c>
      <c r="AF667" s="138" t="s">
        <v>354</v>
      </c>
      <c r="AG667" s="138" t="s">
        <v>56</v>
      </c>
      <c r="AH667" s="138" t="s">
        <v>56</v>
      </c>
      <c r="AI667" s="138"/>
      <c r="AJ667" s="137" t="s">
        <v>5181</v>
      </c>
      <c r="AK667" s="138" t="s">
        <v>1527</v>
      </c>
      <c r="AL667" s="222"/>
    </row>
    <row r="668" spans="1:39" s="200" customFormat="1" ht="45" customHeight="1" x14ac:dyDescent="0.25">
      <c r="A668" s="14">
        <v>45863</v>
      </c>
      <c r="B668" s="164" t="s">
        <v>5261</v>
      </c>
      <c r="C668" s="41" t="s">
        <v>5262</v>
      </c>
      <c r="D668" s="41"/>
      <c r="E668" s="42" t="s">
        <v>39</v>
      </c>
      <c r="F668" s="43"/>
      <c r="G668" s="43"/>
      <c r="H668" s="321">
        <v>1</v>
      </c>
      <c r="I668" s="245" t="s">
        <v>5263</v>
      </c>
      <c r="J668" s="45">
        <v>110</v>
      </c>
      <c r="K668" s="46" t="s">
        <v>5264</v>
      </c>
      <c r="L668" s="47" t="s">
        <v>63</v>
      </c>
      <c r="M668" s="42" t="s">
        <v>55</v>
      </c>
      <c r="N668" s="77" t="s">
        <v>5265</v>
      </c>
      <c r="O668" s="49"/>
      <c r="P668" s="49" t="s">
        <v>5266</v>
      </c>
      <c r="Q668" s="49" t="s">
        <v>5267</v>
      </c>
      <c r="R668" s="50">
        <v>4</v>
      </c>
      <c r="S668" s="50">
        <v>5</v>
      </c>
      <c r="T668" s="51" t="s">
        <v>96</v>
      </c>
      <c r="U668" s="51">
        <v>7</v>
      </c>
      <c r="V668" s="75">
        <f t="shared" si="18"/>
        <v>770</v>
      </c>
      <c r="W668" s="51" t="s">
        <v>350</v>
      </c>
      <c r="X668" s="198" t="s">
        <v>5268</v>
      </c>
      <c r="Y668" s="199" t="s">
        <v>50</v>
      </c>
      <c r="Z668" s="169"/>
      <c r="AA668" s="170" t="s">
        <v>3437</v>
      </c>
      <c r="AB668" s="243" t="s">
        <v>5075</v>
      </c>
      <c r="AC668" s="172">
        <v>3952</v>
      </c>
      <c r="AE668" s="138" t="s">
        <v>4867</v>
      </c>
      <c r="AF668" s="138"/>
      <c r="AG668" s="138" t="s">
        <v>56</v>
      </c>
      <c r="AH668" s="138" t="s">
        <v>86</v>
      </c>
      <c r="AI668" s="138"/>
      <c r="AJ668" s="138"/>
      <c r="AK668" s="138"/>
      <c r="AL668" s="222"/>
    </row>
    <row r="669" spans="1:39" s="200" customFormat="1" ht="51.75" customHeight="1" x14ac:dyDescent="0.25">
      <c r="A669" s="14">
        <v>45863</v>
      </c>
      <c r="B669" s="41" t="s">
        <v>5269</v>
      </c>
      <c r="C669" s="41" t="s">
        <v>5270</v>
      </c>
      <c r="D669" s="41" t="s">
        <v>5271</v>
      </c>
      <c r="E669" s="42" t="s">
        <v>39</v>
      </c>
      <c r="F669" s="43"/>
      <c r="G669" s="43"/>
      <c r="H669" s="321">
        <v>1</v>
      </c>
      <c r="I669" s="245" t="s">
        <v>5272</v>
      </c>
      <c r="J669" s="45">
        <v>180</v>
      </c>
      <c r="K669" s="46" t="s">
        <v>5264</v>
      </c>
      <c r="L669" s="47" t="s">
        <v>63</v>
      </c>
      <c r="M669" s="73" t="s">
        <v>42</v>
      </c>
      <c r="N669" s="77" t="s">
        <v>5273</v>
      </c>
      <c r="O669" s="49"/>
      <c r="P669" s="49" t="s">
        <v>5274</v>
      </c>
      <c r="Q669" s="49" t="s">
        <v>5275</v>
      </c>
      <c r="R669" s="50">
        <v>50</v>
      </c>
      <c r="S669" s="50">
        <v>223</v>
      </c>
      <c r="T669" s="51" t="s">
        <v>67</v>
      </c>
      <c r="U669" s="51">
        <v>14</v>
      </c>
      <c r="V669" s="75">
        <f t="shared" si="18"/>
        <v>2520</v>
      </c>
      <c r="W669" s="51" t="s">
        <v>350</v>
      </c>
      <c r="X669" s="198" t="s">
        <v>5276</v>
      </c>
      <c r="Y669" s="199" t="s">
        <v>82</v>
      </c>
      <c r="Z669" s="169"/>
      <c r="AA669" s="170" t="s">
        <v>352</v>
      </c>
      <c r="AB669" s="243" t="s">
        <v>3865</v>
      </c>
      <c r="AC669" s="172">
        <v>15382.2</v>
      </c>
      <c r="AE669" s="138" t="s">
        <v>4867</v>
      </c>
      <c r="AF669" s="138"/>
      <c r="AG669" s="138" t="s">
        <v>56</v>
      </c>
      <c r="AH669" s="138" t="s">
        <v>56</v>
      </c>
      <c r="AI669" s="138"/>
      <c r="AJ669" s="138" t="s">
        <v>5277</v>
      </c>
      <c r="AK669" s="138" t="s">
        <v>5278</v>
      </c>
      <c r="AL669" s="138"/>
    </row>
    <row r="670" spans="1:39" s="200" customFormat="1" ht="113.25" customHeight="1" x14ac:dyDescent="0.25">
      <c r="A670" s="14">
        <v>45862</v>
      </c>
      <c r="B670" s="164" t="s">
        <v>5279</v>
      </c>
      <c r="C670" s="41" t="s">
        <v>5280</v>
      </c>
      <c r="D670" s="204" t="s">
        <v>5281</v>
      </c>
      <c r="E670" s="42" t="s">
        <v>39</v>
      </c>
      <c r="F670" s="43"/>
      <c r="G670" s="43"/>
      <c r="H670" s="321">
        <v>1</v>
      </c>
      <c r="I670" s="245" t="s">
        <v>5282</v>
      </c>
      <c r="J670" s="45">
        <v>1600</v>
      </c>
      <c r="K670" s="46" t="s">
        <v>5283</v>
      </c>
      <c r="L670" s="47" t="s">
        <v>63</v>
      </c>
      <c r="M670" s="42" t="s">
        <v>55</v>
      </c>
      <c r="N670" s="77" t="s">
        <v>5284</v>
      </c>
      <c r="O670" s="49"/>
      <c r="P670" s="49" t="s">
        <v>5285</v>
      </c>
      <c r="Q670" s="49" t="s">
        <v>5286</v>
      </c>
      <c r="R670" s="50">
        <v>6</v>
      </c>
      <c r="S670" s="50">
        <v>8</v>
      </c>
      <c r="T670" s="51" t="s">
        <v>96</v>
      </c>
      <c r="U670" s="51">
        <v>0</v>
      </c>
      <c r="V670" s="52">
        <f t="shared" si="18"/>
        <v>0</v>
      </c>
      <c r="W670" s="51" t="s">
        <v>350</v>
      </c>
      <c r="X670" s="198" t="s">
        <v>2234</v>
      </c>
      <c r="Y670" s="263" t="s">
        <v>144</v>
      </c>
      <c r="Z670" s="269"/>
      <c r="AA670" s="170" t="s">
        <v>3437</v>
      </c>
      <c r="AB670" s="243" t="s">
        <v>4680</v>
      </c>
      <c r="AC670" s="172">
        <v>7784</v>
      </c>
      <c r="AE670" s="137" t="s">
        <v>5287</v>
      </c>
      <c r="AF670" s="138" t="s">
        <v>354</v>
      </c>
      <c r="AG670" s="138" t="s">
        <v>56</v>
      </c>
      <c r="AH670" s="138" t="s">
        <v>86</v>
      </c>
      <c r="AI670" s="138"/>
      <c r="AJ670" s="138"/>
      <c r="AK670" s="138"/>
      <c r="AL670" s="222"/>
    </row>
    <row r="671" spans="1:39" ht="120" x14ac:dyDescent="0.25">
      <c r="A671" s="14">
        <v>45862</v>
      </c>
      <c r="B671" s="41" t="s">
        <v>5288</v>
      </c>
      <c r="C671" s="41" t="s">
        <v>5212</v>
      </c>
      <c r="D671" s="41" t="s">
        <v>5289</v>
      </c>
      <c r="E671" s="42" t="s">
        <v>39</v>
      </c>
      <c r="F671" s="19">
        <v>1</v>
      </c>
      <c r="G671" s="43"/>
      <c r="H671" s="43"/>
      <c r="I671" s="245" t="s">
        <v>9898</v>
      </c>
      <c r="J671" s="45">
        <v>960</v>
      </c>
      <c r="K671" s="46" t="s">
        <v>9930</v>
      </c>
      <c r="L671" s="47" t="s">
        <v>63</v>
      </c>
      <c r="M671" s="73" t="s">
        <v>42</v>
      </c>
      <c r="N671" s="77" t="s">
        <v>5290</v>
      </c>
      <c r="O671" s="49"/>
      <c r="P671" s="49" t="s">
        <v>5291</v>
      </c>
      <c r="Q671" s="49" t="s">
        <v>5292</v>
      </c>
      <c r="R671" s="50">
        <v>49</v>
      </c>
      <c r="S671" s="50">
        <v>99</v>
      </c>
      <c r="T671" s="51" t="s">
        <v>67</v>
      </c>
      <c r="U671" s="51">
        <v>5</v>
      </c>
      <c r="V671" s="75">
        <f t="shared" si="18"/>
        <v>4800</v>
      </c>
      <c r="W671" s="51" t="s">
        <v>142</v>
      </c>
      <c r="X671" s="198" t="s">
        <v>4692</v>
      </c>
      <c r="Y671" s="168" t="s">
        <v>82</v>
      </c>
      <c r="Z671" s="169"/>
      <c r="AA671" s="170" t="s">
        <v>4693</v>
      </c>
      <c r="AB671" s="243" t="s">
        <v>3854</v>
      </c>
      <c r="AC671" s="172">
        <v>22550.400000000001</v>
      </c>
      <c r="AE671" s="137" t="s">
        <v>5293</v>
      </c>
      <c r="AF671" s="402"/>
      <c r="AG671" s="138" t="s">
        <v>56</v>
      </c>
      <c r="AH671" s="138" t="s">
        <v>56</v>
      </c>
      <c r="AI671" s="402"/>
      <c r="AJ671" s="138" t="s">
        <v>5294</v>
      </c>
      <c r="AK671" s="138" t="s">
        <v>5295</v>
      </c>
      <c r="AL671" s="402"/>
    </row>
    <row r="672" spans="1:39" s="200" customFormat="1" ht="72" customHeight="1" x14ac:dyDescent="0.25">
      <c r="A672" s="14">
        <v>45861</v>
      </c>
      <c r="B672" s="403" t="s">
        <v>5296</v>
      </c>
      <c r="C672" s="403" t="s">
        <v>5297</v>
      </c>
      <c r="D672" s="403" t="s">
        <v>5298</v>
      </c>
      <c r="E672" s="404" t="s">
        <v>39</v>
      </c>
      <c r="F672" s="405"/>
      <c r="G672" s="405"/>
      <c r="H672" s="321">
        <v>1</v>
      </c>
      <c r="I672" s="245" t="s">
        <v>5299</v>
      </c>
      <c r="J672" s="406">
        <v>15</v>
      </c>
      <c r="K672" s="407" t="s">
        <v>5300</v>
      </c>
      <c r="L672" s="408" t="s">
        <v>63</v>
      </c>
      <c r="M672" s="408" t="s">
        <v>55</v>
      </c>
      <c r="N672" s="334" t="s">
        <v>5301</v>
      </c>
      <c r="O672" s="409" t="s">
        <v>5302</v>
      </c>
      <c r="P672" s="409" t="s">
        <v>5303</v>
      </c>
      <c r="Q672" s="409" t="s">
        <v>5304</v>
      </c>
      <c r="R672" s="410">
        <v>20</v>
      </c>
      <c r="S672" s="410">
        <v>999</v>
      </c>
      <c r="T672" s="404" t="s">
        <v>47</v>
      </c>
      <c r="U672" s="404">
        <v>3</v>
      </c>
      <c r="V672" s="411">
        <f t="shared" si="18"/>
        <v>45</v>
      </c>
      <c r="W672" s="412" t="s">
        <v>350</v>
      </c>
      <c r="X672" s="198" t="s">
        <v>5305</v>
      </c>
      <c r="Y672" s="263" t="s">
        <v>144</v>
      </c>
      <c r="Z672" s="169"/>
      <c r="AA672" s="170" t="s">
        <v>5306</v>
      </c>
      <c r="AB672" s="243" t="s">
        <v>4680</v>
      </c>
      <c r="AC672" s="172">
        <v>8310</v>
      </c>
      <c r="AE672" s="137" t="s">
        <v>4004</v>
      </c>
      <c r="AF672" s="138" t="s">
        <v>354</v>
      </c>
      <c r="AG672" s="138" t="s">
        <v>56</v>
      </c>
      <c r="AH672" s="138" t="s">
        <v>56</v>
      </c>
      <c r="AI672" s="138"/>
      <c r="AJ672" s="138" t="s">
        <v>56</v>
      </c>
      <c r="AK672" s="137" t="s">
        <v>5307</v>
      </c>
      <c r="AL672" s="222"/>
    </row>
    <row r="673" spans="1:39" ht="52.5" customHeight="1" x14ac:dyDescent="0.25">
      <c r="A673" s="413" t="s">
        <v>5308</v>
      </c>
      <c r="B673" s="41" t="s">
        <v>5309</v>
      </c>
      <c r="C673" s="281" t="s">
        <v>5310</v>
      </c>
      <c r="D673" s="414" t="s">
        <v>5311</v>
      </c>
      <c r="E673" s="42" t="s">
        <v>39</v>
      </c>
      <c r="F673" s="43"/>
      <c r="G673" s="43"/>
      <c r="H673" s="19">
        <v>2</v>
      </c>
      <c r="I673" s="245" t="s">
        <v>5312</v>
      </c>
      <c r="J673" s="45">
        <v>30</v>
      </c>
      <c r="K673" s="46" t="s">
        <v>9931</v>
      </c>
      <c r="L673" s="47" t="s">
        <v>63</v>
      </c>
      <c r="M673" s="73" t="s">
        <v>42</v>
      </c>
      <c r="N673" s="152" t="s">
        <v>5313</v>
      </c>
      <c r="O673" s="49" t="s">
        <v>5314</v>
      </c>
      <c r="P673" s="49" t="s">
        <v>5315</v>
      </c>
      <c r="Q673" s="49" t="s">
        <v>5316</v>
      </c>
      <c r="R673" s="50">
        <v>6</v>
      </c>
      <c r="S673" s="50">
        <v>14</v>
      </c>
      <c r="T673" s="51" t="s">
        <v>47</v>
      </c>
      <c r="U673" s="51">
        <v>1</v>
      </c>
      <c r="V673" s="52">
        <f t="shared" si="18"/>
        <v>30</v>
      </c>
      <c r="W673" s="51" t="s">
        <v>142</v>
      </c>
      <c r="X673" s="198" t="s">
        <v>1243</v>
      </c>
      <c r="Y673" s="199" t="s">
        <v>82</v>
      </c>
      <c r="Z673" s="169" t="s">
        <v>5317</v>
      </c>
      <c r="AA673" s="170" t="s">
        <v>3872</v>
      </c>
      <c r="AB673" s="243" t="s">
        <v>5065</v>
      </c>
      <c r="AC673" s="172">
        <v>1917</v>
      </c>
      <c r="AE673" s="255" t="s">
        <v>5318</v>
      </c>
      <c r="AF673" s="138"/>
      <c r="AG673" s="138" t="s">
        <v>56</v>
      </c>
      <c r="AH673" s="138"/>
      <c r="AI673" s="138"/>
      <c r="AJ673" s="138"/>
      <c r="AK673" s="138"/>
      <c r="AL673" s="222"/>
    </row>
    <row r="674" spans="1:39" ht="153" customHeight="1" x14ac:dyDescent="0.25">
      <c r="A674" s="14">
        <v>45860</v>
      </c>
      <c r="B674" s="71" t="s">
        <v>5319</v>
      </c>
      <c r="C674" s="41" t="s">
        <v>3856</v>
      </c>
      <c r="D674" s="273" t="s">
        <v>5320</v>
      </c>
      <c r="E674" s="51" t="s">
        <v>39</v>
      </c>
      <c r="F674" s="321">
        <v>1</v>
      </c>
      <c r="G674" s="43"/>
      <c r="H674" s="43"/>
      <c r="I674" s="245" t="s">
        <v>5321</v>
      </c>
      <c r="J674" s="45">
        <v>50</v>
      </c>
      <c r="K674" s="46" t="s">
        <v>5322</v>
      </c>
      <c r="L674" s="47" t="s">
        <v>63</v>
      </c>
      <c r="M674" s="73" t="s">
        <v>42</v>
      </c>
      <c r="N674" s="77" t="s">
        <v>5323</v>
      </c>
      <c r="O674" s="49" t="s">
        <v>5225</v>
      </c>
      <c r="P674" s="49" t="s">
        <v>5324</v>
      </c>
      <c r="Q674" s="49" t="s">
        <v>5325</v>
      </c>
      <c r="R674" s="92">
        <v>148</v>
      </c>
      <c r="S674" s="50">
        <v>675</v>
      </c>
      <c r="T674" s="51" t="s">
        <v>141</v>
      </c>
      <c r="U674" s="51">
        <v>2</v>
      </c>
      <c r="V674" s="52">
        <f t="shared" si="18"/>
        <v>100</v>
      </c>
      <c r="W674" s="51" t="s">
        <v>350</v>
      </c>
      <c r="X674" s="198" t="s">
        <v>482</v>
      </c>
      <c r="Y674" s="199" t="s">
        <v>50</v>
      </c>
      <c r="Z674" s="169" t="s">
        <v>5104</v>
      </c>
      <c r="AA674" s="170" t="s">
        <v>3864</v>
      </c>
      <c r="AB674" s="243" t="s">
        <v>3865</v>
      </c>
      <c r="AC674" s="35">
        <f>40401.2*J674/188</f>
        <v>10744.999999999998</v>
      </c>
      <c r="AE674" s="138" t="s">
        <v>4867</v>
      </c>
      <c r="AF674" s="138" t="s">
        <v>354</v>
      </c>
      <c r="AG674" s="138" t="s">
        <v>56</v>
      </c>
      <c r="AH674" s="138" t="s">
        <v>56</v>
      </c>
      <c r="AI674" s="138"/>
      <c r="AJ674" s="138" t="s">
        <v>56</v>
      </c>
      <c r="AK674" s="138" t="s">
        <v>2284</v>
      </c>
      <c r="AL674" s="222"/>
    </row>
    <row r="675" spans="1:39" ht="66" customHeight="1" x14ac:dyDescent="0.25">
      <c r="A675" s="14">
        <v>45859</v>
      </c>
      <c r="B675" s="41" t="s">
        <v>4958</v>
      </c>
      <c r="C675" s="415" t="s">
        <v>5326</v>
      </c>
      <c r="D675" s="41"/>
      <c r="E675" s="42" t="s">
        <v>39</v>
      </c>
      <c r="F675" s="19">
        <v>1</v>
      </c>
      <c r="G675" s="43"/>
      <c r="H675" s="43"/>
      <c r="I675" s="245" t="s">
        <v>5327</v>
      </c>
      <c r="J675" s="45">
        <v>154</v>
      </c>
      <c r="K675" s="46" t="s">
        <v>9932</v>
      </c>
      <c r="L675" s="47" t="s">
        <v>63</v>
      </c>
      <c r="M675" s="73" t="s">
        <v>42</v>
      </c>
      <c r="N675" s="74" t="s">
        <v>5328</v>
      </c>
      <c r="O675" s="49"/>
      <c r="P675" s="49" t="s">
        <v>5329</v>
      </c>
      <c r="Q675" s="49" t="s">
        <v>5330</v>
      </c>
      <c r="R675" s="50">
        <v>1</v>
      </c>
      <c r="S675" s="50">
        <v>2</v>
      </c>
      <c r="T675" s="51" t="s">
        <v>96</v>
      </c>
      <c r="U675" s="51">
        <v>51</v>
      </c>
      <c r="V675" s="75">
        <f t="shared" ref="V675:V735" si="19">U675*J675</f>
        <v>7854</v>
      </c>
      <c r="W675" s="51" t="s">
        <v>4876</v>
      </c>
      <c r="X675" s="198" t="s">
        <v>4877</v>
      </c>
      <c r="Y675" s="168" t="s">
        <v>82</v>
      </c>
      <c r="Z675" s="169"/>
      <c r="AA675" s="170" t="s">
        <v>4878</v>
      </c>
      <c r="AB675" s="243" t="s">
        <v>4879</v>
      </c>
      <c r="AC675" s="35">
        <f>J675/200 * 9192</f>
        <v>7077.84</v>
      </c>
      <c r="AE675" s="138" t="s">
        <v>4867</v>
      </c>
      <c r="AF675" s="138"/>
      <c r="AG675" s="138" t="s">
        <v>56</v>
      </c>
      <c r="AH675" s="138" t="s">
        <v>86</v>
      </c>
      <c r="AI675" s="138"/>
      <c r="AJ675" s="138"/>
      <c r="AK675" s="138" t="s">
        <v>1527</v>
      </c>
      <c r="AL675" s="222"/>
    </row>
    <row r="676" spans="1:39" s="200" customFormat="1" ht="47.25" customHeight="1" x14ac:dyDescent="0.25">
      <c r="A676" s="14">
        <v>45859</v>
      </c>
      <c r="B676" s="41" t="s">
        <v>5331</v>
      </c>
      <c r="C676" s="41" t="s">
        <v>5332</v>
      </c>
      <c r="D676" s="41"/>
      <c r="E676" s="42" t="s">
        <v>39</v>
      </c>
      <c r="F676" s="43"/>
      <c r="G676" s="43"/>
      <c r="H676" s="321">
        <v>1</v>
      </c>
      <c r="I676" s="245" t="s">
        <v>5333</v>
      </c>
      <c r="J676" s="45">
        <v>34</v>
      </c>
      <c r="K676" s="46" t="s">
        <v>5334</v>
      </c>
      <c r="L676" s="47" t="s">
        <v>63</v>
      </c>
      <c r="M676" s="73" t="s">
        <v>42</v>
      </c>
      <c r="N676" s="77" t="s">
        <v>5335</v>
      </c>
      <c r="O676" s="49"/>
      <c r="P676" s="49" t="s">
        <v>5336</v>
      </c>
      <c r="Q676" s="49" t="s">
        <v>5337</v>
      </c>
      <c r="R676" s="50">
        <v>14</v>
      </c>
      <c r="S676" s="50">
        <v>28</v>
      </c>
      <c r="T676" s="51" t="s">
        <v>96</v>
      </c>
      <c r="U676" s="51">
        <v>4</v>
      </c>
      <c r="V676" s="52">
        <f t="shared" si="19"/>
        <v>136</v>
      </c>
      <c r="W676" s="51" t="s">
        <v>5338</v>
      </c>
      <c r="X676" s="198" t="s">
        <v>5147</v>
      </c>
      <c r="Y676" s="199" t="s">
        <v>2880</v>
      </c>
      <c r="Z676" s="169" t="s">
        <v>5339</v>
      </c>
      <c r="AA676" s="170" t="s">
        <v>4957</v>
      </c>
      <c r="AB676" s="243" t="s">
        <v>3975</v>
      </c>
      <c r="AC676" s="172">
        <v>2749.2</v>
      </c>
      <c r="AE676" s="137" t="s">
        <v>3829</v>
      </c>
      <c r="AF676" s="138"/>
      <c r="AG676" s="138" t="s">
        <v>56</v>
      </c>
      <c r="AH676" s="138" t="s">
        <v>56</v>
      </c>
      <c r="AI676" s="138"/>
      <c r="AJ676" s="138"/>
      <c r="AK676" s="138"/>
      <c r="AL676" s="138"/>
    </row>
    <row r="677" spans="1:39" s="417" customFormat="1" ht="75" x14ac:dyDescent="0.25">
      <c r="A677" s="14">
        <v>45859</v>
      </c>
      <c r="B677" s="54" t="s">
        <v>5340</v>
      </c>
      <c r="C677" s="54" t="s">
        <v>5341</v>
      </c>
      <c r="D677" s="54"/>
      <c r="E677" s="56" t="s">
        <v>39</v>
      </c>
      <c r="F677" s="321">
        <v>1</v>
      </c>
      <c r="G677" s="57"/>
      <c r="H677" s="57"/>
      <c r="I677" s="245" t="s">
        <v>5342</v>
      </c>
      <c r="J677" s="59">
        <v>100</v>
      </c>
      <c r="K677" s="117" t="s">
        <v>5343</v>
      </c>
      <c r="L677" s="79" t="s">
        <v>63</v>
      </c>
      <c r="M677" s="79" t="s">
        <v>55</v>
      </c>
      <c r="N677" s="80" t="s">
        <v>5344</v>
      </c>
      <c r="O677" s="62"/>
      <c r="P677" s="62" t="s">
        <v>5345</v>
      </c>
      <c r="Q677" s="62" t="s">
        <v>5152</v>
      </c>
      <c r="R677" s="61">
        <v>26</v>
      </c>
      <c r="S677" s="61">
        <v>53</v>
      </c>
      <c r="T677" s="56" t="s">
        <v>96</v>
      </c>
      <c r="U677" s="56">
        <v>0</v>
      </c>
      <c r="V677" s="63">
        <f t="shared" si="19"/>
        <v>0</v>
      </c>
      <c r="W677" s="56" t="s">
        <v>142</v>
      </c>
      <c r="X677" s="198" t="s">
        <v>3937</v>
      </c>
      <c r="Y677" s="416" t="s">
        <v>50</v>
      </c>
      <c r="Z677" s="169"/>
      <c r="AA677" s="170" t="s">
        <v>4812</v>
      </c>
      <c r="AB677" s="243" t="s">
        <v>4813</v>
      </c>
      <c r="AC677" s="172">
        <f>4240+750</f>
        <v>4990</v>
      </c>
      <c r="AE677" s="137" t="s">
        <v>3829</v>
      </c>
      <c r="AF677" s="138"/>
      <c r="AG677" s="138" t="s">
        <v>56</v>
      </c>
      <c r="AH677" s="138" t="s">
        <v>56</v>
      </c>
      <c r="AI677" s="138"/>
      <c r="AJ677" s="138"/>
      <c r="AK677" s="138"/>
      <c r="AL677" s="222"/>
    </row>
    <row r="678" spans="1:39" s="200" customFormat="1" ht="105" x14ac:dyDescent="0.25">
      <c r="A678" s="14">
        <v>45856</v>
      </c>
      <c r="B678" s="41" t="s">
        <v>5346</v>
      </c>
      <c r="C678" s="41" t="s">
        <v>5347</v>
      </c>
      <c r="D678" s="41"/>
      <c r="E678" s="42" t="s">
        <v>39</v>
      </c>
      <c r="F678" s="43"/>
      <c r="G678" s="43"/>
      <c r="H678" s="321">
        <v>2</v>
      </c>
      <c r="I678" s="245" t="s">
        <v>5348</v>
      </c>
      <c r="J678" s="45">
        <v>15</v>
      </c>
      <c r="K678" s="46" t="s">
        <v>5334</v>
      </c>
      <c r="L678" s="47" t="s">
        <v>63</v>
      </c>
      <c r="M678" s="73" t="s">
        <v>42</v>
      </c>
      <c r="N678" s="77" t="s">
        <v>5349</v>
      </c>
      <c r="O678" s="49" t="s">
        <v>5350</v>
      </c>
      <c r="P678" s="49" t="s">
        <v>5351</v>
      </c>
      <c r="Q678" s="49" t="s">
        <v>5352</v>
      </c>
      <c r="R678" s="50">
        <v>58</v>
      </c>
      <c r="S678" s="50">
        <v>181</v>
      </c>
      <c r="T678" s="51" t="s">
        <v>47</v>
      </c>
      <c r="U678" s="51">
        <v>43</v>
      </c>
      <c r="V678" s="75">
        <f t="shared" si="19"/>
        <v>645</v>
      </c>
      <c r="W678" s="51" t="s">
        <v>350</v>
      </c>
      <c r="X678" s="198" t="s">
        <v>5353</v>
      </c>
      <c r="Y678" s="199" t="s">
        <v>82</v>
      </c>
      <c r="Z678" s="169"/>
      <c r="AA678" s="170" t="s">
        <v>4957</v>
      </c>
      <c r="AB678" s="243" t="s">
        <v>5122</v>
      </c>
      <c r="AC678" s="172">
        <v>5247</v>
      </c>
      <c r="AE678" s="137" t="s">
        <v>4004</v>
      </c>
      <c r="AF678" s="138"/>
      <c r="AG678" s="138" t="s">
        <v>56</v>
      </c>
      <c r="AH678" s="138" t="s">
        <v>56</v>
      </c>
      <c r="AI678" s="138"/>
      <c r="AJ678" s="138" t="s">
        <v>56</v>
      </c>
      <c r="AK678" s="138" t="s">
        <v>2284</v>
      </c>
      <c r="AL678" s="138"/>
    </row>
    <row r="679" spans="1:39" ht="78.75" customHeight="1" x14ac:dyDescent="0.25">
      <c r="A679" s="14">
        <v>45856</v>
      </c>
      <c r="B679" s="41" t="s">
        <v>5354</v>
      </c>
      <c r="C679" s="41" t="s">
        <v>5355</v>
      </c>
      <c r="D679" s="414" t="s">
        <v>5356</v>
      </c>
      <c r="E679" s="42" t="s">
        <v>39</v>
      </c>
      <c r="F679" s="365"/>
      <c r="G679" s="365"/>
      <c r="H679" s="321">
        <v>1</v>
      </c>
      <c r="I679" s="245" t="s">
        <v>5357</v>
      </c>
      <c r="J679" s="45">
        <v>2</v>
      </c>
      <c r="K679" s="46" t="s">
        <v>5334</v>
      </c>
      <c r="L679" s="47" t="s">
        <v>63</v>
      </c>
      <c r="M679" s="73" t="s">
        <v>42</v>
      </c>
      <c r="N679" s="77" t="s">
        <v>5358</v>
      </c>
      <c r="O679" s="49" t="s">
        <v>5218</v>
      </c>
      <c r="P679" s="49" t="s">
        <v>5359</v>
      </c>
      <c r="Q679" s="49" t="s">
        <v>5360</v>
      </c>
      <c r="R679" s="92">
        <v>156</v>
      </c>
      <c r="S679" s="50">
        <v>856</v>
      </c>
      <c r="T679" s="51" t="s">
        <v>141</v>
      </c>
      <c r="U679" s="51">
        <v>1</v>
      </c>
      <c r="V679" s="52">
        <f t="shared" si="19"/>
        <v>2</v>
      </c>
      <c r="W679" s="51" t="s">
        <v>350</v>
      </c>
      <c r="X679" s="198" t="s">
        <v>482</v>
      </c>
      <c r="Y679" s="168" t="s">
        <v>50</v>
      </c>
      <c r="Z679" s="169"/>
      <c r="AA679" s="170" t="s">
        <v>3872</v>
      </c>
      <c r="AB679" s="243" t="s">
        <v>4680</v>
      </c>
      <c r="AC679" s="172">
        <f>1450+1500+1359.45+4984.8</f>
        <v>9294.25</v>
      </c>
      <c r="AE679" s="137" t="s">
        <v>4004</v>
      </c>
      <c r="AF679" s="138" t="s">
        <v>354</v>
      </c>
      <c r="AG679" s="138" t="s">
        <v>56</v>
      </c>
      <c r="AH679" s="138" t="s">
        <v>56</v>
      </c>
      <c r="AI679" s="138"/>
      <c r="AJ679" s="138"/>
      <c r="AK679" s="138"/>
      <c r="AL679" s="222"/>
    </row>
    <row r="680" spans="1:39" ht="180" x14ac:dyDescent="0.25">
      <c r="A680" s="14">
        <v>45855</v>
      </c>
      <c r="B680" s="41" t="s">
        <v>5361</v>
      </c>
      <c r="C680" s="41" t="s">
        <v>5362</v>
      </c>
      <c r="D680" s="41" t="s">
        <v>5363</v>
      </c>
      <c r="E680" s="42" t="s">
        <v>39</v>
      </c>
      <c r="F680" s="43"/>
      <c r="G680" s="43"/>
      <c r="H680" s="19">
        <v>1</v>
      </c>
      <c r="I680" s="245" t="s">
        <v>5364</v>
      </c>
      <c r="J680" s="45">
        <v>112</v>
      </c>
      <c r="K680" s="46" t="s">
        <v>9933</v>
      </c>
      <c r="L680" s="47" t="s">
        <v>63</v>
      </c>
      <c r="M680" s="42" t="s">
        <v>42</v>
      </c>
      <c r="N680" s="77" t="s">
        <v>5365</v>
      </c>
      <c r="O680" s="49" t="s">
        <v>5366</v>
      </c>
      <c r="P680" s="49" t="s">
        <v>5367</v>
      </c>
      <c r="Q680" s="49" t="s">
        <v>5368</v>
      </c>
      <c r="R680" s="50">
        <v>26</v>
      </c>
      <c r="S680" s="50">
        <v>525</v>
      </c>
      <c r="T680" s="51" t="s">
        <v>141</v>
      </c>
      <c r="U680" s="51">
        <v>2</v>
      </c>
      <c r="V680" s="52">
        <f t="shared" si="19"/>
        <v>224</v>
      </c>
      <c r="W680" s="51" t="s">
        <v>221</v>
      </c>
      <c r="X680" s="202" t="s">
        <v>1189</v>
      </c>
      <c r="Y680" s="263" t="s">
        <v>144</v>
      </c>
      <c r="Z680" s="169" t="s">
        <v>5104</v>
      </c>
      <c r="AA680" s="170" t="s">
        <v>5369</v>
      </c>
      <c r="AB680" s="243" t="s">
        <v>5370</v>
      </c>
      <c r="AC680" s="172">
        <v>12364.69</v>
      </c>
      <c r="AE680" s="137" t="s">
        <v>4004</v>
      </c>
      <c r="AF680" s="138"/>
      <c r="AG680" s="138" t="s">
        <v>56</v>
      </c>
      <c r="AH680" s="138" t="s">
        <v>56</v>
      </c>
      <c r="AI680" s="138" t="s">
        <v>5371</v>
      </c>
      <c r="AJ680" s="138"/>
      <c r="AK680" s="138"/>
      <c r="AL680" s="222"/>
    </row>
    <row r="681" spans="1:39" s="200" customFormat="1" ht="90" x14ac:dyDescent="0.25">
      <c r="A681" s="14">
        <v>45854</v>
      </c>
      <c r="B681" s="41" t="s">
        <v>5372</v>
      </c>
      <c r="C681" s="41" t="s">
        <v>5212</v>
      </c>
      <c r="D681" s="41" t="s">
        <v>5373</v>
      </c>
      <c r="E681" s="42" t="s">
        <v>39</v>
      </c>
      <c r="F681" s="43"/>
      <c r="G681" s="43"/>
      <c r="H681" s="19">
        <v>1</v>
      </c>
      <c r="I681" s="245" t="s">
        <v>9899</v>
      </c>
      <c r="J681" s="45">
        <v>240</v>
      </c>
      <c r="K681" s="46" t="s">
        <v>9934</v>
      </c>
      <c r="L681" s="47" t="s">
        <v>63</v>
      </c>
      <c r="M681" s="73" t="s">
        <v>42</v>
      </c>
      <c r="N681" s="77" t="s">
        <v>5374</v>
      </c>
      <c r="O681" s="49"/>
      <c r="P681" s="49" t="s">
        <v>5375</v>
      </c>
      <c r="Q681" s="49" t="s">
        <v>5376</v>
      </c>
      <c r="R681" s="50">
        <v>57</v>
      </c>
      <c r="S681" s="50">
        <v>179</v>
      </c>
      <c r="T681" s="51" t="s">
        <v>67</v>
      </c>
      <c r="U681" s="51">
        <v>14</v>
      </c>
      <c r="V681" s="75">
        <f t="shared" si="19"/>
        <v>3360</v>
      </c>
      <c r="W681" s="51" t="s">
        <v>142</v>
      </c>
      <c r="X681" s="198" t="s">
        <v>4692</v>
      </c>
      <c r="Y681" s="199" t="s">
        <v>82</v>
      </c>
      <c r="Z681" s="169"/>
      <c r="AA681" s="170" t="s">
        <v>4693</v>
      </c>
      <c r="AB681" s="243" t="s">
        <v>3854</v>
      </c>
      <c r="AC681" s="35">
        <v>13721</v>
      </c>
      <c r="AE681" s="138" t="s">
        <v>4867</v>
      </c>
      <c r="AF681" s="138"/>
      <c r="AG681" s="138" t="s">
        <v>56</v>
      </c>
      <c r="AH681" s="138" t="s">
        <v>56</v>
      </c>
      <c r="AI681" s="138"/>
      <c r="AJ681" s="138"/>
      <c r="AK681" s="138" t="s">
        <v>1527</v>
      </c>
      <c r="AL681" s="222"/>
      <c r="AM681"/>
    </row>
    <row r="682" spans="1:39" s="200" customFormat="1" ht="51" customHeight="1" x14ac:dyDescent="0.25">
      <c r="A682" s="14">
        <v>45854</v>
      </c>
      <c r="B682" s="403" t="s">
        <v>5377</v>
      </c>
      <c r="C682" s="403" t="s">
        <v>5378</v>
      </c>
      <c r="D682" s="403"/>
      <c r="E682" s="404" t="s">
        <v>39</v>
      </c>
      <c r="F682" s="405"/>
      <c r="G682" s="405"/>
      <c r="H682" s="321">
        <v>1</v>
      </c>
      <c r="I682" s="245" t="s">
        <v>5379</v>
      </c>
      <c r="J682" s="406">
        <v>400</v>
      </c>
      <c r="K682" s="407" t="s">
        <v>5380</v>
      </c>
      <c r="L682" s="408" t="s">
        <v>63</v>
      </c>
      <c r="M682" s="404"/>
      <c r="N682" s="334" t="s">
        <v>5381</v>
      </c>
      <c r="O682" s="409"/>
      <c r="P682" s="409" t="s">
        <v>5382</v>
      </c>
      <c r="Q682" s="409" t="s">
        <v>5350</v>
      </c>
      <c r="R682" s="410">
        <v>1</v>
      </c>
      <c r="S682" s="410">
        <v>2</v>
      </c>
      <c r="T682" s="404" t="s">
        <v>96</v>
      </c>
      <c r="U682" s="404">
        <v>0</v>
      </c>
      <c r="V682" s="418">
        <f t="shared" si="19"/>
        <v>0</v>
      </c>
      <c r="W682" s="412" t="s">
        <v>68</v>
      </c>
      <c r="X682" s="198" t="s">
        <v>5383</v>
      </c>
      <c r="Y682" s="199" t="s">
        <v>3963</v>
      </c>
      <c r="Z682" s="169"/>
      <c r="AA682" s="170" t="s">
        <v>352</v>
      </c>
      <c r="AB682" s="243" t="s">
        <v>3865</v>
      </c>
      <c r="AC682" s="172">
        <v>6440</v>
      </c>
      <c r="AE682" s="137" t="s">
        <v>4004</v>
      </c>
      <c r="AF682" s="138"/>
      <c r="AG682" s="138" t="s">
        <v>56</v>
      </c>
      <c r="AH682" s="138" t="s">
        <v>56</v>
      </c>
      <c r="AI682" s="138"/>
      <c r="AJ682" s="138" t="s">
        <v>56</v>
      </c>
      <c r="AK682" s="138" t="s">
        <v>1527</v>
      </c>
      <c r="AL682" s="138"/>
    </row>
    <row r="683" spans="1:39" s="200" customFormat="1" ht="75" x14ac:dyDescent="0.25">
      <c r="A683" s="14">
        <v>45853</v>
      </c>
      <c r="B683" s="419" t="s">
        <v>5384</v>
      </c>
      <c r="C683" s="403" t="s">
        <v>5385</v>
      </c>
      <c r="D683" s="403" t="s">
        <v>5386</v>
      </c>
      <c r="E683" s="404" t="s">
        <v>39</v>
      </c>
      <c r="F683" s="321">
        <v>1</v>
      </c>
      <c r="G683" s="405"/>
      <c r="H683" s="405"/>
      <c r="I683" s="245" t="s">
        <v>5387</v>
      </c>
      <c r="J683" s="406">
        <v>5</v>
      </c>
      <c r="K683" s="407" t="s">
        <v>5388</v>
      </c>
      <c r="L683" s="408" t="s">
        <v>63</v>
      </c>
      <c r="M683" s="408" t="s">
        <v>42</v>
      </c>
      <c r="N683" s="334" t="s">
        <v>5389</v>
      </c>
      <c r="O683" s="409" t="s">
        <v>5390</v>
      </c>
      <c r="P683" s="409" t="s">
        <v>5391</v>
      </c>
      <c r="Q683" s="409" t="s">
        <v>5392</v>
      </c>
      <c r="R683" s="410">
        <v>20</v>
      </c>
      <c r="S683" s="410">
        <v>989</v>
      </c>
      <c r="T683" s="404" t="s">
        <v>47</v>
      </c>
      <c r="U683" s="404">
        <v>8</v>
      </c>
      <c r="V683" s="411">
        <f t="shared" si="19"/>
        <v>40</v>
      </c>
      <c r="W683" s="412" t="s">
        <v>350</v>
      </c>
      <c r="X683" s="198" t="s">
        <v>5305</v>
      </c>
      <c r="Y683" s="263" t="s">
        <v>144</v>
      </c>
      <c r="Z683" s="269"/>
      <c r="AA683" s="170" t="s">
        <v>3872</v>
      </c>
      <c r="AB683" s="243" t="s">
        <v>5065</v>
      </c>
      <c r="AC683" s="35">
        <v>4608.75</v>
      </c>
      <c r="AE683" s="255" t="s">
        <v>5393</v>
      </c>
      <c r="AF683" s="138" t="s">
        <v>5394</v>
      </c>
      <c r="AG683" s="138" t="s">
        <v>56</v>
      </c>
      <c r="AH683" s="138" t="s">
        <v>56</v>
      </c>
      <c r="AI683" s="138"/>
      <c r="AJ683" s="138"/>
      <c r="AK683" s="138"/>
      <c r="AL683" s="138"/>
    </row>
    <row r="684" spans="1:39" s="200" customFormat="1" ht="120" x14ac:dyDescent="0.25">
      <c r="A684" s="14">
        <v>45853</v>
      </c>
      <c r="B684" s="41" t="s">
        <v>5395</v>
      </c>
      <c r="C684" s="41" t="s">
        <v>5396</v>
      </c>
      <c r="D684" s="41" t="s">
        <v>5397</v>
      </c>
      <c r="E684" s="42" t="s">
        <v>39</v>
      </c>
      <c r="F684" s="19">
        <v>1</v>
      </c>
      <c r="G684" s="43"/>
      <c r="H684" s="43"/>
      <c r="I684" s="245" t="s">
        <v>5398</v>
      </c>
      <c r="J684" s="45">
        <v>40</v>
      </c>
      <c r="K684" s="46" t="s">
        <v>9935</v>
      </c>
      <c r="L684" s="47" t="s">
        <v>63</v>
      </c>
      <c r="M684" s="47" t="s">
        <v>55</v>
      </c>
      <c r="N684" s="77" t="s">
        <v>5399</v>
      </c>
      <c r="O684" s="49" t="s">
        <v>5400</v>
      </c>
      <c r="P684" s="49" t="s">
        <v>5401</v>
      </c>
      <c r="Q684" s="49" t="s">
        <v>5402</v>
      </c>
      <c r="R684" s="50">
        <v>116</v>
      </c>
      <c r="S684" s="50">
        <v>409</v>
      </c>
      <c r="T684" s="51" t="s">
        <v>180</v>
      </c>
      <c r="U684" s="51">
        <v>1</v>
      </c>
      <c r="V684" s="52">
        <f t="shared" si="19"/>
        <v>40</v>
      </c>
      <c r="W684" s="51" t="s">
        <v>510</v>
      </c>
      <c r="X684" s="202" t="s">
        <v>538</v>
      </c>
      <c r="Y684" s="263" t="s">
        <v>324</v>
      </c>
      <c r="Z684" s="169"/>
      <c r="AA684" s="170" t="s">
        <v>5403</v>
      </c>
      <c r="AB684" s="243" t="s">
        <v>5404</v>
      </c>
      <c r="AC684" s="420">
        <v>4264</v>
      </c>
      <c r="AE684" s="137" t="s">
        <v>5405</v>
      </c>
      <c r="AF684" s="138"/>
      <c r="AG684" s="138" t="s">
        <v>56</v>
      </c>
      <c r="AH684" s="138" t="s">
        <v>56</v>
      </c>
      <c r="AI684" s="138"/>
      <c r="AJ684" s="138"/>
      <c r="AK684" s="138"/>
      <c r="AL684" s="138"/>
    </row>
    <row r="685" spans="1:39" s="200" customFormat="1" ht="174.75" customHeight="1" x14ac:dyDescent="0.25">
      <c r="A685" s="14">
        <v>45852</v>
      </c>
      <c r="B685" s="41" t="s">
        <v>5406</v>
      </c>
      <c r="C685" s="41" t="s">
        <v>5407</v>
      </c>
      <c r="D685" s="41" t="s">
        <v>5408</v>
      </c>
      <c r="E685" s="42" t="s">
        <v>39</v>
      </c>
      <c r="F685" s="43"/>
      <c r="G685" s="43"/>
      <c r="H685" s="19">
        <v>3</v>
      </c>
      <c r="I685" s="245" t="s">
        <v>5409</v>
      </c>
      <c r="J685" s="45">
        <v>3</v>
      </c>
      <c r="K685" s="46" t="s">
        <v>5410</v>
      </c>
      <c r="L685" s="47" t="s">
        <v>63</v>
      </c>
      <c r="M685" s="73" t="s">
        <v>42</v>
      </c>
      <c r="N685" s="77" t="s">
        <v>5411</v>
      </c>
      <c r="O685" s="49" t="s">
        <v>5412</v>
      </c>
      <c r="P685" s="49" t="s">
        <v>5216</v>
      </c>
      <c r="Q685" s="49" t="s">
        <v>5413</v>
      </c>
      <c r="R685" s="50">
        <v>84</v>
      </c>
      <c r="S685" s="50">
        <v>356</v>
      </c>
      <c r="T685" s="51" t="s">
        <v>180</v>
      </c>
      <c r="U685" s="51">
        <v>37</v>
      </c>
      <c r="V685" s="52">
        <f t="shared" si="19"/>
        <v>111</v>
      </c>
      <c r="W685" s="51" t="s">
        <v>142</v>
      </c>
      <c r="X685" s="198" t="s">
        <v>5414</v>
      </c>
      <c r="Y685" s="199" t="s">
        <v>82</v>
      </c>
      <c r="Z685" s="269"/>
      <c r="AA685" s="170" t="s">
        <v>3437</v>
      </c>
      <c r="AB685" s="243" t="s">
        <v>5075</v>
      </c>
      <c r="AC685" s="172">
        <v>6379.55</v>
      </c>
      <c r="AE685" s="137" t="s">
        <v>4004</v>
      </c>
      <c r="AF685" s="138"/>
      <c r="AG685" s="138" t="s">
        <v>56</v>
      </c>
      <c r="AH685" s="138" t="s">
        <v>56</v>
      </c>
      <c r="AI685" s="138"/>
      <c r="AJ685" s="138"/>
      <c r="AK685" s="138"/>
      <c r="AL685" s="222"/>
    </row>
    <row r="686" spans="1:39" s="200" customFormat="1" ht="75" x14ac:dyDescent="0.25">
      <c r="A686" s="14">
        <v>45852</v>
      </c>
      <c r="B686" s="41" t="s">
        <v>5415</v>
      </c>
      <c r="C686" s="41" t="s">
        <v>5416</v>
      </c>
      <c r="D686" s="41"/>
      <c r="E686" s="42" t="s">
        <v>39</v>
      </c>
      <c r="F686" s="43"/>
      <c r="G686" s="43"/>
      <c r="H686" s="19">
        <v>2</v>
      </c>
      <c r="I686" s="245" t="s">
        <v>5417</v>
      </c>
      <c r="J686" s="45">
        <v>10</v>
      </c>
      <c r="K686" s="46" t="s">
        <v>5410</v>
      </c>
      <c r="L686" s="47" t="s">
        <v>63</v>
      </c>
      <c r="M686" s="73" t="s">
        <v>42</v>
      </c>
      <c r="N686" s="77" t="s">
        <v>5418</v>
      </c>
      <c r="O686" s="49" t="s">
        <v>5419</v>
      </c>
      <c r="P686" s="49" t="s">
        <v>5420</v>
      </c>
      <c r="Q686" s="49" t="s">
        <v>5421</v>
      </c>
      <c r="R686" s="50">
        <v>40</v>
      </c>
      <c r="S686" s="50">
        <v>100</v>
      </c>
      <c r="T686" s="51" t="s">
        <v>47</v>
      </c>
      <c r="U686" s="51">
        <v>2</v>
      </c>
      <c r="V686" s="52">
        <f t="shared" si="19"/>
        <v>20</v>
      </c>
      <c r="W686" s="51" t="s">
        <v>68</v>
      </c>
      <c r="X686" s="198" t="s">
        <v>511</v>
      </c>
      <c r="Y686" s="263" t="s">
        <v>144</v>
      </c>
      <c r="Z686" s="169"/>
      <c r="AA686" s="170" t="s">
        <v>5005</v>
      </c>
      <c r="AB686" s="243" t="s">
        <v>4841</v>
      </c>
      <c r="AC686" s="172">
        <v>1935</v>
      </c>
      <c r="AE686" s="137" t="s">
        <v>4004</v>
      </c>
      <c r="AF686" s="138" t="s">
        <v>5394</v>
      </c>
      <c r="AG686" s="138" t="s">
        <v>56</v>
      </c>
      <c r="AH686" s="138" t="s">
        <v>56</v>
      </c>
      <c r="AI686" s="138"/>
      <c r="AJ686" s="138"/>
      <c r="AK686" s="138"/>
      <c r="AL686" s="222"/>
    </row>
    <row r="687" spans="1:39" ht="156.75" customHeight="1" x14ac:dyDescent="0.25">
      <c r="A687" s="14">
        <v>45852</v>
      </c>
      <c r="B687" s="41" t="s">
        <v>5422</v>
      </c>
      <c r="C687" s="41" t="s">
        <v>5423</v>
      </c>
      <c r="D687" s="41"/>
      <c r="E687" s="42" t="s">
        <v>39</v>
      </c>
      <c r="F687" s="43"/>
      <c r="G687" s="43"/>
      <c r="H687" s="19">
        <v>1</v>
      </c>
      <c r="I687" s="245" t="s">
        <v>5424</v>
      </c>
      <c r="J687" s="45">
        <v>20</v>
      </c>
      <c r="K687" s="46" t="s">
        <v>5410</v>
      </c>
      <c r="L687" s="47" t="s">
        <v>63</v>
      </c>
      <c r="M687" s="73" t="s">
        <v>42</v>
      </c>
      <c r="N687" s="77" t="s">
        <v>5425</v>
      </c>
      <c r="O687" s="49" t="s">
        <v>5426</v>
      </c>
      <c r="P687" s="49"/>
      <c r="Q687" s="49" t="s">
        <v>5427</v>
      </c>
      <c r="R687" s="50">
        <v>115</v>
      </c>
      <c r="S687" s="50">
        <v>683</v>
      </c>
      <c r="T687" s="51" t="s">
        <v>180</v>
      </c>
      <c r="U687" s="51">
        <v>8</v>
      </c>
      <c r="V687" s="52">
        <f t="shared" si="19"/>
        <v>160</v>
      </c>
      <c r="W687" s="51" t="s">
        <v>142</v>
      </c>
      <c r="X687" s="198" t="s">
        <v>5428</v>
      </c>
      <c r="Y687" s="168" t="s">
        <v>82</v>
      </c>
      <c r="Z687" s="169"/>
      <c r="AA687" s="170" t="s">
        <v>4679</v>
      </c>
      <c r="AB687" s="243" t="s">
        <v>4680</v>
      </c>
      <c r="AC687" s="172">
        <v>7944.4</v>
      </c>
      <c r="AD687" s="200"/>
      <c r="AE687" s="137" t="s">
        <v>4004</v>
      </c>
      <c r="AF687" s="138"/>
      <c r="AG687" s="138" t="s">
        <v>56</v>
      </c>
      <c r="AH687" s="138" t="s">
        <v>56</v>
      </c>
      <c r="AI687" s="138"/>
      <c r="AJ687" s="138"/>
      <c r="AK687" s="138"/>
      <c r="AL687" s="222"/>
    </row>
    <row r="688" spans="1:39" ht="52.5" customHeight="1" x14ac:dyDescent="0.25">
      <c r="A688" s="14">
        <v>45852</v>
      </c>
      <c r="B688" s="41" t="s">
        <v>5415</v>
      </c>
      <c r="C688" s="41" t="s">
        <v>5429</v>
      </c>
      <c r="D688" s="41"/>
      <c r="E688" s="42" t="s">
        <v>39</v>
      </c>
      <c r="F688" s="19">
        <v>2</v>
      </c>
      <c r="G688" s="43"/>
      <c r="H688" s="43"/>
      <c r="I688" s="245" t="s">
        <v>5430</v>
      </c>
      <c r="J688" s="45">
        <v>30</v>
      </c>
      <c r="K688" s="46" t="s">
        <v>9936</v>
      </c>
      <c r="L688" s="277" t="s">
        <v>63</v>
      </c>
      <c r="M688" s="73" t="s">
        <v>42</v>
      </c>
      <c r="N688" s="77" t="s">
        <v>5431</v>
      </c>
      <c r="O688" s="49"/>
      <c r="P688" s="49" t="s">
        <v>5432</v>
      </c>
      <c r="Q688" s="49" t="s">
        <v>5433</v>
      </c>
      <c r="R688" s="50">
        <v>22</v>
      </c>
      <c r="S688" s="50">
        <v>42</v>
      </c>
      <c r="T688" s="51" t="s">
        <v>96</v>
      </c>
      <c r="U688" s="51">
        <v>14</v>
      </c>
      <c r="V688" s="52">
        <f t="shared" si="19"/>
        <v>420</v>
      </c>
      <c r="W688" s="51" t="s">
        <v>68</v>
      </c>
      <c r="X688" s="198" t="s">
        <v>511</v>
      </c>
      <c r="Y688" s="360" t="s">
        <v>144</v>
      </c>
      <c r="Z688" s="169"/>
      <c r="AA688" s="170" t="s">
        <v>3872</v>
      </c>
      <c r="AB688" s="243" t="s">
        <v>4841</v>
      </c>
      <c r="AC688" s="172">
        <v>7590</v>
      </c>
      <c r="AE688" s="137" t="s">
        <v>4004</v>
      </c>
      <c r="AF688" s="138"/>
      <c r="AG688" s="138" t="s">
        <v>56</v>
      </c>
      <c r="AH688" s="138"/>
      <c r="AI688" s="138"/>
      <c r="AJ688" s="138"/>
      <c r="AK688" s="138"/>
      <c r="AL688" s="222"/>
    </row>
    <row r="689" spans="1:38" s="200" customFormat="1" ht="59.25" customHeight="1" x14ac:dyDescent="0.25">
      <c r="A689" s="14">
        <v>45849</v>
      </c>
      <c r="B689" s="41" t="s">
        <v>5434</v>
      </c>
      <c r="C689" s="41" t="s">
        <v>5435</v>
      </c>
      <c r="D689" s="41"/>
      <c r="E689" s="42" t="s">
        <v>39</v>
      </c>
      <c r="F689" s="19">
        <v>1</v>
      </c>
      <c r="G689" s="43"/>
      <c r="H689" s="43"/>
      <c r="I689" s="245" t="s">
        <v>5436</v>
      </c>
      <c r="J689" s="45">
        <v>25</v>
      </c>
      <c r="K689" s="46" t="s">
        <v>9937</v>
      </c>
      <c r="L689" s="47" t="s">
        <v>63</v>
      </c>
      <c r="M689" s="47" t="s">
        <v>55</v>
      </c>
      <c r="N689" s="77" t="s">
        <v>5437</v>
      </c>
      <c r="O689" s="49"/>
      <c r="P689" s="49" t="s">
        <v>5438</v>
      </c>
      <c r="Q689" s="49" t="s">
        <v>5439</v>
      </c>
      <c r="R689" s="50">
        <v>10</v>
      </c>
      <c r="S689" s="50">
        <v>13</v>
      </c>
      <c r="T689" s="51" t="s">
        <v>96</v>
      </c>
      <c r="U689" s="51">
        <v>15</v>
      </c>
      <c r="V689" s="52">
        <f t="shared" si="19"/>
        <v>375</v>
      </c>
      <c r="W689" s="51" t="s">
        <v>350</v>
      </c>
      <c r="X689" s="198" t="s">
        <v>5440</v>
      </c>
      <c r="Y689" s="199" t="s">
        <v>50</v>
      </c>
      <c r="Z689" s="169"/>
      <c r="AA689" s="170" t="s">
        <v>3872</v>
      </c>
      <c r="AB689" s="243" t="s">
        <v>5441</v>
      </c>
      <c r="AC689" s="172">
        <v>2993.75</v>
      </c>
      <c r="AE689" s="137" t="s">
        <v>5405</v>
      </c>
      <c r="AF689" s="138"/>
      <c r="AG689" s="138" t="s">
        <v>56</v>
      </c>
      <c r="AH689" s="138" t="s">
        <v>56</v>
      </c>
      <c r="AI689" s="138"/>
      <c r="AJ689" s="138"/>
      <c r="AK689" s="138"/>
      <c r="AL689" s="222"/>
    </row>
    <row r="690" spans="1:38" s="200" customFormat="1" ht="55.5" customHeight="1" x14ac:dyDescent="0.25">
      <c r="A690" s="14">
        <v>45848</v>
      </c>
      <c r="B690" s="41" t="s">
        <v>5442</v>
      </c>
      <c r="C690" s="41" t="s">
        <v>5443</v>
      </c>
      <c r="D690" s="41" t="s">
        <v>5444</v>
      </c>
      <c r="E690" s="42" t="s">
        <v>39</v>
      </c>
      <c r="F690" s="43"/>
      <c r="G690" s="43"/>
      <c r="H690" s="19">
        <v>1</v>
      </c>
      <c r="I690" s="245" t="s">
        <v>5445</v>
      </c>
      <c r="J690" s="45">
        <v>6</v>
      </c>
      <c r="K690" s="46" t="s">
        <v>9938</v>
      </c>
      <c r="L690" s="47" t="s">
        <v>63</v>
      </c>
      <c r="M690" s="73" t="s">
        <v>42</v>
      </c>
      <c r="N690" s="77" t="s">
        <v>5446</v>
      </c>
      <c r="O690" s="49" t="s">
        <v>5447</v>
      </c>
      <c r="P690" s="49" t="s">
        <v>5448</v>
      </c>
      <c r="Q690" s="49" t="s">
        <v>5449</v>
      </c>
      <c r="R690" s="50">
        <v>87</v>
      </c>
      <c r="S690" s="50">
        <v>730</v>
      </c>
      <c r="T690" s="51" t="s">
        <v>47</v>
      </c>
      <c r="U690" s="51">
        <v>4</v>
      </c>
      <c r="V690" s="52">
        <f t="shared" si="19"/>
        <v>24</v>
      </c>
      <c r="W690" s="51" t="s">
        <v>68</v>
      </c>
      <c r="X690" s="198" t="s">
        <v>5450</v>
      </c>
      <c r="Y690" s="199" t="s">
        <v>70</v>
      </c>
      <c r="Z690" s="169"/>
      <c r="AA690" s="170" t="s">
        <v>5451</v>
      </c>
      <c r="AB690" s="243" t="s">
        <v>5065</v>
      </c>
      <c r="AC690" s="172">
        <v>5254.36</v>
      </c>
      <c r="AE690" s="138" t="s">
        <v>4867</v>
      </c>
      <c r="AF690" s="138" t="s">
        <v>5394</v>
      </c>
      <c r="AG690" s="138" t="s">
        <v>56</v>
      </c>
      <c r="AH690" s="138" t="s">
        <v>56</v>
      </c>
      <c r="AI690" s="138"/>
      <c r="AJ690" s="138"/>
      <c r="AK690" s="138"/>
      <c r="AL690" s="222"/>
    </row>
    <row r="691" spans="1:38" s="200" customFormat="1" ht="44.25" customHeight="1" x14ac:dyDescent="0.25">
      <c r="A691" s="14">
        <v>45848</v>
      </c>
      <c r="B691" s="41" t="s">
        <v>5227</v>
      </c>
      <c r="C691" s="41" t="s">
        <v>5212</v>
      </c>
      <c r="D691" s="41" t="s">
        <v>5452</v>
      </c>
      <c r="E691" s="42" t="s">
        <v>39</v>
      </c>
      <c r="F691" s="43"/>
      <c r="G691" s="43"/>
      <c r="H691" s="19">
        <v>1</v>
      </c>
      <c r="I691" s="245" t="s">
        <v>5453</v>
      </c>
      <c r="J691" s="45">
        <v>100</v>
      </c>
      <c r="K691" s="46" t="s">
        <v>9939</v>
      </c>
      <c r="L691" s="277" t="s">
        <v>63</v>
      </c>
      <c r="M691" s="73" t="s">
        <v>42</v>
      </c>
      <c r="N691" s="77" t="s">
        <v>5454</v>
      </c>
      <c r="O691" s="49" t="s">
        <v>5455</v>
      </c>
      <c r="P691" s="49" t="s">
        <v>5456</v>
      </c>
      <c r="Q691" s="49" t="s">
        <v>5457</v>
      </c>
      <c r="R691" s="50">
        <v>74</v>
      </c>
      <c r="S691" s="50">
        <v>535</v>
      </c>
      <c r="T691" s="51" t="s">
        <v>47</v>
      </c>
      <c r="U691" s="51">
        <v>12</v>
      </c>
      <c r="V691" s="52">
        <f t="shared" si="19"/>
        <v>1200</v>
      </c>
      <c r="W691" s="51" t="s">
        <v>142</v>
      </c>
      <c r="X691" s="198" t="s">
        <v>5428</v>
      </c>
      <c r="Y691" s="199" t="s">
        <v>82</v>
      </c>
      <c r="Z691" s="169"/>
      <c r="AA691" s="170" t="s">
        <v>4693</v>
      </c>
      <c r="AB691" s="243" t="s">
        <v>3854</v>
      </c>
      <c r="AC691" s="172">
        <v>13359</v>
      </c>
      <c r="AE691" s="138" t="s">
        <v>4867</v>
      </c>
      <c r="AF691" s="138"/>
      <c r="AG691" s="138" t="s">
        <v>56</v>
      </c>
      <c r="AH691" s="138" t="s">
        <v>56</v>
      </c>
      <c r="AI691" s="138"/>
      <c r="AJ691" s="138"/>
      <c r="AK691" s="138"/>
      <c r="AL691" s="222"/>
    </row>
    <row r="692" spans="1:38" s="200" customFormat="1" ht="42.75" customHeight="1" x14ac:dyDescent="0.25">
      <c r="A692" s="14">
        <v>45847</v>
      </c>
      <c r="B692" s="41" t="s">
        <v>5458</v>
      </c>
      <c r="C692" s="41" t="s">
        <v>5459</v>
      </c>
      <c r="D692" s="41"/>
      <c r="E692" s="42" t="s">
        <v>39</v>
      </c>
      <c r="F692" s="19">
        <v>1</v>
      </c>
      <c r="G692" s="43"/>
      <c r="H692" s="43"/>
      <c r="I692" s="245" t="s">
        <v>5460</v>
      </c>
      <c r="J692" s="45">
        <v>6</v>
      </c>
      <c r="K692" s="46" t="s">
        <v>9940</v>
      </c>
      <c r="L692" s="277" t="s">
        <v>63</v>
      </c>
      <c r="M692" s="73" t="s">
        <v>42</v>
      </c>
      <c r="N692" s="77" t="s">
        <v>5461</v>
      </c>
      <c r="O692" s="49"/>
      <c r="P692" s="49" t="s">
        <v>5462</v>
      </c>
      <c r="Q692" s="49" t="s">
        <v>5432</v>
      </c>
      <c r="R692" s="50">
        <v>86</v>
      </c>
      <c r="S692" s="50">
        <v>646</v>
      </c>
      <c r="T692" s="51" t="s">
        <v>67</v>
      </c>
      <c r="U692" s="51">
        <v>15</v>
      </c>
      <c r="V692" s="52">
        <f t="shared" si="19"/>
        <v>90</v>
      </c>
      <c r="W692" s="51" t="s">
        <v>142</v>
      </c>
      <c r="X692" s="198" t="s">
        <v>3553</v>
      </c>
      <c r="Y692" s="199" t="s">
        <v>82</v>
      </c>
      <c r="Z692" s="169"/>
      <c r="AA692" s="170" t="s">
        <v>3853</v>
      </c>
      <c r="AB692" s="243" t="s">
        <v>4546</v>
      </c>
      <c r="AC692" s="172">
        <v>7820.48</v>
      </c>
      <c r="AE692" s="138" t="s">
        <v>4867</v>
      </c>
      <c r="AF692" s="138"/>
      <c r="AG692" s="138" t="s">
        <v>56</v>
      </c>
      <c r="AH692" s="138" t="s">
        <v>56</v>
      </c>
      <c r="AI692" s="138"/>
      <c r="AJ692" s="138"/>
      <c r="AK692" s="138"/>
      <c r="AL692" s="222"/>
    </row>
    <row r="693" spans="1:38" s="200" customFormat="1" ht="122.25" customHeight="1" x14ac:dyDescent="0.25">
      <c r="A693" s="14">
        <v>45847</v>
      </c>
      <c r="B693" s="403" t="s">
        <v>5463</v>
      </c>
      <c r="C693" s="403" t="s">
        <v>5464</v>
      </c>
      <c r="D693" s="403" t="s">
        <v>5465</v>
      </c>
      <c r="E693" s="404" t="s">
        <v>39</v>
      </c>
      <c r="F693" s="405"/>
      <c r="G693" s="405"/>
      <c r="H693" s="19">
        <v>1</v>
      </c>
      <c r="I693" s="245" t="s">
        <v>5466</v>
      </c>
      <c r="J693" s="406">
        <v>30</v>
      </c>
      <c r="K693" s="407" t="s">
        <v>5467</v>
      </c>
      <c r="L693" s="408" t="s">
        <v>63</v>
      </c>
      <c r="M693" s="408" t="s">
        <v>55</v>
      </c>
      <c r="N693" s="334" t="s">
        <v>5468</v>
      </c>
      <c r="O693" s="409" t="s">
        <v>5469</v>
      </c>
      <c r="P693" s="421" t="s">
        <v>5470</v>
      </c>
      <c r="Q693" s="409" t="s">
        <v>5471</v>
      </c>
      <c r="R693" s="410">
        <v>119</v>
      </c>
      <c r="S693" s="410">
        <v>453</v>
      </c>
      <c r="T693" s="404" t="s">
        <v>180</v>
      </c>
      <c r="U693" s="404">
        <v>21</v>
      </c>
      <c r="V693" s="75">
        <f t="shared" si="19"/>
        <v>630</v>
      </c>
      <c r="W693" s="412" t="s">
        <v>350</v>
      </c>
      <c r="X693" s="202" t="s">
        <v>538</v>
      </c>
      <c r="Y693" s="263" t="s">
        <v>324</v>
      </c>
      <c r="Z693" s="169" t="s">
        <v>5472</v>
      </c>
      <c r="AA693" s="170" t="s">
        <v>3853</v>
      </c>
      <c r="AB693" s="243" t="s">
        <v>4546</v>
      </c>
      <c r="AC693" s="335">
        <f>(18521.1 * J693/130) + 1200 + 5200</f>
        <v>10674.1</v>
      </c>
      <c r="AE693" s="255" t="s">
        <v>5473</v>
      </c>
      <c r="AF693" s="138"/>
      <c r="AG693" s="138" t="s">
        <v>56</v>
      </c>
      <c r="AH693" s="138" t="s">
        <v>56</v>
      </c>
      <c r="AI693" s="138"/>
      <c r="AJ693" s="138"/>
      <c r="AK693" s="138"/>
      <c r="AL693" s="222"/>
    </row>
    <row r="694" spans="1:38" ht="136.5" customHeight="1" x14ac:dyDescent="0.25">
      <c r="A694" s="14">
        <v>45847</v>
      </c>
      <c r="B694" s="41" t="s">
        <v>5474</v>
      </c>
      <c r="C694" s="41" t="s">
        <v>5475</v>
      </c>
      <c r="D694" s="422" t="s">
        <v>5476</v>
      </c>
      <c r="E694" s="42" t="s">
        <v>39</v>
      </c>
      <c r="F694" s="19">
        <v>1</v>
      </c>
      <c r="G694" s="43"/>
      <c r="H694" s="43"/>
      <c r="I694" s="245" t="s">
        <v>5477</v>
      </c>
      <c r="J694" s="45">
        <v>30</v>
      </c>
      <c r="K694" s="46" t="s">
        <v>5478</v>
      </c>
      <c r="L694" s="47" t="s">
        <v>63</v>
      </c>
      <c r="M694" s="73" t="s">
        <v>42</v>
      </c>
      <c r="N694" s="77" t="s">
        <v>5479</v>
      </c>
      <c r="O694" s="49" t="s">
        <v>5480</v>
      </c>
      <c r="P694" s="49" t="s">
        <v>5481</v>
      </c>
      <c r="Q694" s="49" t="s">
        <v>5329</v>
      </c>
      <c r="R694" s="50">
        <v>41</v>
      </c>
      <c r="S694" s="50">
        <v>83</v>
      </c>
      <c r="T694" s="51" t="s">
        <v>47</v>
      </c>
      <c r="U694" s="51">
        <v>30</v>
      </c>
      <c r="V694" s="75">
        <f t="shared" si="19"/>
        <v>900</v>
      </c>
      <c r="W694" s="51" t="s">
        <v>510</v>
      </c>
      <c r="X694" s="202" t="s">
        <v>538</v>
      </c>
      <c r="Y694" s="360" t="s">
        <v>324</v>
      </c>
      <c r="Z694" s="169" t="s">
        <v>5472</v>
      </c>
      <c r="AA694" s="170" t="s">
        <v>3872</v>
      </c>
      <c r="AB694" s="243" t="s">
        <v>5065</v>
      </c>
      <c r="AC694" s="172">
        <f>3290.7+800</f>
        <v>4090.7</v>
      </c>
      <c r="AE694" s="137" t="s">
        <v>4004</v>
      </c>
      <c r="AF694" s="138"/>
      <c r="AG694" s="138" t="s">
        <v>56</v>
      </c>
      <c r="AH694" s="138" t="s">
        <v>56</v>
      </c>
      <c r="AI694" s="138" t="s">
        <v>5482</v>
      </c>
      <c r="AJ694" s="138"/>
      <c r="AK694" s="138"/>
      <c r="AL694" s="222"/>
    </row>
    <row r="695" spans="1:38" ht="30" x14ac:dyDescent="0.25">
      <c r="A695" s="14">
        <v>45846</v>
      </c>
      <c r="B695" s="71"/>
      <c r="C695" s="71"/>
      <c r="D695" s="71"/>
      <c r="E695" s="364" t="s">
        <v>195</v>
      </c>
      <c r="F695" s="365"/>
      <c r="G695" s="365"/>
      <c r="H695" s="365"/>
      <c r="I695" s="367" t="s">
        <v>9863</v>
      </c>
      <c r="J695" s="368">
        <v>15</v>
      </c>
      <c r="K695" s="369" t="s">
        <v>5483</v>
      </c>
      <c r="L695" s="423"/>
      <c r="M695" s="42"/>
      <c r="N695" s="77"/>
      <c r="O695" s="49"/>
      <c r="P695" s="49"/>
      <c r="Q695" s="49"/>
      <c r="R695" s="424"/>
      <c r="S695" s="424"/>
      <c r="T695" s="425"/>
      <c r="U695" s="425"/>
      <c r="V695" s="426">
        <f t="shared" si="19"/>
        <v>0</v>
      </c>
      <c r="W695" s="51" t="s">
        <v>4184</v>
      </c>
      <c r="X695" s="198" t="s">
        <v>5484</v>
      </c>
      <c r="Y695" s="168" t="s">
        <v>50</v>
      </c>
      <c r="Z695" s="427"/>
      <c r="AA695" s="170" t="s">
        <v>83</v>
      </c>
      <c r="AB695" s="243"/>
      <c r="AC695" s="172">
        <v>1725</v>
      </c>
      <c r="AE695" s="137"/>
      <c r="AF695" s="138"/>
      <c r="AG695" s="138"/>
      <c r="AH695" s="138"/>
      <c r="AI695" s="138"/>
      <c r="AJ695" s="138"/>
      <c r="AK695" s="138"/>
      <c r="AL695" s="222"/>
    </row>
    <row r="696" spans="1:38" ht="105" x14ac:dyDescent="0.25">
      <c r="A696" s="14">
        <v>45846</v>
      </c>
      <c r="B696" s="41" t="s">
        <v>5485</v>
      </c>
      <c r="C696" s="41" t="s">
        <v>5486</v>
      </c>
      <c r="D696" s="41"/>
      <c r="E696" s="42" t="s">
        <v>39</v>
      </c>
      <c r="F696" s="43"/>
      <c r="G696" s="43"/>
      <c r="H696" s="19">
        <v>1</v>
      </c>
      <c r="I696" s="245" t="s">
        <v>5487</v>
      </c>
      <c r="J696" s="45">
        <v>125</v>
      </c>
      <c r="K696" s="46" t="s">
        <v>9941</v>
      </c>
      <c r="L696" s="47" t="s">
        <v>63</v>
      </c>
      <c r="M696" s="73" t="s">
        <v>42</v>
      </c>
      <c r="N696" s="77" t="s">
        <v>5488</v>
      </c>
      <c r="O696" s="49"/>
      <c r="P696" s="49" t="s">
        <v>5457</v>
      </c>
      <c r="Q696" s="49" t="s">
        <v>5489</v>
      </c>
      <c r="R696" s="50">
        <v>1</v>
      </c>
      <c r="S696" s="50">
        <v>2</v>
      </c>
      <c r="T696" s="51" t="s">
        <v>96</v>
      </c>
      <c r="U696" s="51">
        <v>0</v>
      </c>
      <c r="V696" s="52">
        <f t="shared" si="19"/>
        <v>0</v>
      </c>
      <c r="W696" s="51" t="s">
        <v>68</v>
      </c>
      <c r="X696" s="198" t="s">
        <v>5490</v>
      </c>
      <c r="Y696" s="168" t="s">
        <v>2880</v>
      </c>
      <c r="Z696" s="169" t="s">
        <v>4664</v>
      </c>
      <c r="AA696" s="170" t="s">
        <v>5491</v>
      </c>
      <c r="AB696" s="243" t="s">
        <v>5492</v>
      </c>
      <c r="AC696" s="172">
        <v>5075</v>
      </c>
      <c r="AE696" s="255" t="s">
        <v>5493</v>
      </c>
      <c r="AF696" s="138"/>
      <c r="AG696" s="138" t="s">
        <v>56</v>
      </c>
      <c r="AH696" s="138" t="s">
        <v>86</v>
      </c>
      <c r="AI696" s="138" t="s">
        <v>5494</v>
      </c>
      <c r="AJ696" s="138"/>
      <c r="AK696" s="138"/>
      <c r="AL696" s="222"/>
    </row>
    <row r="697" spans="1:38" s="200" customFormat="1" ht="45" customHeight="1" x14ac:dyDescent="0.25">
      <c r="A697" s="14">
        <v>45846</v>
      </c>
      <c r="B697" s="41" t="s">
        <v>5485</v>
      </c>
      <c r="C697" s="41" t="s">
        <v>5495</v>
      </c>
      <c r="D697" s="41"/>
      <c r="E697" s="42" t="s">
        <v>39</v>
      </c>
      <c r="F697" s="43"/>
      <c r="G697" s="43"/>
      <c r="H697" s="19">
        <v>1</v>
      </c>
      <c r="I697" s="245" t="s">
        <v>5496</v>
      </c>
      <c r="J697" s="45">
        <v>125</v>
      </c>
      <c r="K697" s="46" t="s">
        <v>9941</v>
      </c>
      <c r="L697" s="47" t="s">
        <v>63</v>
      </c>
      <c r="M697" s="73" t="s">
        <v>42</v>
      </c>
      <c r="N697" s="77" t="s">
        <v>5497</v>
      </c>
      <c r="O697" s="49"/>
      <c r="P697" s="49" t="s">
        <v>5498</v>
      </c>
      <c r="Q697" s="49" t="s">
        <v>5457</v>
      </c>
      <c r="R697" s="50">
        <v>1</v>
      </c>
      <c r="S697" s="50">
        <v>2</v>
      </c>
      <c r="T697" s="51" t="s">
        <v>96</v>
      </c>
      <c r="U697" s="51">
        <v>0</v>
      </c>
      <c r="V697" s="52">
        <f t="shared" si="19"/>
        <v>0</v>
      </c>
      <c r="W697" s="51" t="s">
        <v>68</v>
      </c>
      <c r="X697" s="198" t="s">
        <v>5499</v>
      </c>
      <c r="Y697" s="199" t="s">
        <v>70</v>
      </c>
      <c r="Z697" s="169" t="s">
        <v>4664</v>
      </c>
      <c r="AA697" s="170" t="s">
        <v>5500</v>
      </c>
      <c r="AB697" s="243" t="s">
        <v>5501</v>
      </c>
      <c r="AC697" s="172">
        <v>5075</v>
      </c>
      <c r="AE697" s="255" t="s">
        <v>5493</v>
      </c>
      <c r="AF697" s="138"/>
      <c r="AG697" s="138" t="s">
        <v>56</v>
      </c>
      <c r="AH697" s="138" t="s">
        <v>86</v>
      </c>
      <c r="AI697" s="138"/>
      <c r="AJ697" s="138"/>
      <c r="AK697" s="138"/>
      <c r="AL697" s="222"/>
    </row>
    <row r="698" spans="1:38" s="200" customFormat="1" ht="58.5" customHeight="1" x14ac:dyDescent="0.25">
      <c r="A698" s="14">
        <v>45846</v>
      </c>
      <c r="B698" s="41" t="s">
        <v>5502</v>
      </c>
      <c r="C698" s="41" t="s">
        <v>5503</v>
      </c>
      <c r="D698" s="41"/>
      <c r="E698" s="42" t="s">
        <v>39</v>
      </c>
      <c r="F698" s="19">
        <v>1</v>
      </c>
      <c r="G698" s="43"/>
      <c r="H698" s="43"/>
      <c r="I698" s="245" t="s">
        <v>5504</v>
      </c>
      <c r="J698" s="45">
        <v>8</v>
      </c>
      <c r="K698" s="46" t="s">
        <v>9941</v>
      </c>
      <c r="L698" s="47" t="s">
        <v>63</v>
      </c>
      <c r="M698" s="73" t="s">
        <v>42</v>
      </c>
      <c r="N698" s="77" t="s">
        <v>5505</v>
      </c>
      <c r="O698" s="49" t="s">
        <v>5329</v>
      </c>
      <c r="P698" s="49" t="s">
        <v>5456</v>
      </c>
      <c r="Q698" s="49" t="s">
        <v>5480</v>
      </c>
      <c r="R698" s="50">
        <v>54</v>
      </c>
      <c r="S698" s="50">
        <v>560</v>
      </c>
      <c r="T698" s="51" t="s">
        <v>47</v>
      </c>
      <c r="U698" s="51">
        <v>6</v>
      </c>
      <c r="V698" s="52">
        <f t="shared" si="19"/>
        <v>48</v>
      </c>
      <c r="W698" s="51" t="s">
        <v>350</v>
      </c>
      <c r="X698" s="198" t="s">
        <v>2816</v>
      </c>
      <c r="Y698" s="199" t="s">
        <v>50</v>
      </c>
      <c r="Z698" s="169"/>
      <c r="AA698" s="170" t="s">
        <v>3853</v>
      </c>
      <c r="AB698" s="243" t="s">
        <v>3854</v>
      </c>
      <c r="AC698" s="172">
        <v>4042.64</v>
      </c>
      <c r="AE698" s="138" t="s">
        <v>4867</v>
      </c>
      <c r="AF698" s="138"/>
      <c r="AG698" s="138" t="s">
        <v>56</v>
      </c>
      <c r="AH698" s="138" t="s">
        <v>86</v>
      </c>
      <c r="AI698" s="138"/>
      <c r="AJ698" s="138"/>
      <c r="AK698" s="138"/>
      <c r="AL698" s="222"/>
    </row>
    <row r="699" spans="1:38" s="200" customFormat="1" ht="105.75" customHeight="1" x14ac:dyDescent="0.25">
      <c r="A699" s="14">
        <v>45846</v>
      </c>
      <c r="B699" s="41" t="s">
        <v>5395</v>
      </c>
      <c r="C699" s="41" t="s">
        <v>5396</v>
      </c>
      <c r="D699" s="41" t="s">
        <v>5397</v>
      </c>
      <c r="E699" s="42" t="s">
        <v>39</v>
      </c>
      <c r="F699" s="19">
        <v>1</v>
      </c>
      <c r="G699" s="43"/>
      <c r="H699" s="43"/>
      <c r="I699" s="245" t="s">
        <v>5506</v>
      </c>
      <c r="J699" s="45">
        <v>60</v>
      </c>
      <c r="K699" s="46" t="s">
        <v>9942</v>
      </c>
      <c r="L699" s="47" t="s">
        <v>63</v>
      </c>
      <c r="M699" s="47" t="s">
        <v>55</v>
      </c>
      <c r="N699" s="77" t="s">
        <v>5507</v>
      </c>
      <c r="O699" s="49" t="s">
        <v>5400</v>
      </c>
      <c r="P699" s="49" t="s">
        <v>5401</v>
      </c>
      <c r="Q699" s="49" t="s">
        <v>5402</v>
      </c>
      <c r="R699" s="50">
        <v>116</v>
      </c>
      <c r="S699" s="50">
        <v>409</v>
      </c>
      <c r="T699" s="51" t="s">
        <v>180</v>
      </c>
      <c r="U699" s="51">
        <v>1</v>
      </c>
      <c r="V699" s="52">
        <f t="shared" si="19"/>
        <v>60</v>
      </c>
      <c r="W699" s="51" t="s">
        <v>510</v>
      </c>
      <c r="X699" s="202" t="s">
        <v>538</v>
      </c>
      <c r="Y699" s="263" t="s">
        <v>324</v>
      </c>
      <c r="Z699" s="169"/>
      <c r="AA699" s="170" t="s">
        <v>5403</v>
      </c>
      <c r="AB699" s="243" t="s">
        <v>5404</v>
      </c>
      <c r="AC699" s="420">
        <v>6396</v>
      </c>
      <c r="AE699" s="137" t="s">
        <v>5405</v>
      </c>
      <c r="AF699" s="138"/>
      <c r="AG699" s="138" t="s">
        <v>56</v>
      </c>
      <c r="AH699" s="138" t="s">
        <v>56</v>
      </c>
      <c r="AI699" s="138"/>
      <c r="AJ699" s="138"/>
      <c r="AK699" s="138"/>
      <c r="AL699" s="138"/>
    </row>
    <row r="700" spans="1:38" ht="178.5" customHeight="1" x14ac:dyDescent="0.25">
      <c r="A700" s="14">
        <v>45846</v>
      </c>
      <c r="B700" s="41" t="s">
        <v>5508</v>
      </c>
      <c r="C700" s="41" t="s">
        <v>5509</v>
      </c>
      <c r="D700" s="41" t="s">
        <v>5510</v>
      </c>
      <c r="E700" s="42" t="s">
        <v>39</v>
      </c>
      <c r="F700" s="43"/>
      <c r="G700" s="43"/>
      <c r="H700" s="19">
        <v>1</v>
      </c>
      <c r="I700" s="245" t="s">
        <v>9900</v>
      </c>
      <c r="J700" s="45">
        <v>63</v>
      </c>
      <c r="K700" s="46" t="s">
        <v>9942</v>
      </c>
      <c r="L700" s="47" t="s">
        <v>63</v>
      </c>
      <c r="M700" s="73" t="s">
        <v>42</v>
      </c>
      <c r="N700" s="77" t="s">
        <v>5511</v>
      </c>
      <c r="O700" s="49" t="s">
        <v>5512</v>
      </c>
      <c r="P700" s="49" t="s">
        <v>5438</v>
      </c>
      <c r="Q700" s="49" t="s">
        <v>5315</v>
      </c>
      <c r="R700" s="50">
        <v>35</v>
      </c>
      <c r="S700" s="50">
        <v>528</v>
      </c>
      <c r="T700" s="51" t="s">
        <v>47</v>
      </c>
      <c r="U700" s="51">
        <v>3</v>
      </c>
      <c r="V700" s="52">
        <f t="shared" si="19"/>
        <v>189</v>
      </c>
      <c r="W700" s="51" t="s">
        <v>221</v>
      </c>
      <c r="X700" s="202" t="s">
        <v>1189</v>
      </c>
      <c r="Y700" s="263" t="s">
        <v>144</v>
      </c>
      <c r="Z700" s="169" t="s">
        <v>5513</v>
      </c>
      <c r="AA700" s="170" t="s">
        <v>5451</v>
      </c>
      <c r="AB700" s="243" t="s">
        <v>5514</v>
      </c>
      <c r="AC700" s="172">
        <v>8946</v>
      </c>
      <c r="AE700" s="137" t="s">
        <v>4004</v>
      </c>
      <c r="AF700" s="138"/>
      <c r="AG700" s="138" t="s">
        <v>56</v>
      </c>
      <c r="AH700" s="138" t="s">
        <v>86</v>
      </c>
      <c r="AI700" s="138"/>
      <c r="AJ700" s="138" t="s">
        <v>56</v>
      </c>
      <c r="AK700" s="138" t="s">
        <v>1527</v>
      </c>
      <c r="AL700" s="222"/>
    </row>
    <row r="701" spans="1:38" s="200" customFormat="1" ht="120" x14ac:dyDescent="0.25">
      <c r="A701" s="14">
        <v>45841</v>
      </c>
      <c r="B701" s="54" t="s">
        <v>5515</v>
      </c>
      <c r="C701" s="54" t="s">
        <v>5516</v>
      </c>
      <c r="D701" s="54"/>
      <c r="E701" s="56" t="s">
        <v>39</v>
      </c>
      <c r="F701" s="19">
        <v>1</v>
      </c>
      <c r="G701" s="57"/>
      <c r="H701" s="57"/>
      <c r="I701" s="245" t="s">
        <v>5517</v>
      </c>
      <c r="J701" s="59">
        <v>30</v>
      </c>
      <c r="K701" s="117" t="s">
        <v>5518</v>
      </c>
      <c r="L701" s="79" t="s">
        <v>63</v>
      </c>
      <c r="M701" s="79" t="s">
        <v>55</v>
      </c>
      <c r="N701" s="80" t="s">
        <v>240</v>
      </c>
      <c r="O701" s="62" t="s">
        <v>5519</v>
      </c>
      <c r="P701" s="62" t="s">
        <v>5520</v>
      </c>
      <c r="Q701" s="62" t="s">
        <v>5457</v>
      </c>
      <c r="R701" s="61">
        <v>2</v>
      </c>
      <c r="S701" s="61">
        <v>2</v>
      </c>
      <c r="T701" s="56" t="s">
        <v>47</v>
      </c>
      <c r="U701" s="56">
        <v>0</v>
      </c>
      <c r="V701" s="63">
        <f t="shared" si="19"/>
        <v>0</v>
      </c>
      <c r="W701" s="56" t="s">
        <v>350</v>
      </c>
      <c r="X701" s="198" t="s">
        <v>5521</v>
      </c>
      <c r="Y701" s="199" t="s">
        <v>3963</v>
      </c>
      <c r="Z701" s="169" t="s">
        <v>4664</v>
      </c>
      <c r="AA701" s="170" t="s">
        <v>5522</v>
      </c>
      <c r="AB701" s="243" t="s">
        <v>5523</v>
      </c>
      <c r="AC701" s="172">
        <v>6580</v>
      </c>
      <c r="AE701" s="222" t="s">
        <v>5524</v>
      </c>
      <c r="AF701" s="138"/>
      <c r="AG701" s="138" t="s">
        <v>56</v>
      </c>
      <c r="AH701" s="138" t="s">
        <v>56</v>
      </c>
      <c r="AI701" s="138"/>
      <c r="AJ701" s="138"/>
      <c r="AK701" s="138"/>
      <c r="AL701" s="222"/>
    </row>
    <row r="702" spans="1:38" ht="126" customHeight="1" x14ac:dyDescent="0.25">
      <c r="A702" s="14">
        <v>45841</v>
      </c>
      <c r="B702" s="41" t="s">
        <v>5525</v>
      </c>
      <c r="C702" s="41" t="s">
        <v>5526</v>
      </c>
      <c r="D702" s="41" t="s">
        <v>5527</v>
      </c>
      <c r="E702" s="42" t="s">
        <v>39</v>
      </c>
      <c r="F702" s="19">
        <v>1</v>
      </c>
      <c r="G702" s="43"/>
      <c r="H702" s="43"/>
      <c r="I702" s="245" t="s">
        <v>5528</v>
      </c>
      <c r="J702" s="45">
        <v>2</v>
      </c>
      <c r="K702" s="46" t="s">
        <v>5529</v>
      </c>
      <c r="L702" s="277" t="s">
        <v>63</v>
      </c>
      <c r="M702" s="73" t="s">
        <v>42</v>
      </c>
      <c r="N702" s="428" t="s">
        <v>5530</v>
      </c>
      <c r="O702" s="49" t="s">
        <v>5531</v>
      </c>
      <c r="P702" s="49" t="s">
        <v>5532</v>
      </c>
      <c r="Q702" s="49" t="s">
        <v>5533</v>
      </c>
      <c r="R702" s="92">
        <v>148</v>
      </c>
      <c r="S702" s="50">
        <v>675</v>
      </c>
      <c r="T702" s="51" t="s">
        <v>141</v>
      </c>
      <c r="U702" s="51">
        <v>2</v>
      </c>
      <c r="V702" s="52">
        <f t="shared" si="19"/>
        <v>4</v>
      </c>
      <c r="W702" s="51" t="s">
        <v>350</v>
      </c>
      <c r="X702" s="198" t="s">
        <v>482</v>
      </c>
      <c r="Y702" s="168" t="s">
        <v>50</v>
      </c>
      <c r="Z702" s="169" t="s">
        <v>5104</v>
      </c>
      <c r="AA702" s="170" t="s">
        <v>5534</v>
      </c>
      <c r="AB702" s="243" t="s">
        <v>5535</v>
      </c>
      <c r="AC702" s="172">
        <f>1300+1000+750+1500+5247</f>
        <v>9797</v>
      </c>
      <c r="AE702" s="138" t="s">
        <v>4867</v>
      </c>
      <c r="AF702" s="138" t="s">
        <v>5394</v>
      </c>
      <c r="AG702" s="138" t="s">
        <v>56</v>
      </c>
      <c r="AH702" s="138" t="s">
        <v>56</v>
      </c>
      <c r="AI702" s="138"/>
      <c r="AJ702" s="138"/>
      <c r="AK702" s="138"/>
      <c r="AL702" s="138"/>
    </row>
    <row r="703" spans="1:38" s="200" customFormat="1" ht="100.5" customHeight="1" x14ac:dyDescent="0.25">
      <c r="A703" s="14">
        <v>45841</v>
      </c>
      <c r="B703" s="41" t="s">
        <v>5536</v>
      </c>
      <c r="C703" s="204" t="s">
        <v>5537</v>
      </c>
      <c r="D703" s="204" t="s">
        <v>5538</v>
      </c>
      <c r="E703" s="42" t="s">
        <v>39</v>
      </c>
      <c r="F703" s="19">
        <v>3</v>
      </c>
      <c r="G703" s="43"/>
      <c r="H703" s="43"/>
      <c r="I703" s="245" t="s">
        <v>9901</v>
      </c>
      <c r="J703" s="45">
        <v>198</v>
      </c>
      <c r="K703" s="46" t="s">
        <v>5529</v>
      </c>
      <c r="L703" s="47" t="s">
        <v>63</v>
      </c>
      <c r="M703" s="42" t="s">
        <v>42</v>
      </c>
      <c r="N703" s="216" t="s">
        <v>5539</v>
      </c>
      <c r="O703" s="49" t="s">
        <v>5540</v>
      </c>
      <c r="P703" s="49" t="s">
        <v>5541</v>
      </c>
      <c r="Q703" s="49" t="s">
        <v>5542</v>
      </c>
      <c r="R703" s="50">
        <v>67</v>
      </c>
      <c r="S703" s="50">
        <v>152</v>
      </c>
      <c r="T703" s="51" t="s">
        <v>47</v>
      </c>
      <c r="U703" s="51">
        <v>6</v>
      </c>
      <c r="V703" s="75">
        <f t="shared" si="19"/>
        <v>1188</v>
      </c>
      <c r="W703" s="51" t="s">
        <v>5543</v>
      </c>
      <c r="X703" s="198" t="s">
        <v>5544</v>
      </c>
      <c r="Y703" s="199" t="s">
        <v>50</v>
      </c>
      <c r="Z703" s="169" t="s">
        <v>5545</v>
      </c>
      <c r="AA703" s="170" t="s">
        <v>5491</v>
      </c>
      <c r="AB703" s="243" t="s">
        <v>5492</v>
      </c>
      <c r="AC703" s="35">
        <f>11545.38+2800</f>
        <v>14345.38</v>
      </c>
      <c r="AE703" s="222" t="s">
        <v>5524</v>
      </c>
      <c r="AF703" s="138"/>
      <c r="AG703" s="138" t="s">
        <v>56</v>
      </c>
      <c r="AH703" s="138" t="s">
        <v>56</v>
      </c>
      <c r="AI703" s="138"/>
      <c r="AJ703" s="138" t="s">
        <v>56</v>
      </c>
      <c r="AK703" s="138" t="s">
        <v>1076</v>
      </c>
      <c r="AL703" s="222"/>
    </row>
    <row r="704" spans="1:38" s="200" customFormat="1" ht="58.5" customHeight="1" x14ac:dyDescent="0.25">
      <c r="A704" s="14">
        <v>45840</v>
      </c>
      <c r="B704" s="54" t="s">
        <v>5546</v>
      </c>
      <c r="C704" s="54" t="s">
        <v>5547</v>
      </c>
      <c r="D704" s="276" t="s">
        <v>5548</v>
      </c>
      <c r="E704" s="56" t="s">
        <v>39</v>
      </c>
      <c r="F704" s="19">
        <v>1</v>
      </c>
      <c r="G704" s="57"/>
      <c r="H704" s="57"/>
      <c r="I704" s="245" t="s">
        <v>5549</v>
      </c>
      <c r="J704" s="59">
        <v>8</v>
      </c>
      <c r="K704" s="117" t="s">
        <v>5550</v>
      </c>
      <c r="L704" s="61" t="s">
        <v>63</v>
      </c>
      <c r="M704" s="61" t="s">
        <v>55</v>
      </c>
      <c r="N704" s="80" t="s">
        <v>5551</v>
      </c>
      <c r="O704" s="62" t="s">
        <v>5455</v>
      </c>
      <c r="P704" s="62" t="s">
        <v>5552</v>
      </c>
      <c r="Q704" s="62" t="s">
        <v>5553</v>
      </c>
      <c r="R704" s="61">
        <v>90</v>
      </c>
      <c r="S704" s="61">
        <v>484</v>
      </c>
      <c r="T704" s="56" t="s">
        <v>180</v>
      </c>
      <c r="U704" s="56">
        <v>46</v>
      </c>
      <c r="V704" s="63">
        <f t="shared" si="19"/>
        <v>368</v>
      </c>
      <c r="W704" s="51" t="s">
        <v>350</v>
      </c>
      <c r="X704" s="198" t="s">
        <v>1083</v>
      </c>
      <c r="Y704" s="199" t="s">
        <v>50</v>
      </c>
      <c r="Z704" s="169"/>
      <c r="AA704" s="170" t="s">
        <v>5005</v>
      </c>
      <c r="AB704" s="243" t="s">
        <v>5065</v>
      </c>
      <c r="AC704" s="172">
        <v>8859.2000000000007</v>
      </c>
      <c r="AE704" s="138" t="s">
        <v>4867</v>
      </c>
      <c r="AF704" s="138" t="s">
        <v>5554</v>
      </c>
      <c r="AG704" s="138" t="s">
        <v>354</v>
      </c>
      <c r="AH704" s="138" t="s">
        <v>56</v>
      </c>
      <c r="AI704" s="138"/>
      <c r="AJ704" s="138"/>
      <c r="AK704" s="138"/>
      <c r="AL704" s="222"/>
    </row>
    <row r="705" spans="1:39" s="200" customFormat="1" ht="120" x14ac:dyDescent="0.25">
      <c r="A705" s="14">
        <v>45840</v>
      </c>
      <c r="B705" s="403" t="s">
        <v>5434</v>
      </c>
      <c r="C705" s="403" t="s">
        <v>5555</v>
      </c>
      <c r="D705" s="403" t="s">
        <v>5556</v>
      </c>
      <c r="E705" s="404" t="s">
        <v>39</v>
      </c>
      <c r="F705" s="19">
        <v>1</v>
      </c>
      <c r="G705" s="405"/>
      <c r="H705" s="405"/>
      <c r="I705" s="245" t="s">
        <v>5557</v>
      </c>
      <c r="J705" s="406">
        <v>30</v>
      </c>
      <c r="K705" s="407" t="s">
        <v>5558</v>
      </c>
      <c r="L705" s="408" t="s">
        <v>63</v>
      </c>
      <c r="M705" s="408" t="s">
        <v>55</v>
      </c>
      <c r="N705" s="334" t="s">
        <v>5559</v>
      </c>
      <c r="O705" s="409" t="s">
        <v>5533</v>
      </c>
      <c r="P705" s="409" t="s">
        <v>5560</v>
      </c>
      <c r="Q705" s="409" t="s">
        <v>5316</v>
      </c>
      <c r="R705" s="410">
        <v>114</v>
      </c>
      <c r="S705" s="410">
        <v>476</v>
      </c>
      <c r="T705" s="404" t="s">
        <v>141</v>
      </c>
      <c r="U705" s="404">
        <v>18</v>
      </c>
      <c r="V705" s="411">
        <f t="shared" si="19"/>
        <v>540</v>
      </c>
      <c r="W705" s="404" t="s">
        <v>350</v>
      </c>
      <c r="X705" s="202" t="s">
        <v>538</v>
      </c>
      <c r="Y705" s="263" t="s">
        <v>324</v>
      </c>
      <c r="Z705" s="169" t="s">
        <v>5104</v>
      </c>
      <c r="AA705" s="170" t="s">
        <v>3872</v>
      </c>
      <c r="AB705" s="243" t="s">
        <v>5441</v>
      </c>
      <c r="AC705" s="172">
        <v>10742.2</v>
      </c>
      <c r="AE705" s="137" t="s">
        <v>4004</v>
      </c>
      <c r="AF705" s="138"/>
      <c r="AG705" s="138" t="s">
        <v>56</v>
      </c>
      <c r="AH705" s="138"/>
      <c r="AI705" s="138"/>
      <c r="AJ705" s="138"/>
      <c r="AK705" s="138"/>
      <c r="AL705" s="222"/>
    </row>
    <row r="706" spans="1:39" ht="226.5" x14ac:dyDescent="0.25">
      <c r="A706" s="14">
        <v>45839</v>
      </c>
      <c r="B706" s="41" t="s">
        <v>3845</v>
      </c>
      <c r="C706" s="41" t="s">
        <v>3846</v>
      </c>
      <c r="D706" s="41" t="s">
        <v>5561</v>
      </c>
      <c r="E706" s="42" t="s">
        <v>195</v>
      </c>
      <c r="F706" s="43"/>
      <c r="G706" s="43"/>
      <c r="H706" s="19">
        <v>1</v>
      </c>
      <c r="I706" s="245" t="s">
        <v>5562</v>
      </c>
      <c r="J706" s="45">
        <v>60</v>
      </c>
      <c r="K706" s="46" t="s">
        <v>5563</v>
      </c>
      <c r="L706" s="47" t="s">
        <v>63</v>
      </c>
      <c r="M706" s="42" t="s">
        <v>55</v>
      </c>
      <c r="N706" s="77" t="s">
        <v>5564</v>
      </c>
      <c r="O706" s="49"/>
      <c r="P706" s="49" t="s">
        <v>5316</v>
      </c>
      <c r="Q706" s="49" t="s">
        <v>5565</v>
      </c>
      <c r="R706" s="50">
        <v>2</v>
      </c>
      <c r="S706" s="50">
        <v>4</v>
      </c>
      <c r="T706" s="51" t="s">
        <v>96</v>
      </c>
      <c r="U706" s="51">
        <v>0</v>
      </c>
      <c r="V706" s="52">
        <f t="shared" si="19"/>
        <v>0</v>
      </c>
      <c r="W706" s="51" t="s">
        <v>350</v>
      </c>
      <c r="X706" s="198" t="s">
        <v>482</v>
      </c>
      <c r="Y706" s="199" t="s">
        <v>50</v>
      </c>
      <c r="Z706" s="169" t="s">
        <v>4664</v>
      </c>
      <c r="AA706" s="170" t="s">
        <v>3853</v>
      </c>
      <c r="AB706" s="243" t="s">
        <v>3854</v>
      </c>
      <c r="AC706" s="35">
        <f>6403.2*J706/368</f>
        <v>1044</v>
      </c>
      <c r="AE706" s="138" t="s">
        <v>4867</v>
      </c>
      <c r="AF706" s="138"/>
      <c r="AG706" s="138" t="s">
        <v>56</v>
      </c>
      <c r="AH706" s="138" t="s">
        <v>56</v>
      </c>
      <c r="AI706" s="138"/>
      <c r="AJ706" s="138" t="s">
        <v>56</v>
      </c>
      <c r="AK706" s="138" t="s">
        <v>1527</v>
      </c>
      <c r="AL706" s="222"/>
    </row>
    <row r="707" spans="1:39" s="200" customFormat="1" ht="50.25" customHeight="1" x14ac:dyDescent="0.25">
      <c r="A707" s="14">
        <v>45839</v>
      </c>
      <c r="B707" s="41" t="s">
        <v>5566</v>
      </c>
      <c r="C707" s="41" t="s">
        <v>5567</v>
      </c>
      <c r="D707" s="41"/>
      <c r="E707" s="42" t="s">
        <v>39</v>
      </c>
      <c r="F707" s="43"/>
      <c r="G707" s="43"/>
      <c r="H707" s="19">
        <v>1</v>
      </c>
      <c r="I707" s="245" t="s">
        <v>5568</v>
      </c>
      <c r="J707" s="45">
        <v>8</v>
      </c>
      <c r="K707" s="46" t="s">
        <v>5569</v>
      </c>
      <c r="L707" s="47" t="s">
        <v>41</v>
      </c>
      <c r="M707" s="47" t="s">
        <v>55</v>
      </c>
      <c r="N707" s="77" t="s">
        <v>5570</v>
      </c>
      <c r="O707" s="49" t="s">
        <v>5571</v>
      </c>
      <c r="P707" s="49" t="s">
        <v>5572</v>
      </c>
      <c r="Q707" s="49" t="s">
        <v>5573</v>
      </c>
      <c r="R707" s="50">
        <v>19</v>
      </c>
      <c r="S707" s="50">
        <v>28</v>
      </c>
      <c r="T707" s="51" t="s">
        <v>47</v>
      </c>
      <c r="U707" s="51">
        <v>1</v>
      </c>
      <c r="V707" s="52">
        <f t="shared" si="19"/>
        <v>8</v>
      </c>
      <c r="W707" s="51" t="s">
        <v>68</v>
      </c>
      <c r="X707" s="198" t="s">
        <v>511</v>
      </c>
      <c r="Y707" s="263" t="s">
        <v>144</v>
      </c>
      <c r="Z707" s="169"/>
      <c r="AA707" s="170" t="s">
        <v>83</v>
      </c>
      <c r="AB707" s="243" t="s">
        <v>5501</v>
      </c>
      <c r="AC707" s="172">
        <v>1688</v>
      </c>
      <c r="AE707" s="222" t="s">
        <v>5524</v>
      </c>
      <c r="AF707" s="138"/>
      <c r="AG707" s="138" t="s">
        <v>56</v>
      </c>
      <c r="AH707" s="138" t="s">
        <v>86</v>
      </c>
      <c r="AI707" s="138"/>
      <c r="AJ707" s="138" t="s">
        <v>56</v>
      </c>
      <c r="AK707" s="138" t="s">
        <v>1076</v>
      </c>
      <c r="AL707" s="222"/>
      <c r="AM707"/>
    </row>
    <row r="708" spans="1:39" s="200" customFormat="1" ht="126" customHeight="1" x14ac:dyDescent="0.25">
      <c r="A708" s="14">
        <v>45838</v>
      </c>
      <c r="B708" s="41" t="s">
        <v>5105</v>
      </c>
      <c r="C708" s="41" t="s">
        <v>5574</v>
      </c>
      <c r="D708" s="41" t="s">
        <v>5107</v>
      </c>
      <c r="E708" s="42" t="s">
        <v>39</v>
      </c>
      <c r="F708" s="43"/>
      <c r="G708" s="43"/>
      <c r="H708" s="19" t="s">
        <v>1877</v>
      </c>
      <c r="I708" s="245" t="s">
        <v>5575</v>
      </c>
      <c r="J708" s="45">
        <v>50</v>
      </c>
      <c r="K708" s="46" t="s">
        <v>5576</v>
      </c>
      <c r="L708" s="47" t="s">
        <v>63</v>
      </c>
      <c r="M708" s="73" t="s">
        <v>42</v>
      </c>
      <c r="N708" s="77" t="s">
        <v>5577</v>
      </c>
      <c r="O708" s="49"/>
      <c r="P708" s="49"/>
      <c r="Q708" s="49"/>
      <c r="R708" s="50">
        <v>1</v>
      </c>
      <c r="S708" s="50">
        <v>1</v>
      </c>
      <c r="T708" s="51" t="s">
        <v>393</v>
      </c>
      <c r="U708" s="51">
        <v>1</v>
      </c>
      <c r="V708" s="52">
        <f t="shared" si="19"/>
        <v>50</v>
      </c>
      <c r="W708" s="51" t="s">
        <v>350</v>
      </c>
      <c r="X708" s="198" t="s">
        <v>482</v>
      </c>
      <c r="Y708" s="199" t="s">
        <v>50</v>
      </c>
      <c r="Z708" s="269" t="s">
        <v>4664</v>
      </c>
      <c r="AA708" s="170" t="s">
        <v>3872</v>
      </c>
      <c r="AB708" s="243" t="s">
        <v>3873</v>
      </c>
      <c r="AC708" s="322">
        <f>5255 * J708/188</f>
        <v>1397.6063829787233</v>
      </c>
      <c r="AE708" s="138" t="s">
        <v>4867</v>
      </c>
      <c r="AF708" s="138"/>
      <c r="AG708" s="138" t="s">
        <v>56</v>
      </c>
      <c r="AH708" s="138" t="s">
        <v>56</v>
      </c>
      <c r="AI708" s="138"/>
      <c r="AJ708" s="138" t="s">
        <v>56</v>
      </c>
      <c r="AK708" s="138" t="s">
        <v>2284</v>
      </c>
      <c r="AL708" s="222"/>
    </row>
    <row r="709" spans="1:39" s="200" customFormat="1" ht="345" customHeight="1" x14ac:dyDescent="0.25">
      <c r="A709" s="14">
        <v>45838</v>
      </c>
      <c r="B709" s="403" t="s">
        <v>5578</v>
      </c>
      <c r="C709" s="403" t="s">
        <v>5579</v>
      </c>
      <c r="D709" s="403" t="s">
        <v>5580</v>
      </c>
      <c r="E709" s="404" t="s">
        <v>39</v>
      </c>
      <c r="F709" s="19">
        <v>1</v>
      </c>
      <c r="G709" s="405"/>
      <c r="H709" s="405"/>
      <c r="I709" s="245" t="s">
        <v>5581</v>
      </c>
      <c r="J709" s="406">
        <v>15</v>
      </c>
      <c r="K709" s="429" t="s">
        <v>5582</v>
      </c>
      <c r="L709" s="408" t="s">
        <v>63</v>
      </c>
      <c r="M709" s="408" t="s">
        <v>55</v>
      </c>
      <c r="N709" s="334" t="s">
        <v>5583</v>
      </c>
      <c r="O709" s="409" t="s">
        <v>5375</v>
      </c>
      <c r="P709" s="409" t="s">
        <v>5584</v>
      </c>
      <c r="Q709" s="409" t="s">
        <v>5531</v>
      </c>
      <c r="R709" s="410">
        <v>188</v>
      </c>
      <c r="S709" s="410">
        <v>669</v>
      </c>
      <c r="T709" s="404" t="s">
        <v>933</v>
      </c>
      <c r="U709" s="404">
        <v>28</v>
      </c>
      <c r="V709" s="411">
        <f t="shared" si="19"/>
        <v>420</v>
      </c>
      <c r="W709" s="404" t="s">
        <v>350</v>
      </c>
      <c r="X709" s="198" t="s">
        <v>2924</v>
      </c>
      <c r="Y709" s="199" t="s">
        <v>82</v>
      </c>
      <c r="Z709" s="169"/>
      <c r="AA709" s="170" t="s">
        <v>3872</v>
      </c>
      <c r="AB709" s="243" t="s">
        <v>3873</v>
      </c>
      <c r="AC709" s="172">
        <v>16051.75</v>
      </c>
      <c r="AE709" s="137" t="s">
        <v>4004</v>
      </c>
      <c r="AF709" s="138" t="s">
        <v>354</v>
      </c>
      <c r="AG709" s="138" t="s">
        <v>56</v>
      </c>
      <c r="AH709" s="138" t="s">
        <v>56</v>
      </c>
      <c r="AI709" s="138"/>
      <c r="AJ709" s="138" t="s">
        <v>5585</v>
      </c>
      <c r="AK709" s="138" t="s">
        <v>5586</v>
      </c>
      <c r="AL709" s="138"/>
    </row>
    <row r="710" spans="1:39" s="200" customFormat="1" ht="90" customHeight="1" x14ac:dyDescent="0.25">
      <c r="A710" s="14">
        <v>45835</v>
      </c>
      <c r="B710" s="41" t="s">
        <v>5395</v>
      </c>
      <c r="C710" s="41" t="s">
        <v>5396</v>
      </c>
      <c r="D710" s="41" t="s">
        <v>5397</v>
      </c>
      <c r="E710" s="42" t="s">
        <v>39</v>
      </c>
      <c r="F710" s="19">
        <v>1</v>
      </c>
      <c r="G710" s="43"/>
      <c r="H710" s="43"/>
      <c r="I710" s="245" t="s">
        <v>5587</v>
      </c>
      <c r="J710" s="45">
        <v>30</v>
      </c>
      <c r="K710" s="46" t="s">
        <v>5576</v>
      </c>
      <c r="L710" s="47" t="s">
        <v>63</v>
      </c>
      <c r="M710" s="47" t="s">
        <v>55</v>
      </c>
      <c r="N710" s="77" t="s">
        <v>5588</v>
      </c>
      <c r="O710" s="49" t="s">
        <v>5400</v>
      </c>
      <c r="P710" s="49" t="s">
        <v>5401</v>
      </c>
      <c r="Q710" s="49" t="s">
        <v>5402</v>
      </c>
      <c r="R710" s="50">
        <v>116</v>
      </c>
      <c r="S710" s="50">
        <v>409</v>
      </c>
      <c r="T710" s="51" t="s">
        <v>180</v>
      </c>
      <c r="U710" s="51">
        <v>1</v>
      </c>
      <c r="V710" s="52">
        <f t="shared" si="19"/>
        <v>30</v>
      </c>
      <c r="W710" s="51" t="s">
        <v>510</v>
      </c>
      <c r="X710" s="202" t="s">
        <v>538</v>
      </c>
      <c r="Y710" s="263" t="s">
        <v>324</v>
      </c>
      <c r="Z710" s="169"/>
      <c r="AA710" s="170" t="s">
        <v>5403</v>
      </c>
      <c r="AB710" s="243" t="s">
        <v>5404</v>
      </c>
      <c r="AC710" s="420">
        <v>3198</v>
      </c>
      <c r="AE710" s="137" t="s">
        <v>5405</v>
      </c>
      <c r="AF710" s="138"/>
      <c r="AG710" s="138" t="s">
        <v>56</v>
      </c>
      <c r="AH710" s="138" t="s">
        <v>56</v>
      </c>
      <c r="AI710" s="138"/>
      <c r="AJ710" s="138"/>
      <c r="AK710" s="138"/>
      <c r="AL710" s="138"/>
    </row>
    <row r="711" spans="1:39" s="200" customFormat="1" ht="150" x14ac:dyDescent="0.25">
      <c r="A711" s="14">
        <v>45835</v>
      </c>
      <c r="B711" s="41" t="s">
        <v>5589</v>
      </c>
      <c r="C711" s="41" t="s">
        <v>5590</v>
      </c>
      <c r="D711" s="41" t="s">
        <v>5591</v>
      </c>
      <c r="E711" s="42" t="s">
        <v>39</v>
      </c>
      <c r="F711" s="43"/>
      <c r="G711" s="43"/>
      <c r="H711" s="19">
        <v>1</v>
      </c>
      <c r="I711" s="245" t="s">
        <v>5592</v>
      </c>
      <c r="J711" s="45">
        <v>200</v>
      </c>
      <c r="K711" s="46" t="s">
        <v>5593</v>
      </c>
      <c r="L711" s="47" t="s">
        <v>63</v>
      </c>
      <c r="M711" s="73" t="s">
        <v>42</v>
      </c>
      <c r="N711" s="77" t="s">
        <v>1563</v>
      </c>
      <c r="O711" s="49" t="s">
        <v>5594</v>
      </c>
      <c r="P711" s="49" t="s">
        <v>5595</v>
      </c>
      <c r="Q711" s="49" t="s">
        <v>5596</v>
      </c>
      <c r="R711" s="50">
        <v>73</v>
      </c>
      <c r="S711" s="50">
        <v>270</v>
      </c>
      <c r="T711" s="51" t="s">
        <v>47</v>
      </c>
      <c r="U711" s="51">
        <v>10</v>
      </c>
      <c r="V711" s="75">
        <f t="shared" si="19"/>
        <v>2000</v>
      </c>
      <c r="W711" s="51" t="s">
        <v>350</v>
      </c>
      <c r="X711" s="198" t="s">
        <v>1566</v>
      </c>
      <c r="Y711" s="199" t="s">
        <v>50</v>
      </c>
      <c r="Z711" s="169"/>
      <c r="AA711" s="170" t="s">
        <v>5597</v>
      </c>
      <c r="AB711" s="243" t="s">
        <v>5598</v>
      </c>
      <c r="AC711" s="172">
        <v>13840</v>
      </c>
      <c r="AE711" s="138" t="s">
        <v>4867</v>
      </c>
      <c r="AF711" s="138"/>
      <c r="AG711" s="138" t="s">
        <v>56</v>
      </c>
      <c r="AH711" s="138" t="s">
        <v>86</v>
      </c>
      <c r="AI711" s="138"/>
      <c r="AJ711" s="138" t="s">
        <v>56</v>
      </c>
      <c r="AK711" s="138" t="s">
        <v>1076</v>
      </c>
      <c r="AL711" s="222"/>
      <c r="AM711"/>
    </row>
    <row r="712" spans="1:39" ht="243" x14ac:dyDescent="0.25">
      <c r="A712" s="14">
        <v>45835</v>
      </c>
      <c r="B712" s="41" t="s">
        <v>5599</v>
      </c>
      <c r="C712" s="41" t="s">
        <v>5600</v>
      </c>
      <c r="D712" s="41"/>
      <c r="E712" s="42" t="s">
        <v>39</v>
      </c>
      <c r="F712" s="43"/>
      <c r="G712" s="43"/>
      <c r="H712" s="19">
        <v>1</v>
      </c>
      <c r="I712" s="245" t="s">
        <v>5601</v>
      </c>
      <c r="J712" s="45">
        <v>2</v>
      </c>
      <c r="K712" s="46" t="s">
        <v>5602</v>
      </c>
      <c r="L712" s="47" t="s">
        <v>63</v>
      </c>
      <c r="M712" s="73" t="s">
        <v>42</v>
      </c>
      <c r="N712" s="77" t="s">
        <v>5603</v>
      </c>
      <c r="O712" s="49" t="s">
        <v>5604</v>
      </c>
      <c r="P712" s="49" t="s">
        <v>5401</v>
      </c>
      <c r="Q712" s="49" t="s">
        <v>5512</v>
      </c>
      <c r="R712" s="50">
        <v>105</v>
      </c>
      <c r="S712" s="50">
        <v>588</v>
      </c>
      <c r="T712" s="51" t="s">
        <v>141</v>
      </c>
      <c r="U712" s="51">
        <v>10</v>
      </c>
      <c r="V712" s="52">
        <f t="shared" si="19"/>
        <v>20</v>
      </c>
      <c r="W712" s="51" t="s">
        <v>221</v>
      </c>
      <c r="X712" s="198" t="s">
        <v>232</v>
      </c>
      <c r="Y712" s="168" t="s">
        <v>50</v>
      </c>
      <c r="Z712" s="169"/>
      <c r="AA712" s="170" t="s">
        <v>83</v>
      </c>
      <c r="AB712" s="243" t="s">
        <v>5605</v>
      </c>
      <c r="AC712" s="172">
        <f>4732.2+1250</f>
        <v>5982.2</v>
      </c>
      <c r="AE712" s="222" t="s">
        <v>5241</v>
      </c>
      <c r="AF712" s="138"/>
      <c r="AG712" s="138" t="s">
        <v>56</v>
      </c>
      <c r="AH712" s="138" t="s">
        <v>56</v>
      </c>
      <c r="AI712" s="138"/>
      <c r="AJ712" s="138"/>
      <c r="AK712" s="138"/>
      <c r="AL712" s="222"/>
    </row>
    <row r="713" spans="1:39" s="200" customFormat="1" ht="99.75" customHeight="1" x14ac:dyDescent="0.25">
      <c r="A713" s="14">
        <v>45834</v>
      </c>
      <c r="B713" s="41" t="s">
        <v>5606</v>
      </c>
      <c r="C713" s="41" t="s">
        <v>5607</v>
      </c>
      <c r="D713" s="41" t="s">
        <v>5556</v>
      </c>
      <c r="E713" s="42" t="s">
        <v>39</v>
      </c>
      <c r="F713" s="19">
        <v>1</v>
      </c>
      <c r="G713" s="43"/>
      <c r="H713" s="43"/>
      <c r="I713" s="245" t="s">
        <v>5608</v>
      </c>
      <c r="J713" s="45">
        <v>30</v>
      </c>
      <c r="K713" s="46" t="s">
        <v>5609</v>
      </c>
      <c r="L713" s="277" t="s">
        <v>41</v>
      </c>
      <c r="M713" s="42" t="s">
        <v>42</v>
      </c>
      <c r="N713" s="77" t="s">
        <v>5610</v>
      </c>
      <c r="O713" s="49" t="s">
        <v>5611</v>
      </c>
      <c r="P713" s="49" t="s">
        <v>5612</v>
      </c>
      <c r="Q713" s="49" t="s">
        <v>5613</v>
      </c>
      <c r="R713" s="50">
        <v>138</v>
      </c>
      <c r="S713" s="50">
        <v>616</v>
      </c>
      <c r="T713" s="51" t="s">
        <v>180</v>
      </c>
      <c r="U713" s="51">
        <v>1</v>
      </c>
      <c r="V713" s="52">
        <f t="shared" si="19"/>
        <v>30</v>
      </c>
      <c r="W713" s="51" t="s">
        <v>510</v>
      </c>
      <c r="X713" s="202" t="s">
        <v>538</v>
      </c>
      <c r="Y713" s="199" t="s">
        <v>324</v>
      </c>
      <c r="Z713" s="169" t="s">
        <v>5104</v>
      </c>
      <c r="AA713" s="170" t="s">
        <v>5369</v>
      </c>
      <c r="AB713" s="243" t="s">
        <v>5501</v>
      </c>
      <c r="AC713" s="172">
        <v>8732</v>
      </c>
      <c r="AE713" s="138" t="s">
        <v>192</v>
      </c>
      <c r="AF713" s="138"/>
      <c r="AG713" s="138" t="s">
        <v>56</v>
      </c>
      <c r="AH713" s="138" t="s">
        <v>56</v>
      </c>
      <c r="AI713" s="138"/>
      <c r="AJ713" s="138"/>
      <c r="AK713" s="138"/>
      <c r="AL713" s="222"/>
    </row>
    <row r="714" spans="1:39" ht="136.5" customHeight="1" x14ac:dyDescent="0.25">
      <c r="A714" s="14">
        <v>45834</v>
      </c>
      <c r="B714" s="41" t="s">
        <v>5614</v>
      </c>
      <c r="C714" s="41" t="s">
        <v>5615</v>
      </c>
      <c r="D714" s="41" t="s">
        <v>5616</v>
      </c>
      <c r="E714" s="42" t="s">
        <v>39</v>
      </c>
      <c r="F714" s="43"/>
      <c r="G714" s="43"/>
      <c r="H714" s="19">
        <v>2</v>
      </c>
      <c r="I714" s="245" t="s">
        <v>5617</v>
      </c>
      <c r="J714" s="45">
        <v>40</v>
      </c>
      <c r="K714" s="46" t="s">
        <v>5618</v>
      </c>
      <c r="L714" s="47" t="s">
        <v>63</v>
      </c>
      <c r="M714" s="42" t="s">
        <v>42</v>
      </c>
      <c r="N714" s="77" t="s">
        <v>5619</v>
      </c>
      <c r="O714" s="49"/>
      <c r="P714" s="49" t="s">
        <v>5620</v>
      </c>
      <c r="Q714" s="49" t="s">
        <v>5621</v>
      </c>
      <c r="R714" s="50">
        <v>79</v>
      </c>
      <c r="S714" s="50">
        <v>275</v>
      </c>
      <c r="T714" s="51" t="s">
        <v>67</v>
      </c>
      <c r="U714" s="51">
        <v>31</v>
      </c>
      <c r="V714" s="75">
        <f t="shared" si="19"/>
        <v>1240</v>
      </c>
      <c r="W714" s="51" t="s">
        <v>5622</v>
      </c>
      <c r="X714" s="198" t="s">
        <v>2148</v>
      </c>
      <c r="Y714" s="168" t="s">
        <v>324</v>
      </c>
      <c r="Z714" s="169" t="s">
        <v>5623</v>
      </c>
      <c r="AA714" s="170" t="s">
        <v>5624</v>
      </c>
      <c r="AB714" s="243" t="s">
        <v>5625</v>
      </c>
      <c r="AC714" s="172">
        <v>6032.4</v>
      </c>
      <c r="AE714" s="222" t="s">
        <v>5524</v>
      </c>
      <c r="AF714" s="138"/>
      <c r="AG714" s="138" t="s">
        <v>56</v>
      </c>
      <c r="AH714" s="138" t="s">
        <v>86</v>
      </c>
      <c r="AI714" s="138"/>
      <c r="AJ714" s="138"/>
      <c r="AK714" s="138"/>
      <c r="AL714" s="222"/>
    </row>
    <row r="715" spans="1:39" ht="67.5" customHeight="1" x14ac:dyDescent="0.25">
      <c r="A715" s="14">
        <v>45833</v>
      </c>
      <c r="B715" s="41" t="s">
        <v>5182</v>
      </c>
      <c r="C715" s="41" t="s">
        <v>5626</v>
      </c>
      <c r="D715" s="41" t="s">
        <v>5627</v>
      </c>
      <c r="E715" s="42" t="s">
        <v>39</v>
      </c>
      <c r="F715" s="43"/>
      <c r="G715" s="43"/>
      <c r="H715" s="19">
        <v>3</v>
      </c>
      <c r="I715" s="245" t="s">
        <v>5628</v>
      </c>
      <c r="J715" s="45">
        <v>102</v>
      </c>
      <c r="K715" s="46" t="s">
        <v>5629</v>
      </c>
      <c r="L715" s="47" t="s">
        <v>63</v>
      </c>
      <c r="M715" s="73" t="s">
        <v>42</v>
      </c>
      <c r="N715" s="77" t="s">
        <v>5187</v>
      </c>
      <c r="O715" s="49"/>
      <c r="P715" s="49" t="s">
        <v>5630</v>
      </c>
      <c r="Q715" s="49" t="s">
        <v>5631</v>
      </c>
      <c r="R715" s="50">
        <v>3</v>
      </c>
      <c r="S715" s="50">
        <v>6</v>
      </c>
      <c r="T715" s="51" t="s">
        <v>96</v>
      </c>
      <c r="U715" s="51">
        <v>0</v>
      </c>
      <c r="V715" s="52">
        <f t="shared" si="19"/>
        <v>0</v>
      </c>
      <c r="W715" s="51" t="s">
        <v>221</v>
      </c>
      <c r="X715" s="198" t="s">
        <v>222</v>
      </c>
      <c r="Y715" s="168" t="s">
        <v>82</v>
      </c>
      <c r="Z715" s="269"/>
      <c r="AA715" s="170" t="s">
        <v>5189</v>
      </c>
      <c r="AB715" s="243" t="s">
        <v>5190</v>
      </c>
      <c r="AC715" s="35">
        <f>6150*(J715/500)</f>
        <v>1254.5999999999999</v>
      </c>
      <c r="AE715" s="138" t="s">
        <v>4867</v>
      </c>
      <c r="AF715" s="138"/>
      <c r="AG715" s="138" t="s">
        <v>56</v>
      </c>
      <c r="AH715" s="138" t="s">
        <v>56</v>
      </c>
      <c r="AI715" s="138"/>
      <c r="AJ715" s="138"/>
      <c r="AK715" s="138" t="s">
        <v>1527</v>
      </c>
      <c r="AL715" s="222"/>
    </row>
    <row r="716" spans="1:39" s="200" customFormat="1" ht="96" customHeight="1" x14ac:dyDescent="0.25">
      <c r="A716" s="14">
        <v>45833</v>
      </c>
      <c r="B716" s="41" t="s">
        <v>5632</v>
      </c>
      <c r="C716" s="41" t="s">
        <v>5633</v>
      </c>
      <c r="D716" s="41"/>
      <c r="E716" s="42" t="s">
        <v>39</v>
      </c>
      <c r="F716" s="19">
        <v>1</v>
      </c>
      <c r="G716" s="43"/>
      <c r="H716" s="43"/>
      <c r="I716" s="245" t="s">
        <v>5634</v>
      </c>
      <c r="J716" s="45">
        <v>26</v>
      </c>
      <c r="K716" s="46" t="s">
        <v>5629</v>
      </c>
      <c r="L716" s="47" t="s">
        <v>63</v>
      </c>
      <c r="M716" s="73" t="s">
        <v>42</v>
      </c>
      <c r="N716" s="77" t="s">
        <v>5635</v>
      </c>
      <c r="O716" s="49"/>
      <c r="P716" s="49" t="s">
        <v>5636</v>
      </c>
      <c r="Q716" s="49" t="s">
        <v>5611</v>
      </c>
      <c r="R716" s="50">
        <v>70</v>
      </c>
      <c r="S716" s="50">
        <v>319</v>
      </c>
      <c r="T716" s="51" t="s">
        <v>67</v>
      </c>
      <c r="U716" s="51">
        <v>11</v>
      </c>
      <c r="V716" s="52">
        <f t="shared" si="19"/>
        <v>286</v>
      </c>
      <c r="W716" s="51" t="s">
        <v>350</v>
      </c>
      <c r="X716" s="198" t="s">
        <v>960</v>
      </c>
      <c r="Y716" s="199" t="s">
        <v>50</v>
      </c>
      <c r="Z716" s="169"/>
      <c r="AA716" s="170" t="s">
        <v>5597</v>
      </c>
      <c r="AB716" s="243" t="s">
        <v>5637</v>
      </c>
      <c r="AC716" s="172">
        <v>3922.04</v>
      </c>
      <c r="AE716" s="138" t="s">
        <v>4867</v>
      </c>
      <c r="AF716" s="402"/>
      <c r="AG716" s="138" t="s">
        <v>56</v>
      </c>
      <c r="AH716" s="138" t="s">
        <v>56</v>
      </c>
      <c r="AI716" s="402"/>
      <c r="AJ716" s="402"/>
      <c r="AK716" s="138"/>
      <c r="AL716" s="402"/>
      <c r="AM716"/>
    </row>
    <row r="717" spans="1:39" s="200" customFormat="1" ht="78" customHeight="1" x14ac:dyDescent="0.25">
      <c r="A717" s="14">
        <v>45832</v>
      </c>
      <c r="B717" s="41" t="s">
        <v>5638</v>
      </c>
      <c r="C717" s="41" t="s">
        <v>5639</v>
      </c>
      <c r="D717" s="41"/>
      <c r="E717" s="42" t="s">
        <v>39</v>
      </c>
      <c r="F717" s="43"/>
      <c r="G717" s="43"/>
      <c r="H717" s="19">
        <v>1</v>
      </c>
      <c r="I717" s="245" t="s">
        <v>5640</v>
      </c>
      <c r="J717" s="45">
        <v>40</v>
      </c>
      <c r="K717" s="46" t="s">
        <v>5641</v>
      </c>
      <c r="L717" s="47" t="s">
        <v>63</v>
      </c>
      <c r="M717" s="73" t="s">
        <v>42</v>
      </c>
      <c r="N717" s="77" t="s">
        <v>5642</v>
      </c>
      <c r="O717" s="49"/>
      <c r="P717" s="49" t="s">
        <v>5643</v>
      </c>
      <c r="Q717" s="49" t="s">
        <v>5644</v>
      </c>
      <c r="R717" s="50">
        <v>3</v>
      </c>
      <c r="S717" s="50">
        <v>12</v>
      </c>
      <c r="T717" s="51" t="s">
        <v>96</v>
      </c>
      <c r="U717" s="51">
        <v>23</v>
      </c>
      <c r="V717" s="75">
        <f t="shared" si="19"/>
        <v>920</v>
      </c>
      <c r="W717" s="51" t="s">
        <v>221</v>
      </c>
      <c r="X717" s="198" t="s">
        <v>1118</v>
      </c>
      <c r="Y717" s="199" t="s">
        <v>82</v>
      </c>
      <c r="Z717" s="169"/>
      <c r="AA717" s="170" t="s">
        <v>5645</v>
      </c>
      <c r="AB717" s="243" t="s">
        <v>5646</v>
      </c>
      <c r="AC717" s="172">
        <v>2246</v>
      </c>
      <c r="AE717" s="138" t="s">
        <v>4867</v>
      </c>
      <c r="AF717" s="402"/>
      <c r="AG717" s="138" t="s">
        <v>56</v>
      </c>
      <c r="AH717" s="138" t="s">
        <v>86</v>
      </c>
      <c r="AI717" s="402"/>
      <c r="AJ717" s="402" t="s">
        <v>56</v>
      </c>
      <c r="AK717" s="138" t="s">
        <v>5647</v>
      </c>
      <c r="AL717" s="402"/>
    </row>
    <row r="718" spans="1:39" s="200" customFormat="1" ht="47.25" customHeight="1" x14ac:dyDescent="0.25">
      <c r="A718" s="14">
        <v>45832</v>
      </c>
      <c r="B718" s="41" t="s">
        <v>5648</v>
      </c>
      <c r="C718" s="41" t="s">
        <v>5649</v>
      </c>
      <c r="D718" s="41" t="s">
        <v>5650</v>
      </c>
      <c r="E718" s="42" t="s">
        <v>39</v>
      </c>
      <c r="F718" s="19">
        <v>1</v>
      </c>
      <c r="G718" s="43"/>
      <c r="H718" s="43"/>
      <c r="I718" s="245" t="s">
        <v>5651</v>
      </c>
      <c r="J718" s="45">
        <v>50</v>
      </c>
      <c r="K718" s="46" t="s">
        <v>5652</v>
      </c>
      <c r="L718" s="47" t="s">
        <v>63</v>
      </c>
      <c r="M718" s="73" t="s">
        <v>42</v>
      </c>
      <c r="N718" s="77" t="s">
        <v>5653</v>
      </c>
      <c r="O718" s="49"/>
      <c r="P718" s="49" t="s">
        <v>5654</v>
      </c>
      <c r="Q718" s="49" t="s">
        <v>5655</v>
      </c>
      <c r="R718" s="50">
        <v>43</v>
      </c>
      <c r="S718" s="50">
        <v>313</v>
      </c>
      <c r="T718" s="51" t="s">
        <v>96</v>
      </c>
      <c r="U718" s="51">
        <v>28</v>
      </c>
      <c r="V718" s="52">
        <f t="shared" si="19"/>
        <v>1400</v>
      </c>
      <c r="W718" s="51" t="s">
        <v>142</v>
      </c>
      <c r="X718" s="202" t="s">
        <v>2647</v>
      </c>
      <c r="Y718" s="263" t="s">
        <v>324</v>
      </c>
      <c r="Z718" s="169" t="s">
        <v>5656</v>
      </c>
      <c r="AA718" s="170" t="s">
        <v>5491</v>
      </c>
      <c r="AB718" s="243" t="s">
        <v>5657</v>
      </c>
      <c r="AC718" s="172">
        <v>7918.5</v>
      </c>
      <c r="AE718" s="138" t="s">
        <v>4867</v>
      </c>
      <c r="AF718" s="138"/>
      <c r="AG718" s="138" t="s">
        <v>56</v>
      </c>
      <c r="AH718" s="138" t="s">
        <v>86</v>
      </c>
      <c r="AI718" s="138"/>
      <c r="AJ718" s="138"/>
      <c r="AK718" s="138"/>
      <c r="AL718" s="222"/>
    </row>
    <row r="719" spans="1:39" s="200" customFormat="1" ht="273" x14ac:dyDescent="0.25">
      <c r="A719" s="14">
        <v>45832</v>
      </c>
      <c r="B719" s="41" t="s">
        <v>5658</v>
      </c>
      <c r="C719" s="41" t="s">
        <v>5659</v>
      </c>
      <c r="D719" s="41" t="s">
        <v>5660</v>
      </c>
      <c r="E719" s="42" t="s">
        <v>39</v>
      </c>
      <c r="F719" s="43"/>
      <c r="G719" s="43"/>
      <c r="H719" s="19">
        <v>1</v>
      </c>
      <c r="I719" s="245" t="s">
        <v>5661</v>
      </c>
      <c r="J719" s="45">
        <v>3</v>
      </c>
      <c r="K719" s="369" t="s">
        <v>9984</v>
      </c>
      <c r="L719" s="47" t="s">
        <v>63</v>
      </c>
      <c r="M719" s="430" t="s">
        <v>42</v>
      </c>
      <c r="N719" s="77" t="s">
        <v>5662</v>
      </c>
      <c r="O719" s="49" t="s">
        <v>5663</v>
      </c>
      <c r="P719" s="49" t="s">
        <v>5664</v>
      </c>
      <c r="Q719" s="49" t="s">
        <v>5665</v>
      </c>
      <c r="R719" s="50">
        <v>130</v>
      </c>
      <c r="S719" s="92">
        <v>1187</v>
      </c>
      <c r="T719" s="51" t="s">
        <v>180</v>
      </c>
      <c r="U719" s="51">
        <v>22</v>
      </c>
      <c r="V719" s="52">
        <f t="shared" si="19"/>
        <v>66</v>
      </c>
      <c r="W719" s="51" t="s">
        <v>221</v>
      </c>
      <c r="X719" s="202" t="s">
        <v>1189</v>
      </c>
      <c r="Y719" s="263" t="s">
        <v>144</v>
      </c>
      <c r="Z719" s="169"/>
      <c r="AA719" s="170" t="s">
        <v>5666</v>
      </c>
      <c r="AB719" s="243" t="s">
        <v>5667</v>
      </c>
      <c r="AC719" s="172">
        <f>5648+1180</f>
        <v>6828</v>
      </c>
      <c r="AE719" s="431" t="s">
        <v>5668</v>
      </c>
      <c r="AF719" s="138"/>
      <c r="AG719" s="138" t="s">
        <v>56</v>
      </c>
      <c r="AH719" s="138" t="s">
        <v>56</v>
      </c>
      <c r="AI719" s="138" t="s">
        <v>5669</v>
      </c>
      <c r="AJ719" s="138"/>
      <c r="AK719" s="138"/>
      <c r="AL719" s="222"/>
    </row>
    <row r="720" spans="1:39" s="200" customFormat="1" ht="306.75" x14ac:dyDescent="0.25">
      <c r="A720" s="14">
        <v>45831</v>
      </c>
      <c r="B720" s="41" t="s">
        <v>5670</v>
      </c>
      <c r="C720" s="41" t="s">
        <v>5671</v>
      </c>
      <c r="D720" s="41"/>
      <c r="E720" s="42" t="s">
        <v>39</v>
      </c>
      <c r="F720" s="43"/>
      <c r="G720" s="43"/>
      <c r="H720" s="19">
        <v>1</v>
      </c>
      <c r="I720" s="245" t="s">
        <v>5672</v>
      </c>
      <c r="J720" s="45">
        <v>6</v>
      </c>
      <c r="K720" s="46" t="s">
        <v>5673</v>
      </c>
      <c r="L720" s="47" t="s">
        <v>63</v>
      </c>
      <c r="M720" s="73" t="s">
        <v>42</v>
      </c>
      <c r="N720" s="77" t="s">
        <v>5674</v>
      </c>
      <c r="O720" s="49" t="s">
        <v>5675</v>
      </c>
      <c r="P720" s="49" t="s">
        <v>5676</v>
      </c>
      <c r="Q720" s="49" t="s">
        <v>5677</v>
      </c>
      <c r="R720" s="50">
        <v>8</v>
      </c>
      <c r="S720" s="50">
        <v>106</v>
      </c>
      <c r="T720" s="51" t="s">
        <v>47</v>
      </c>
      <c r="U720" s="51">
        <v>68</v>
      </c>
      <c r="V720" s="52">
        <f t="shared" si="19"/>
        <v>408</v>
      </c>
      <c r="W720" s="51" t="s">
        <v>142</v>
      </c>
      <c r="X720" s="432" t="s">
        <v>232</v>
      </c>
      <c r="Y720" s="199" t="s">
        <v>50</v>
      </c>
      <c r="Z720" s="169" t="s">
        <v>5678</v>
      </c>
      <c r="AA720" s="170" t="s">
        <v>5679</v>
      </c>
      <c r="AB720" s="243" t="s">
        <v>5680</v>
      </c>
      <c r="AC720" s="172">
        <v>4521.6000000000004</v>
      </c>
      <c r="AE720" s="137" t="s">
        <v>5681</v>
      </c>
      <c r="AF720" s="138"/>
      <c r="AG720" s="138" t="s">
        <v>56</v>
      </c>
      <c r="AH720" s="138" t="s">
        <v>56</v>
      </c>
      <c r="AI720" s="138"/>
      <c r="AJ720" s="138"/>
      <c r="AK720" s="138" t="s">
        <v>5682</v>
      </c>
      <c r="AL720" s="222"/>
    </row>
    <row r="721" spans="1:38" s="200" customFormat="1" ht="35.25" customHeight="1" x14ac:dyDescent="0.25">
      <c r="A721" s="14">
        <v>45831</v>
      </c>
      <c r="B721" s="41" t="s">
        <v>5683</v>
      </c>
      <c r="C721" s="41" t="s">
        <v>5684</v>
      </c>
      <c r="D721" s="41"/>
      <c r="E721" s="42" t="s">
        <v>39</v>
      </c>
      <c r="F721" s="43"/>
      <c r="G721" s="43"/>
      <c r="H721" s="19">
        <v>2</v>
      </c>
      <c r="I721" s="245" t="s">
        <v>5685</v>
      </c>
      <c r="J721" s="45">
        <v>105</v>
      </c>
      <c r="K721" s="46" t="s">
        <v>5641</v>
      </c>
      <c r="L721" s="47" t="s">
        <v>63</v>
      </c>
      <c r="M721" s="42" t="s">
        <v>42</v>
      </c>
      <c r="N721" s="77" t="s">
        <v>5686</v>
      </c>
      <c r="O721" s="49"/>
      <c r="P721" s="49" t="s">
        <v>5687</v>
      </c>
      <c r="Q721" s="50" t="s">
        <v>5688</v>
      </c>
      <c r="R721" s="50">
        <v>9</v>
      </c>
      <c r="S721" s="50">
        <v>12</v>
      </c>
      <c r="T721" s="51" t="s">
        <v>96</v>
      </c>
      <c r="U721" s="51">
        <v>0</v>
      </c>
      <c r="V721" s="52">
        <f t="shared" si="19"/>
        <v>0</v>
      </c>
      <c r="W721" s="51" t="s">
        <v>350</v>
      </c>
      <c r="X721" s="198" t="s">
        <v>5689</v>
      </c>
      <c r="Y721" s="199" t="s">
        <v>82</v>
      </c>
      <c r="Z721" s="169"/>
      <c r="AA721" s="170" t="s">
        <v>83</v>
      </c>
      <c r="AB721" s="243" t="s">
        <v>5646</v>
      </c>
      <c r="AC721" s="172">
        <v>2538</v>
      </c>
      <c r="AE721" s="137" t="s">
        <v>5690</v>
      </c>
      <c r="AF721" s="402"/>
      <c r="AG721" s="138" t="s">
        <v>56</v>
      </c>
      <c r="AH721" s="138" t="s">
        <v>56</v>
      </c>
      <c r="AI721" s="402"/>
      <c r="AJ721" s="402"/>
      <c r="AK721" s="138"/>
      <c r="AL721" s="402"/>
    </row>
    <row r="722" spans="1:38" ht="165.75" x14ac:dyDescent="0.25">
      <c r="A722" s="14">
        <v>45828</v>
      </c>
      <c r="B722" s="164" t="s">
        <v>5691</v>
      </c>
      <c r="C722" s="41" t="s">
        <v>5692</v>
      </c>
      <c r="D722" s="433" t="s">
        <v>5693</v>
      </c>
      <c r="E722" s="42" t="s">
        <v>39</v>
      </c>
      <c r="F722" s="43"/>
      <c r="G722" s="43"/>
      <c r="H722" s="19">
        <v>2</v>
      </c>
      <c r="I722" s="245" t="s">
        <v>5694</v>
      </c>
      <c r="J722" s="45">
        <v>25</v>
      </c>
      <c r="K722" s="46" t="s">
        <v>9985</v>
      </c>
      <c r="L722" s="47" t="s">
        <v>63</v>
      </c>
      <c r="M722" s="73" t="s">
        <v>42</v>
      </c>
      <c r="N722" s="77" t="s">
        <v>5695</v>
      </c>
      <c r="O722" s="49" t="s">
        <v>5696</v>
      </c>
      <c r="P722" s="49" t="s">
        <v>5697</v>
      </c>
      <c r="Q722" s="49" t="s">
        <v>5698</v>
      </c>
      <c r="R722" s="50">
        <v>2</v>
      </c>
      <c r="S722" s="50">
        <v>80</v>
      </c>
      <c r="T722" s="51" t="s">
        <v>47</v>
      </c>
      <c r="U722" s="51">
        <v>0</v>
      </c>
      <c r="V722" s="52">
        <f t="shared" si="19"/>
        <v>0</v>
      </c>
      <c r="W722" s="51" t="s">
        <v>221</v>
      </c>
      <c r="X722" s="202" t="s">
        <v>1189</v>
      </c>
      <c r="Y722" s="360" t="s">
        <v>144</v>
      </c>
      <c r="Z722" s="169"/>
      <c r="AA722" s="170" t="s">
        <v>5699</v>
      </c>
      <c r="AB722" s="243" t="s">
        <v>5700</v>
      </c>
      <c r="AC722" s="172">
        <v>3500</v>
      </c>
      <c r="AE722" s="222" t="s">
        <v>5524</v>
      </c>
      <c r="AF722" s="138"/>
      <c r="AG722" s="138" t="s">
        <v>56</v>
      </c>
      <c r="AH722" s="138" t="s">
        <v>86</v>
      </c>
      <c r="AI722" s="138" t="s">
        <v>56</v>
      </c>
      <c r="AJ722" s="138" t="s">
        <v>56</v>
      </c>
      <c r="AK722" s="138" t="s">
        <v>1076</v>
      </c>
      <c r="AL722" s="222"/>
    </row>
    <row r="723" spans="1:38" s="200" customFormat="1" ht="167.25" x14ac:dyDescent="0.25">
      <c r="A723" s="14">
        <v>45828</v>
      </c>
      <c r="B723" s="41" t="s">
        <v>5701</v>
      </c>
      <c r="C723" s="41" t="s">
        <v>5702</v>
      </c>
      <c r="D723" s="41" t="s">
        <v>5703</v>
      </c>
      <c r="E723" s="42" t="s">
        <v>39</v>
      </c>
      <c r="F723" s="43"/>
      <c r="G723" s="43"/>
      <c r="H723" s="19">
        <v>1</v>
      </c>
      <c r="I723" s="245" t="s">
        <v>5704</v>
      </c>
      <c r="J723" s="45">
        <v>2</v>
      </c>
      <c r="K723" s="46" t="s">
        <v>5705</v>
      </c>
      <c r="L723" s="47" t="s">
        <v>63</v>
      </c>
      <c r="M723" s="73" t="s">
        <v>42</v>
      </c>
      <c r="N723" s="77" t="s">
        <v>5706</v>
      </c>
      <c r="O723" s="49"/>
      <c r="P723" s="49" t="s">
        <v>5707</v>
      </c>
      <c r="Q723" s="49" t="s">
        <v>5708</v>
      </c>
      <c r="R723" s="50">
        <v>2</v>
      </c>
      <c r="S723" s="50">
        <v>4</v>
      </c>
      <c r="T723" s="51" t="s">
        <v>96</v>
      </c>
      <c r="U723" s="51">
        <v>0</v>
      </c>
      <c r="V723" s="52">
        <f t="shared" si="19"/>
        <v>0</v>
      </c>
      <c r="W723" s="51" t="s">
        <v>350</v>
      </c>
      <c r="X723" s="198" t="s">
        <v>482</v>
      </c>
      <c r="Y723" s="199" t="s">
        <v>50</v>
      </c>
      <c r="Z723" s="169" t="s">
        <v>4664</v>
      </c>
      <c r="AA723" s="170" t="s">
        <v>5709</v>
      </c>
      <c r="AB723" s="243" t="s">
        <v>5710</v>
      </c>
      <c r="AC723" s="172">
        <f>1480+1500+500+500+900</f>
        <v>4880</v>
      </c>
      <c r="AE723" s="138" t="s">
        <v>4867</v>
      </c>
      <c r="AF723" s="138" t="s">
        <v>5554</v>
      </c>
      <c r="AG723" s="138" t="s">
        <v>56</v>
      </c>
      <c r="AH723" s="138" t="s">
        <v>56</v>
      </c>
      <c r="AI723" s="138"/>
      <c r="AJ723" s="138"/>
      <c r="AK723" s="138"/>
      <c r="AL723" s="222"/>
    </row>
    <row r="724" spans="1:38" ht="62.25" customHeight="1" x14ac:dyDescent="0.25">
      <c r="A724" s="14">
        <v>45828</v>
      </c>
      <c r="B724" s="403" t="s">
        <v>4588</v>
      </c>
      <c r="C724" s="403" t="s">
        <v>5711</v>
      </c>
      <c r="D724" s="403" t="s">
        <v>5712</v>
      </c>
      <c r="E724" s="404" t="s">
        <v>195</v>
      </c>
      <c r="F724" s="405"/>
      <c r="G724" s="405"/>
      <c r="H724" s="405"/>
      <c r="I724" s="245" t="s">
        <v>9902</v>
      </c>
      <c r="J724" s="406">
        <v>248</v>
      </c>
      <c r="K724" s="434" t="s">
        <v>5713</v>
      </c>
      <c r="L724" s="435" t="s">
        <v>42</v>
      </c>
      <c r="M724" s="404"/>
      <c r="N724" s="334" t="s">
        <v>5714</v>
      </c>
      <c r="O724" s="409"/>
      <c r="P724" s="409"/>
      <c r="Q724" s="409"/>
      <c r="R724" s="410">
        <v>0</v>
      </c>
      <c r="S724" s="410">
        <v>0</v>
      </c>
      <c r="T724" s="404">
        <v>0</v>
      </c>
      <c r="U724" s="404">
        <v>1</v>
      </c>
      <c r="V724" s="411">
        <f t="shared" si="19"/>
        <v>248</v>
      </c>
      <c r="W724" s="404" t="s">
        <v>350</v>
      </c>
      <c r="X724" s="198" t="s">
        <v>482</v>
      </c>
      <c r="Y724" s="168" t="s">
        <v>50</v>
      </c>
      <c r="Z724" s="169" t="s">
        <v>5715</v>
      </c>
      <c r="AA724" s="170" t="s">
        <v>5451</v>
      </c>
      <c r="AB724" s="243" t="s">
        <v>5716</v>
      </c>
      <c r="AC724" s="35">
        <f>3459.6*J724/248</f>
        <v>3459.6</v>
      </c>
      <c r="AE724" s="137" t="s">
        <v>5717</v>
      </c>
      <c r="AF724" s="138"/>
      <c r="AG724" s="138" t="s">
        <v>56</v>
      </c>
      <c r="AH724" s="138" t="s">
        <v>56</v>
      </c>
      <c r="AI724" s="138"/>
      <c r="AJ724" s="138" t="s">
        <v>5718</v>
      </c>
      <c r="AK724" s="138" t="s">
        <v>1527</v>
      </c>
      <c r="AL724" s="222"/>
    </row>
    <row r="725" spans="1:38" s="200" customFormat="1" ht="335.25" customHeight="1" x14ac:dyDescent="0.25">
      <c r="A725" s="14">
        <v>45828</v>
      </c>
      <c r="B725" s="436" t="s">
        <v>5719</v>
      </c>
      <c r="C725" s="436" t="s">
        <v>5720</v>
      </c>
      <c r="D725" s="436" t="s">
        <v>5721</v>
      </c>
      <c r="E725" s="412" t="s">
        <v>39</v>
      </c>
      <c r="F725" s="19">
        <v>1</v>
      </c>
      <c r="G725" s="437"/>
      <c r="H725" s="437"/>
      <c r="I725" s="245" t="s">
        <v>9855</v>
      </c>
      <c r="J725" s="438">
        <v>30</v>
      </c>
      <c r="K725" s="439" t="s">
        <v>5722</v>
      </c>
      <c r="L725" s="412" t="s">
        <v>63</v>
      </c>
      <c r="M725" s="412" t="s">
        <v>55</v>
      </c>
      <c r="N725" s="334" t="s">
        <v>5723</v>
      </c>
      <c r="O725" s="440" t="s">
        <v>5630</v>
      </c>
      <c r="P725" s="440" t="s">
        <v>5724</v>
      </c>
      <c r="Q725" s="440" t="s">
        <v>5725</v>
      </c>
      <c r="R725" s="92">
        <v>157</v>
      </c>
      <c r="S725" s="441">
        <v>627</v>
      </c>
      <c r="T725" s="412" t="s">
        <v>141</v>
      </c>
      <c r="U725" s="412">
        <v>14</v>
      </c>
      <c r="V725" s="418">
        <f t="shared" si="19"/>
        <v>420</v>
      </c>
      <c r="W725" s="412" t="s">
        <v>350</v>
      </c>
      <c r="X725" s="198" t="s">
        <v>905</v>
      </c>
      <c r="Y725" s="199" t="s">
        <v>50</v>
      </c>
      <c r="Z725" s="169" t="s">
        <v>5104</v>
      </c>
      <c r="AA725" s="170" t="s">
        <v>5726</v>
      </c>
      <c r="AB725" s="243" t="s">
        <v>5727</v>
      </c>
      <c r="AC725" s="172">
        <f>26158+1500</f>
        <v>27658</v>
      </c>
      <c r="AE725" s="138" t="s">
        <v>4867</v>
      </c>
      <c r="AF725" s="138"/>
      <c r="AG725" s="138" t="s">
        <v>56</v>
      </c>
      <c r="AH725" s="138" t="s">
        <v>56</v>
      </c>
      <c r="AI725" s="138"/>
      <c r="AJ725" s="138"/>
      <c r="AK725" s="138"/>
      <c r="AL725" s="222"/>
    </row>
    <row r="726" spans="1:38" s="200" customFormat="1" ht="140.25" customHeight="1" x14ac:dyDescent="0.25">
      <c r="A726" s="14">
        <v>45827</v>
      </c>
      <c r="B726" s="41" t="s">
        <v>5728</v>
      </c>
      <c r="C726" s="41" t="s">
        <v>5729</v>
      </c>
      <c r="D726" s="41" t="s">
        <v>5730</v>
      </c>
      <c r="E726" s="42" t="s">
        <v>39</v>
      </c>
      <c r="F726" s="43"/>
      <c r="G726" s="43"/>
      <c r="H726" s="19">
        <v>1</v>
      </c>
      <c r="I726" s="245" t="s">
        <v>5731</v>
      </c>
      <c r="J726" s="45">
        <v>2</v>
      </c>
      <c r="K726" s="46" t="s">
        <v>5732</v>
      </c>
      <c r="L726" s="47" t="s">
        <v>63</v>
      </c>
      <c r="M726" s="42" t="s">
        <v>42</v>
      </c>
      <c r="N726" s="77" t="s">
        <v>5733</v>
      </c>
      <c r="O726" s="49" t="s">
        <v>5734</v>
      </c>
      <c r="P726" s="49"/>
      <c r="Q726" s="49" t="s">
        <v>5735</v>
      </c>
      <c r="R726" s="50">
        <v>1</v>
      </c>
      <c r="S726" s="50">
        <v>1</v>
      </c>
      <c r="T726" s="51" t="s">
        <v>393</v>
      </c>
      <c r="U726" s="51">
        <v>1</v>
      </c>
      <c r="V726" s="52">
        <f t="shared" si="19"/>
        <v>2</v>
      </c>
      <c r="W726" s="51" t="s">
        <v>350</v>
      </c>
      <c r="X726" s="198" t="s">
        <v>482</v>
      </c>
      <c r="Y726" s="199" t="s">
        <v>50</v>
      </c>
      <c r="Z726" s="169" t="s">
        <v>5736</v>
      </c>
      <c r="AA726" s="170" t="s">
        <v>5737</v>
      </c>
      <c r="AB726" s="243" t="s">
        <v>5523</v>
      </c>
      <c r="AC726" s="172">
        <f>900+500+500+1500+1250</f>
        <v>4650</v>
      </c>
      <c r="AE726" s="255"/>
      <c r="AF726" s="138"/>
      <c r="AG726" s="138" t="s">
        <v>56</v>
      </c>
      <c r="AH726" s="138" t="s">
        <v>56</v>
      </c>
      <c r="AI726" s="138"/>
      <c r="AJ726" s="138"/>
      <c r="AK726" s="138"/>
      <c r="AL726" s="222"/>
    </row>
    <row r="727" spans="1:38" s="200" customFormat="1" ht="167.25" x14ac:dyDescent="0.25">
      <c r="A727" s="14">
        <v>45827</v>
      </c>
      <c r="B727" s="41" t="s">
        <v>5738</v>
      </c>
      <c r="C727" s="41" t="s">
        <v>5739</v>
      </c>
      <c r="D727" s="41"/>
      <c r="E727" s="42" t="s">
        <v>39</v>
      </c>
      <c r="F727" s="365"/>
      <c r="G727" s="43"/>
      <c r="H727" s="19">
        <v>1</v>
      </c>
      <c r="I727" s="245" t="s">
        <v>5740</v>
      </c>
      <c r="J727" s="45">
        <v>50</v>
      </c>
      <c r="K727" s="46" t="s">
        <v>5741</v>
      </c>
      <c r="L727" s="47" t="s">
        <v>63</v>
      </c>
      <c r="M727" s="430" t="s">
        <v>42</v>
      </c>
      <c r="N727" s="77" t="s">
        <v>5742</v>
      </c>
      <c r="O727" s="49" t="s">
        <v>5743</v>
      </c>
      <c r="P727" s="49" t="s">
        <v>5744</v>
      </c>
      <c r="Q727" s="49" t="s">
        <v>5745</v>
      </c>
      <c r="R727" s="92">
        <v>145</v>
      </c>
      <c r="S727" s="50">
        <v>601</v>
      </c>
      <c r="T727" s="51" t="s">
        <v>141</v>
      </c>
      <c r="U727" s="51">
        <v>7</v>
      </c>
      <c r="V727" s="52">
        <f t="shared" si="19"/>
        <v>350</v>
      </c>
      <c r="W727" s="51" t="s">
        <v>350</v>
      </c>
      <c r="X727" s="202" t="s">
        <v>1951</v>
      </c>
      <c r="Y727" s="199" t="s">
        <v>82</v>
      </c>
      <c r="Z727" s="169"/>
      <c r="AA727" s="170" t="s">
        <v>5746</v>
      </c>
      <c r="AB727" s="243" t="s">
        <v>5747</v>
      </c>
      <c r="AC727" s="172">
        <v>11864</v>
      </c>
      <c r="AE727" s="222" t="s">
        <v>5524</v>
      </c>
      <c r="AF727" s="138"/>
      <c r="AG727" s="138" t="s">
        <v>56</v>
      </c>
      <c r="AH727" s="138" t="s">
        <v>56</v>
      </c>
      <c r="AI727" s="138"/>
      <c r="AJ727" s="138"/>
      <c r="AK727" s="138"/>
      <c r="AL727" s="222"/>
    </row>
    <row r="728" spans="1:38" s="200" customFormat="1" ht="75" x14ac:dyDescent="0.25">
      <c r="A728" s="14">
        <v>45827</v>
      </c>
      <c r="B728" s="403" t="s">
        <v>4588</v>
      </c>
      <c r="C728" s="403" t="s">
        <v>5748</v>
      </c>
      <c r="D728" s="403" t="s">
        <v>5749</v>
      </c>
      <c r="E728" s="404" t="s">
        <v>39</v>
      </c>
      <c r="F728" s="405"/>
      <c r="G728" s="405"/>
      <c r="H728" s="19">
        <v>1</v>
      </c>
      <c r="I728" s="245" t="s">
        <v>5750</v>
      </c>
      <c r="J728" s="406">
        <v>99</v>
      </c>
      <c r="K728" s="439" t="s">
        <v>5751</v>
      </c>
      <c r="L728" s="408" t="s">
        <v>63</v>
      </c>
      <c r="M728" s="412" t="s">
        <v>55</v>
      </c>
      <c r="N728" s="334" t="s">
        <v>5752</v>
      </c>
      <c r="O728" s="409" t="s">
        <v>5753</v>
      </c>
      <c r="P728" s="409" t="s">
        <v>5754</v>
      </c>
      <c r="Q728" s="409" t="s">
        <v>5755</v>
      </c>
      <c r="R728" s="410">
        <v>24</v>
      </c>
      <c r="S728" s="410">
        <v>49</v>
      </c>
      <c r="T728" s="404" t="s">
        <v>47</v>
      </c>
      <c r="U728" s="404">
        <v>9</v>
      </c>
      <c r="V728" s="411">
        <f t="shared" si="19"/>
        <v>891</v>
      </c>
      <c r="W728" s="404" t="s">
        <v>350</v>
      </c>
      <c r="X728" s="198" t="s">
        <v>1420</v>
      </c>
      <c r="Y728" s="199" t="s">
        <v>82</v>
      </c>
      <c r="Z728" s="169"/>
      <c r="AA728" s="170" t="s">
        <v>5534</v>
      </c>
      <c r="AB728" s="243" t="s">
        <v>4879</v>
      </c>
      <c r="AC728" s="172">
        <v>4612.5</v>
      </c>
      <c r="AE728" s="138" t="s">
        <v>4867</v>
      </c>
      <c r="AF728" s="138"/>
      <c r="AG728" s="138" t="s">
        <v>56</v>
      </c>
      <c r="AH728" s="138" t="s">
        <v>86</v>
      </c>
      <c r="AI728" s="138"/>
      <c r="AJ728" s="138"/>
      <c r="AK728" s="138"/>
      <c r="AL728" s="138"/>
    </row>
    <row r="729" spans="1:38" s="200" customFormat="1" ht="90" customHeight="1" x14ac:dyDescent="0.25">
      <c r="A729" s="14">
        <v>45826</v>
      </c>
      <c r="B729" s="41" t="s">
        <v>5756</v>
      </c>
      <c r="C729" s="41" t="s">
        <v>5757</v>
      </c>
      <c r="D729" s="41" t="s">
        <v>5758</v>
      </c>
      <c r="E729" s="42" t="s">
        <v>39</v>
      </c>
      <c r="F729" s="43"/>
      <c r="G729" s="43"/>
      <c r="H729" s="19">
        <v>1</v>
      </c>
      <c r="I729" s="245" t="s">
        <v>5759</v>
      </c>
      <c r="J729" s="45">
        <v>20</v>
      </c>
      <c r="K729" s="46" t="s">
        <v>5760</v>
      </c>
      <c r="L729" s="47" t="s">
        <v>63</v>
      </c>
      <c r="M729" s="151" t="s">
        <v>42</v>
      </c>
      <c r="N729" s="77" t="s">
        <v>5761</v>
      </c>
      <c r="O729" s="49" t="s">
        <v>5762</v>
      </c>
      <c r="P729" s="49" t="s">
        <v>5763</v>
      </c>
      <c r="Q729" s="49" t="s">
        <v>5764</v>
      </c>
      <c r="R729" s="50">
        <v>103</v>
      </c>
      <c r="S729" s="50">
        <v>529</v>
      </c>
      <c r="T729" s="51" t="s">
        <v>180</v>
      </c>
      <c r="U729" s="51">
        <v>2</v>
      </c>
      <c r="V729" s="52">
        <f t="shared" si="19"/>
        <v>40</v>
      </c>
      <c r="W729" s="51" t="s">
        <v>350</v>
      </c>
      <c r="X729" s="198" t="s">
        <v>881</v>
      </c>
      <c r="Y729" s="199" t="s">
        <v>50</v>
      </c>
      <c r="Z729" s="169" t="s">
        <v>5765</v>
      </c>
      <c r="AA729" s="170" t="s">
        <v>5766</v>
      </c>
      <c r="AB729" s="243" t="s">
        <v>5727</v>
      </c>
      <c r="AC729" s="172">
        <v>10565.8</v>
      </c>
      <c r="AE729" s="138" t="s">
        <v>4867</v>
      </c>
      <c r="AF729" s="138"/>
      <c r="AG729" s="138" t="s">
        <v>56</v>
      </c>
      <c r="AH729" s="138" t="s">
        <v>86</v>
      </c>
      <c r="AI729" s="138"/>
      <c r="AJ729" s="138" t="s">
        <v>56</v>
      </c>
      <c r="AK729" s="138" t="s">
        <v>5767</v>
      </c>
      <c r="AL729" s="222"/>
    </row>
    <row r="730" spans="1:38" s="200" customFormat="1" ht="180" x14ac:dyDescent="0.25">
      <c r="A730" s="14">
        <v>45826</v>
      </c>
      <c r="B730" s="403" t="s">
        <v>5768</v>
      </c>
      <c r="C730" s="403" t="s">
        <v>5769</v>
      </c>
      <c r="D730" s="403" t="s">
        <v>5770</v>
      </c>
      <c r="E730" s="404" t="s">
        <v>39</v>
      </c>
      <c r="F730" s="19">
        <v>1</v>
      </c>
      <c r="G730" s="405"/>
      <c r="H730" s="405"/>
      <c r="I730" s="245" t="s">
        <v>5771</v>
      </c>
      <c r="J730" s="406">
        <v>16</v>
      </c>
      <c r="K730" s="439" t="s">
        <v>5772</v>
      </c>
      <c r="L730" s="408" t="s">
        <v>63</v>
      </c>
      <c r="M730" s="408" t="s">
        <v>55</v>
      </c>
      <c r="N730" s="334" t="s">
        <v>5773</v>
      </c>
      <c r="O730" s="409" t="s">
        <v>5774</v>
      </c>
      <c r="P730" s="409" t="s">
        <v>5775</v>
      </c>
      <c r="Q730" s="409" t="s">
        <v>5753</v>
      </c>
      <c r="R730" s="92">
        <v>206</v>
      </c>
      <c r="S730" s="92">
        <v>1085</v>
      </c>
      <c r="T730" s="404" t="s">
        <v>933</v>
      </c>
      <c r="U730" s="404">
        <v>39</v>
      </c>
      <c r="V730" s="75">
        <f t="shared" si="19"/>
        <v>624</v>
      </c>
      <c r="W730" s="442" t="s">
        <v>2337</v>
      </c>
      <c r="X730" s="198" t="s">
        <v>5776</v>
      </c>
      <c r="Y730" s="199" t="s">
        <v>324</v>
      </c>
      <c r="Z730" s="169"/>
      <c r="AA730" s="170" t="s">
        <v>5777</v>
      </c>
      <c r="AB730" s="243" t="s">
        <v>5680</v>
      </c>
      <c r="AC730" s="172">
        <v>25237.200000000001</v>
      </c>
      <c r="AE730" s="222" t="s">
        <v>5524</v>
      </c>
      <c r="AF730" s="138"/>
      <c r="AG730" s="138" t="s">
        <v>56</v>
      </c>
      <c r="AH730" s="138" t="s">
        <v>56</v>
      </c>
      <c r="AI730" s="138"/>
      <c r="AJ730" s="138"/>
      <c r="AK730" s="138"/>
      <c r="AL730" s="222"/>
    </row>
    <row r="731" spans="1:38" ht="120" x14ac:dyDescent="0.25">
      <c r="A731" s="14">
        <v>45825</v>
      </c>
      <c r="B731" s="41" t="s">
        <v>5778</v>
      </c>
      <c r="C731" s="41" t="s">
        <v>5779</v>
      </c>
      <c r="D731" s="41" t="s">
        <v>5780</v>
      </c>
      <c r="E731" s="42" t="s">
        <v>39</v>
      </c>
      <c r="F731" s="19">
        <v>2</v>
      </c>
      <c r="G731" s="43"/>
      <c r="H731" s="43"/>
      <c r="I731" s="245" t="s">
        <v>5781</v>
      </c>
      <c r="J731" s="45">
        <v>10</v>
      </c>
      <c r="K731" s="46" t="s">
        <v>5782</v>
      </c>
      <c r="L731" s="47" t="s">
        <v>63</v>
      </c>
      <c r="M731" s="430" t="s">
        <v>42</v>
      </c>
      <c r="N731" s="77" t="s">
        <v>5783</v>
      </c>
      <c r="O731" s="49"/>
      <c r="P731" s="49" t="s">
        <v>5784</v>
      </c>
      <c r="Q731" s="49" t="s">
        <v>5785</v>
      </c>
      <c r="R731" s="50">
        <v>56</v>
      </c>
      <c r="S731" s="50">
        <v>158</v>
      </c>
      <c r="T731" s="51" t="s">
        <v>96</v>
      </c>
      <c r="U731" s="51">
        <v>5</v>
      </c>
      <c r="V731" s="52">
        <f t="shared" si="19"/>
        <v>50</v>
      </c>
      <c r="W731" s="51" t="s">
        <v>350</v>
      </c>
      <c r="X731" s="202" t="s">
        <v>765</v>
      </c>
      <c r="Y731" s="199" t="s">
        <v>50</v>
      </c>
      <c r="Z731" s="169"/>
      <c r="AA731" s="170" t="s">
        <v>5645</v>
      </c>
      <c r="AB731" s="243" t="s">
        <v>5646</v>
      </c>
      <c r="AC731" s="172">
        <v>3699</v>
      </c>
      <c r="AE731" s="222" t="s">
        <v>5524</v>
      </c>
      <c r="AF731" s="200"/>
      <c r="AG731" s="138" t="s">
        <v>56</v>
      </c>
      <c r="AH731" s="138" t="s">
        <v>56</v>
      </c>
      <c r="AI731" s="200"/>
      <c r="AJ731" s="255" t="s">
        <v>4278</v>
      </c>
      <c r="AK731" s="255" t="s">
        <v>4278</v>
      </c>
      <c r="AL731" s="200"/>
    </row>
    <row r="732" spans="1:38" s="200" customFormat="1" ht="45.75" customHeight="1" x14ac:dyDescent="0.25">
      <c r="A732" s="14">
        <v>45825</v>
      </c>
      <c r="B732" s="403" t="s">
        <v>5786</v>
      </c>
      <c r="C732" s="403" t="s">
        <v>5787</v>
      </c>
      <c r="D732" s="403"/>
      <c r="E732" s="404" t="s">
        <v>39</v>
      </c>
      <c r="F732" s="19">
        <v>1</v>
      </c>
      <c r="G732" s="405"/>
      <c r="H732" s="405"/>
      <c r="I732" s="245" t="s">
        <v>5788</v>
      </c>
      <c r="J732" s="406">
        <v>80</v>
      </c>
      <c r="K732" s="439" t="s">
        <v>5789</v>
      </c>
      <c r="L732" s="408" t="s">
        <v>63</v>
      </c>
      <c r="M732" s="404" t="s">
        <v>42</v>
      </c>
      <c r="N732" s="334" t="s">
        <v>5790</v>
      </c>
      <c r="O732" s="409" t="s">
        <v>5785</v>
      </c>
      <c r="P732" s="409" t="s">
        <v>5791</v>
      </c>
      <c r="Q732" s="409" t="s">
        <v>5792</v>
      </c>
      <c r="R732" s="410">
        <v>17</v>
      </c>
      <c r="S732" s="410">
        <v>37</v>
      </c>
      <c r="T732" s="404" t="s">
        <v>47</v>
      </c>
      <c r="U732" s="404">
        <v>7</v>
      </c>
      <c r="V732" s="411">
        <f t="shared" si="19"/>
        <v>560</v>
      </c>
      <c r="W732" s="404" t="s">
        <v>350</v>
      </c>
      <c r="X732" s="198" t="s">
        <v>1420</v>
      </c>
      <c r="Y732" s="199" t="s">
        <v>82</v>
      </c>
      <c r="Z732" s="169"/>
      <c r="AA732" s="170" t="s">
        <v>5679</v>
      </c>
      <c r="AB732" s="243" t="s">
        <v>5598</v>
      </c>
      <c r="AC732" s="172">
        <v>4552</v>
      </c>
      <c r="AE732" s="137" t="s">
        <v>5793</v>
      </c>
      <c r="AF732" s="138"/>
      <c r="AG732" s="138" t="s">
        <v>56</v>
      </c>
      <c r="AH732" s="138" t="s">
        <v>86</v>
      </c>
      <c r="AI732" s="138"/>
      <c r="AJ732" s="138"/>
      <c r="AK732" s="138"/>
      <c r="AL732" s="222"/>
    </row>
    <row r="733" spans="1:38" s="200" customFormat="1" ht="56.25" x14ac:dyDescent="0.25">
      <c r="A733" s="14">
        <v>45825</v>
      </c>
      <c r="B733" s="436" t="s">
        <v>4588</v>
      </c>
      <c r="C733" s="436" t="s">
        <v>5567</v>
      </c>
      <c r="D733" s="436"/>
      <c r="E733" s="412" t="s">
        <v>39</v>
      </c>
      <c r="F733" s="19">
        <v>1</v>
      </c>
      <c r="G733" s="437"/>
      <c r="H733" s="437"/>
      <c r="I733" s="245" t="s">
        <v>5794</v>
      </c>
      <c r="J733" s="438">
        <v>200</v>
      </c>
      <c r="K733" s="439" t="s">
        <v>5789</v>
      </c>
      <c r="L733" s="443" t="s">
        <v>63</v>
      </c>
      <c r="M733" s="443" t="s">
        <v>55</v>
      </c>
      <c r="N733" s="444" t="s">
        <v>5795</v>
      </c>
      <c r="O733" s="440" t="s">
        <v>5796</v>
      </c>
      <c r="P733" s="440" t="s">
        <v>5572</v>
      </c>
      <c r="Q733" s="440" t="s">
        <v>5797</v>
      </c>
      <c r="R733" s="441">
        <v>22</v>
      </c>
      <c r="S733" s="441">
        <v>30</v>
      </c>
      <c r="T733" s="412" t="s">
        <v>47</v>
      </c>
      <c r="U733" s="412">
        <v>3</v>
      </c>
      <c r="V733" s="418">
        <f t="shared" si="19"/>
        <v>600</v>
      </c>
      <c r="W733" s="412" t="s">
        <v>350</v>
      </c>
      <c r="X733" s="198" t="s">
        <v>1420</v>
      </c>
      <c r="Y733" s="199" t="s">
        <v>82</v>
      </c>
      <c r="Z733" s="169"/>
      <c r="AA733" s="170" t="s">
        <v>5491</v>
      </c>
      <c r="AB733" s="243" t="s">
        <v>5501</v>
      </c>
      <c r="AC733" s="172">
        <v>5964</v>
      </c>
      <c r="AE733" s="138" t="s">
        <v>4867</v>
      </c>
      <c r="AF733" s="402"/>
      <c r="AG733" s="138" t="s">
        <v>56</v>
      </c>
      <c r="AH733" s="138" t="s">
        <v>86</v>
      </c>
      <c r="AI733" s="402"/>
      <c r="AJ733" s="402" t="s">
        <v>56</v>
      </c>
      <c r="AK733" s="138" t="s">
        <v>1076</v>
      </c>
      <c r="AL733" s="402"/>
    </row>
    <row r="734" spans="1:38" s="200" customFormat="1" ht="89.25" customHeight="1" x14ac:dyDescent="0.25">
      <c r="A734" s="14">
        <v>45825</v>
      </c>
      <c r="B734" s="41" t="s">
        <v>4588</v>
      </c>
      <c r="C734" s="41" t="s">
        <v>5798</v>
      </c>
      <c r="D734" s="273" t="s">
        <v>5799</v>
      </c>
      <c r="E734" s="42" t="s">
        <v>39</v>
      </c>
      <c r="F734" s="19">
        <v>1</v>
      </c>
      <c r="G734" s="43"/>
      <c r="H734" s="43"/>
      <c r="I734" s="245" t="s">
        <v>5800</v>
      </c>
      <c r="J734" s="45">
        <v>200</v>
      </c>
      <c r="K734" s="111" t="s">
        <v>5801</v>
      </c>
      <c r="L734" s="47" t="s">
        <v>63</v>
      </c>
      <c r="M734" s="430" t="s">
        <v>42</v>
      </c>
      <c r="N734" s="250" t="s">
        <v>5802</v>
      </c>
      <c r="O734" s="49" t="s">
        <v>5803</v>
      </c>
      <c r="P734" s="49" t="s">
        <v>5804</v>
      </c>
      <c r="Q734" s="49" t="s">
        <v>5805</v>
      </c>
      <c r="R734" s="50">
        <v>26</v>
      </c>
      <c r="S734" s="50">
        <v>59</v>
      </c>
      <c r="T734" s="51" t="s">
        <v>47</v>
      </c>
      <c r="U734" s="51">
        <v>4</v>
      </c>
      <c r="V734" s="75">
        <f t="shared" si="19"/>
        <v>800</v>
      </c>
      <c r="W734" s="51" t="s">
        <v>350</v>
      </c>
      <c r="X734" s="198" t="s">
        <v>1648</v>
      </c>
      <c r="Y734" s="199" t="s">
        <v>82</v>
      </c>
      <c r="Z734" s="169"/>
      <c r="AA734" s="170" t="s">
        <v>5645</v>
      </c>
      <c r="AB734" s="243" t="s">
        <v>5646</v>
      </c>
      <c r="AC734" s="172">
        <v>7266</v>
      </c>
      <c r="AE734" s="222" t="s">
        <v>5806</v>
      </c>
      <c r="AF734" s="138"/>
      <c r="AG734" s="138" t="s">
        <v>56</v>
      </c>
      <c r="AH734" s="138" t="s">
        <v>86</v>
      </c>
      <c r="AI734" s="138"/>
      <c r="AJ734" s="138"/>
      <c r="AK734" s="138"/>
      <c r="AL734" s="222"/>
    </row>
    <row r="735" spans="1:38" s="200" customFormat="1" ht="63.75" x14ac:dyDescent="0.25">
      <c r="A735" s="14">
        <v>45824</v>
      </c>
      <c r="B735" s="41" t="s">
        <v>4588</v>
      </c>
      <c r="C735" s="41" t="s">
        <v>5807</v>
      </c>
      <c r="D735" s="41" t="s">
        <v>5808</v>
      </c>
      <c r="E735" s="42" t="s">
        <v>39</v>
      </c>
      <c r="F735" s="19">
        <v>1</v>
      </c>
      <c r="G735" s="43"/>
      <c r="H735" s="43"/>
      <c r="I735" s="245" t="s">
        <v>9903</v>
      </c>
      <c r="J735" s="45">
        <v>98</v>
      </c>
      <c r="K735" s="46" t="s">
        <v>5782</v>
      </c>
      <c r="L735" s="47" t="s">
        <v>63</v>
      </c>
      <c r="M735" s="73" t="s">
        <v>42</v>
      </c>
      <c r="N735" s="77" t="s">
        <v>5809</v>
      </c>
      <c r="O735" s="49" t="s">
        <v>5810</v>
      </c>
      <c r="P735" s="197" t="s">
        <v>5811</v>
      </c>
      <c r="Q735" s="49" t="s">
        <v>5541</v>
      </c>
      <c r="R735" s="50">
        <v>57</v>
      </c>
      <c r="S735" s="50">
        <v>96</v>
      </c>
      <c r="T735" s="51" t="s">
        <v>47</v>
      </c>
      <c r="U735" s="51">
        <v>5</v>
      </c>
      <c r="V735" s="52">
        <f t="shared" si="19"/>
        <v>490</v>
      </c>
      <c r="W735" s="51" t="s">
        <v>5543</v>
      </c>
      <c r="X735" s="198" t="s">
        <v>5544</v>
      </c>
      <c r="Y735" s="199" t="s">
        <v>50</v>
      </c>
      <c r="Z735" s="169"/>
      <c r="AA735" s="170" t="s">
        <v>5491</v>
      </c>
      <c r="AB735" s="243" t="s">
        <v>5492</v>
      </c>
      <c r="AC735" s="35">
        <v>4432.54</v>
      </c>
      <c r="AE735" s="222" t="s">
        <v>5524</v>
      </c>
      <c r="AF735" s="138"/>
      <c r="AG735" s="138" t="s">
        <v>56</v>
      </c>
      <c r="AH735" s="138" t="s">
        <v>56</v>
      </c>
      <c r="AI735" s="138"/>
      <c r="AJ735" s="138" t="s">
        <v>56</v>
      </c>
      <c r="AK735" s="138" t="s">
        <v>1076</v>
      </c>
      <c r="AL735" s="222"/>
    </row>
    <row r="736" spans="1:38" s="200" customFormat="1" ht="51" x14ac:dyDescent="0.25">
      <c r="A736" s="14">
        <v>45821</v>
      </c>
      <c r="B736" s="41" t="s">
        <v>5812</v>
      </c>
      <c r="C736" s="41" t="s">
        <v>5813</v>
      </c>
      <c r="D736" s="41"/>
      <c r="E736" s="42" t="s">
        <v>39</v>
      </c>
      <c r="F736" s="19">
        <v>1</v>
      </c>
      <c r="G736" s="43"/>
      <c r="H736" s="43"/>
      <c r="I736" s="245" t="s">
        <v>5814</v>
      </c>
      <c r="J736" s="45"/>
      <c r="K736" s="46" t="s">
        <v>5782</v>
      </c>
      <c r="L736" s="47"/>
      <c r="M736" s="42"/>
      <c r="N736" s="77" t="s">
        <v>5815</v>
      </c>
      <c r="O736" s="49"/>
      <c r="P736" s="49"/>
      <c r="Q736" s="49"/>
      <c r="R736" s="50"/>
      <c r="S736" s="50"/>
      <c r="T736" s="51"/>
      <c r="U736" s="51"/>
      <c r="V736" s="52"/>
      <c r="W736" s="51"/>
      <c r="X736" s="198" t="s">
        <v>98</v>
      </c>
      <c r="Y736" s="199" t="s">
        <v>82</v>
      </c>
      <c r="Z736" s="169"/>
      <c r="AA736" s="170"/>
      <c r="AB736" s="243" t="s">
        <v>5816</v>
      </c>
      <c r="AC736" s="35"/>
      <c r="AE736" s="222"/>
      <c r="AF736" s="138"/>
      <c r="AG736" s="138"/>
      <c r="AH736" s="138"/>
      <c r="AI736" s="138"/>
      <c r="AJ736" s="138"/>
      <c r="AK736" s="138"/>
      <c r="AL736" s="222"/>
    </row>
    <row r="737" spans="1:39" s="200" customFormat="1" ht="194.25" customHeight="1" x14ac:dyDescent="0.25">
      <c r="A737" s="14">
        <v>45821</v>
      </c>
      <c r="B737" s="403" t="s">
        <v>4588</v>
      </c>
      <c r="C737" s="403" t="s">
        <v>5817</v>
      </c>
      <c r="D737" s="403" t="s">
        <v>5818</v>
      </c>
      <c r="E737" s="404" t="s">
        <v>39</v>
      </c>
      <c r="F737" s="405"/>
      <c r="G737" s="405"/>
      <c r="H737" s="19">
        <v>1</v>
      </c>
      <c r="I737" s="245" t="s">
        <v>5819</v>
      </c>
      <c r="J737" s="406">
        <v>15</v>
      </c>
      <c r="K737" s="439" t="s">
        <v>5820</v>
      </c>
      <c r="L737" s="408" t="s">
        <v>63</v>
      </c>
      <c r="M737" s="445" t="s">
        <v>42</v>
      </c>
      <c r="N737" s="334" t="s">
        <v>5821</v>
      </c>
      <c r="O737" s="409" t="s">
        <v>5822</v>
      </c>
      <c r="P737" s="409" t="s">
        <v>5823</v>
      </c>
      <c r="Q737" s="409" t="s">
        <v>5824</v>
      </c>
      <c r="R737" s="92">
        <v>158</v>
      </c>
      <c r="S737" s="410">
        <v>863</v>
      </c>
      <c r="T737" s="404" t="s">
        <v>141</v>
      </c>
      <c r="U737" s="404">
        <v>9</v>
      </c>
      <c r="V737" s="411">
        <f t="shared" ref="V737:V800" si="20">U737*J737</f>
        <v>135</v>
      </c>
      <c r="W737" s="404" t="s">
        <v>350</v>
      </c>
      <c r="X737" s="198" t="s">
        <v>2924</v>
      </c>
      <c r="Y737" s="199" t="s">
        <v>82</v>
      </c>
      <c r="Z737" s="169" t="s">
        <v>5825</v>
      </c>
      <c r="AA737" s="170" t="s">
        <v>5403</v>
      </c>
      <c r="AB737" s="243" t="s">
        <v>5680</v>
      </c>
      <c r="AC737" s="172">
        <v>11386</v>
      </c>
      <c r="AE737" s="222" t="s">
        <v>5524</v>
      </c>
      <c r="AF737" s="138"/>
      <c r="AG737" s="138" t="s">
        <v>56</v>
      </c>
      <c r="AH737" s="138" t="s">
        <v>56</v>
      </c>
      <c r="AI737" s="138"/>
      <c r="AJ737" s="138"/>
      <c r="AK737" s="138" t="s">
        <v>5826</v>
      </c>
      <c r="AL737" s="222"/>
    </row>
    <row r="738" spans="1:39" ht="141" customHeight="1" x14ac:dyDescent="0.25">
      <c r="A738" s="14">
        <v>45821</v>
      </c>
      <c r="B738" s="41" t="s">
        <v>5827</v>
      </c>
      <c r="C738" s="41" t="s">
        <v>5828</v>
      </c>
      <c r="D738" s="41" t="s">
        <v>5829</v>
      </c>
      <c r="E738" s="42" t="s">
        <v>39</v>
      </c>
      <c r="F738" s="43"/>
      <c r="G738" s="43"/>
      <c r="H738" s="19">
        <v>1</v>
      </c>
      <c r="I738" s="245" t="s">
        <v>5830</v>
      </c>
      <c r="J738" s="45">
        <v>50</v>
      </c>
      <c r="K738" s="46" t="s">
        <v>9943</v>
      </c>
      <c r="L738" s="47" t="s">
        <v>63</v>
      </c>
      <c r="M738" s="446" t="s">
        <v>42</v>
      </c>
      <c r="N738" s="447" t="s">
        <v>5831</v>
      </c>
      <c r="O738" s="448" t="s">
        <v>5832</v>
      </c>
      <c r="P738" s="49" t="s">
        <v>5833</v>
      </c>
      <c r="Q738" s="49" t="s">
        <v>5834</v>
      </c>
      <c r="R738" s="92">
        <v>202</v>
      </c>
      <c r="S738" s="92">
        <v>1001</v>
      </c>
      <c r="T738" s="51" t="s">
        <v>933</v>
      </c>
      <c r="U738" s="51">
        <v>15</v>
      </c>
      <c r="V738" s="75">
        <f t="shared" si="20"/>
        <v>750</v>
      </c>
      <c r="W738" s="51" t="s">
        <v>350</v>
      </c>
      <c r="X738" s="202" t="s">
        <v>1951</v>
      </c>
      <c r="Y738" s="199" t="s">
        <v>82</v>
      </c>
      <c r="Z738" s="169" t="s">
        <v>5835</v>
      </c>
      <c r="AA738" s="170" t="s">
        <v>3838</v>
      </c>
      <c r="AB738" s="243" t="s">
        <v>5836</v>
      </c>
      <c r="AC738" s="172">
        <v>33910</v>
      </c>
      <c r="AE738" s="138" t="s">
        <v>5524</v>
      </c>
      <c r="AF738" s="138"/>
      <c r="AG738" s="138" t="s">
        <v>56</v>
      </c>
      <c r="AH738" s="138"/>
      <c r="AI738" s="138"/>
      <c r="AJ738" s="138" t="s">
        <v>5837</v>
      </c>
      <c r="AK738" s="138" t="s">
        <v>2284</v>
      </c>
      <c r="AL738" s="222"/>
    </row>
    <row r="739" spans="1:39" s="200" customFormat="1" ht="180" customHeight="1" x14ac:dyDescent="0.25">
      <c r="A739" s="14">
        <v>45821</v>
      </c>
      <c r="B739" s="41" t="s">
        <v>5838</v>
      </c>
      <c r="C739" s="41" t="s">
        <v>5839</v>
      </c>
      <c r="D739" s="41"/>
      <c r="E739" s="42" t="s">
        <v>39</v>
      </c>
      <c r="F739" s="19">
        <v>1</v>
      </c>
      <c r="G739" s="43"/>
      <c r="H739" s="43"/>
      <c r="I739" s="245" t="s">
        <v>5840</v>
      </c>
      <c r="J739" s="45">
        <v>80</v>
      </c>
      <c r="K739" s="150" t="s">
        <v>5841</v>
      </c>
      <c r="L739" s="47" t="s">
        <v>2200</v>
      </c>
      <c r="M739" s="151" t="s">
        <v>42</v>
      </c>
      <c r="N739" s="77" t="s">
        <v>5842</v>
      </c>
      <c r="O739" s="49"/>
      <c r="P739" s="49" t="s">
        <v>5843</v>
      </c>
      <c r="Q739" s="49" t="s">
        <v>5844</v>
      </c>
      <c r="R739" s="50">
        <v>33</v>
      </c>
      <c r="S739" s="50">
        <v>167</v>
      </c>
      <c r="T739" s="51" t="s">
        <v>96</v>
      </c>
      <c r="U739" s="51">
        <v>9</v>
      </c>
      <c r="V739" s="75">
        <f t="shared" si="20"/>
        <v>720</v>
      </c>
      <c r="W739" s="51" t="s">
        <v>350</v>
      </c>
      <c r="X739" s="198" t="s">
        <v>1982</v>
      </c>
      <c r="Y739" s="199" t="s">
        <v>82</v>
      </c>
      <c r="Z739" s="169"/>
      <c r="AA739" s="170" t="s">
        <v>83</v>
      </c>
      <c r="AB739" s="243" t="s">
        <v>5845</v>
      </c>
      <c r="AC739" s="35">
        <f>6312*(J739/100)</f>
        <v>5049.6000000000004</v>
      </c>
      <c r="AE739" s="137" t="s">
        <v>4867</v>
      </c>
      <c r="AF739" s="138"/>
      <c r="AG739" s="138" t="s">
        <v>56</v>
      </c>
      <c r="AH739" s="138"/>
      <c r="AI739" s="138"/>
      <c r="AJ739" s="138" t="s">
        <v>5209</v>
      </c>
      <c r="AK739" s="138" t="s">
        <v>5767</v>
      </c>
      <c r="AL739" s="222"/>
    </row>
    <row r="740" spans="1:39" s="200" customFormat="1" ht="180" customHeight="1" x14ac:dyDescent="0.25">
      <c r="A740" s="14">
        <v>45820</v>
      </c>
      <c r="B740" s="41" t="s">
        <v>5838</v>
      </c>
      <c r="C740" s="41" t="s">
        <v>5839</v>
      </c>
      <c r="D740" s="41"/>
      <c r="E740" s="42" t="s">
        <v>39</v>
      </c>
      <c r="F740" s="19">
        <v>1</v>
      </c>
      <c r="G740" s="43"/>
      <c r="H740" s="43"/>
      <c r="I740" s="245" t="s">
        <v>5846</v>
      </c>
      <c r="J740" s="45">
        <v>20</v>
      </c>
      <c r="K740" s="150" t="s">
        <v>5841</v>
      </c>
      <c r="L740" s="47" t="s">
        <v>2200</v>
      </c>
      <c r="M740" s="151" t="s">
        <v>42</v>
      </c>
      <c r="N740" s="77" t="s">
        <v>5842</v>
      </c>
      <c r="O740" s="49"/>
      <c r="P740" s="49" t="s">
        <v>5843</v>
      </c>
      <c r="Q740" s="49" t="s">
        <v>5844</v>
      </c>
      <c r="R740" s="50">
        <v>33</v>
      </c>
      <c r="S740" s="50">
        <v>167</v>
      </c>
      <c r="T740" s="51" t="s">
        <v>96</v>
      </c>
      <c r="U740" s="51">
        <v>9</v>
      </c>
      <c r="V740" s="75">
        <f t="shared" si="20"/>
        <v>180</v>
      </c>
      <c r="W740" s="51" t="s">
        <v>350</v>
      </c>
      <c r="X740" s="198" t="s">
        <v>1982</v>
      </c>
      <c r="Y740" s="199" t="s">
        <v>82</v>
      </c>
      <c r="Z740" s="169"/>
      <c r="AA740" s="170" t="s">
        <v>83</v>
      </c>
      <c r="AB740" s="243" t="s">
        <v>5845</v>
      </c>
      <c r="AC740" s="35">
        <f>6312*(J740/100)</f>
        <v>1262.4000000000001</v>
      </c>
      <c r="AE740" s="137" t="s">
        <v>4867</v>
      </c>
      <c r="AF740" s="138"/>
      <c r="AG740" s="138" t="s">
        <v>56</v>
      </c>
      <c r="AH740" s="138"/>
      <c r="AI740" s="138"/>
      <c r="AJ740" s="138" t="s">
        <v>5209</v>
      </c>
      <c r="AK740" s="138" t="s">
        <v>5767</v>
      </c>
      <c r="AL740" s="222"/>
    </row>
    <row r="741" spans="1:39" s="200" customFormat="1" ht="48" customHeight="1" x14ac:dyDescent="0.25">
      <c r="A741" s="14">
        <v>45820</v>
      </c>
      <c r="B741" s="41" t="s">
        <v>4588</v>
      </c>
      <c r="C741" s="41" t="s">
        <v>5847</v>
      </c>
      <c r="D741" s="41"/>
      <c r="E741" s="42" t="s">
        <v>39</v>
      </c>
      <c r="F741" s="19">
        <v>1</v>
      </c>
      <c r="G741" s="43"/>
      <c r="H741" s="43"/>
      <c r="I741" s="245" t="s">
        <v>5848</v>
      </c>
      <c r="J741" s="45">
        <v>8</v>
      </c>
      <c r="K741" s="46" t="s">
        <v>5849</v>
      </c>
      <c r="L741" s="47" t="s">
        <v>41</v>
      </c>
      <c r="M741" s="73" t="s">
        <v>42</v>
      </c>
      <c r="N741" s="77" t="s">
        <v>5570</v>
      </c>
      <c r="O741" s="49" t="s">
        <v>5850</v>
      </c>
      <c r="P741" s="49" t="s">
        <v>5851</v>
      </c>
      <c r="Q741" s="49" t="s">
        <v>5852</v>
      </c>
      <c r="R741" s="50">
        <v>19</v>
      </c>
      <c r="S741" s="50">
        <v>28</v>
      </c>
      <c r="T741" s="51" t="s">
        <v>47</v>
      </c>
      <c r="U741" s="51">
        <v>1</v>
      </c>
      <c r="V741" s="52">
        <f t="shared" si="20"/>
        <v>8</v>
      </c>
      <c r="W741" s="51" t="s">
        <v>350</v>
      </c>
      <c r="X741" s="198" t="s">
        <v>511</v>
      </c>
      <c r="Y741" s="263" t="s">
        <v>144</v>
      </c>
      <c r="Z741" s="169"/>
      <c r="AA741" s="170" t="s">
        <v>83</v>
      </c>
      <c r="AB741" s="243" t="s">
        <v>5845</v>
      </c>
      <c r="AC741" s="172">
        <v>1688</v>
      </c>
      <c r="AE741" s="222" t="s">
        <v>5524</v>
      </c>
      <c r="AF741" s="138"/>
      <c r="AG741" s="138" t="s">
        <v>56</v>
      </c>
      <c r="AH741" s="138"/>
      <c r="AI741" s="138"/>
      <c r="AJ741" s="138"/>
      <c r="AK741" s="137" t="s">
        <v>1076</v>
      </c>
      <c r="AL741" s="138"/>
    </row>
    <row r="742" spans="1:39" ht="87" customHeight="1" x14ac:dyDescent="0.25">
      <c r="A742" s="14">
        <v>45820</v>
      </c>
      <c r="B742" s="82" t="s">
        <v>5853</v>
      </c>
      <c r="C742" s="82" t="s">
        <v>5854</v>
      </c>
      <c r="D742" s="82"/>
      <c r="E742" s="42" t="s">
        <v>39</v>
      </c>
      <c r="F742" s="19">
        <v>1</v>
      </c>
      <c r="G742" s="108"/>
      <c r="H742" s="108"/>
      <c r="I742" s="245" t="s">
        <v>5855</v>
      </c>
      <c r="J742" s="110">
        <v>3</v>
      </c>
      <c r="K742" s="111" t="s">
        <v>5801</v>
      </c>
      <c r="L742" s="47" t="s">
        <v>63</v>
      </c>
      <c r="M742" s="430" t="s">
        <v>42</v>
      </c>
      <c r="N742" s="77" t="s">
        <v>5856</v>
      </c>
      <c r="O742" s="49" t="s">
        <v>5857</v>
      </c>
      <c r="P742" s="49" t="s">
        <v>5858</v>
      </c>
      <c r="Q742" s="49" t="s">
        <v>5859</v>
      </c>
      <c r="R742" s="50">
        <v>71</v>
      </c>
      <c r="S742" s="50">
        <v>287</v>
      </c>
      <c r="T742" s="51" t="s">
        <v>47</v>
      </c>
      <c r="U742" s="51">
        <v>2</v>
      </c>
      <c r="V742" s="52">
        <f t="shared" si="20"/>
        <v>6</v>
      </c>
      <c r="W742" s="51" t="s">
        <v>3973</v>
      </c>
      <c r="X742" s="198" t="s">
        <v>2127</v>
      </c>
      <c r="Y742" s="199" t="s">
        <v>70</v>
      </c>
      <c r="Z742" s="169"/>
      <c r="AA742" s="170" t="s">
        <v>5699</v>
      </c>
      <c r="AB742" s="243" t="s">
        <v>84</v>
      </c>
      <c r="AC742" s="172">
        <v>2774</v>
      </c>
      <c r="AE742" s="222" t="s">
        <v>5524</v>
      </c>
      <c r="AF742" s="222" t="s">
        <v>5554</v>
      </c>
      <c r="AG742" s="222" t="s">
        <v>56</v>
      </c>
      <c r="AH742" s="431" t="s">
        <v>5860</v>
      </c>
      <c r="AI742" s="222"/>
      <c r="AJ742" s="222"/>
      <c r="AK742" s="222"/>
      <c r="AL742" s="222"/>
    </row>
    <row r="743" spans="1:39" s="200" customFormat="1" ht="53.25" customHeight="1" x14ac:dyDescent="0.25">
      <c r="A743" s="14">
        <v>45820</v>
      </c>
      <c r="B743" s="403" t="s">
        <v>5683</v>
      </c>
      <c r="C743" s="403" t="s">
        <v>5861</v>
      </c>
      <c r="D743" s="403"/>
      <c r="E743" s="404" t="s">
        <v>39</v>
      </c>
      <c r="F743" s="405"/>
      <c r="G743" s="405"/>
      <c r="H743" s="19">
        <v>1</v>
      </c>
      <c r="I743" s="245" t="s">
        <v>5862</v>
      </c>
      <c r="J743" s="406">
        <v>12</v>
      </c>
      <c r="K743" s="439" t="s">
        <v>5863</v>
      </c>
      <c r="L743" s="408" t="s">
        <v>63</v>
      </c>
      <c r="M743" s="408" t="s">
        <v>42</v>
      </c>
      <c r="N743" s="334" t="s">
        <v>240</v>
      </c>
      <c r="O743" s="409"/>
      <c r="P743" s="409" t="s">
        <v>5864</v>
      </c>
      <c r="Q743" s="409" t="s">
        <v>5784</v>
      </c>
      <c r="R743" s="410">
        <v>1</v>
      </c>
      <c r="S743" s="410">
        <v>40</v>
      </c>
      <c r="T743" s="404" t="s">
        <v>96</v>
      </c>
      <c r="U743" s="404">
        <v>47</v>
      </c>
      <c r="V743" s="411">
        <f t="shared" si="20"/>
        <v>564</v>
      </c>
      <c r="W743" s="404" t="s">
        <v>68</v>
      </c>
      <c r="X743" s="198" t="s">
        <v>3495</v>
      </c>
      <c r="Y743" s="199" t="s">
        <v>1862</v>
      </c>
      <c r="Z743" s="269"/>
      <c r="AA743" s="170" t="s">
        <v>5865</v>
      </c>
      <c r="AB743" s="243" t="s">
        <v>5598</v>
      </c>
      <c r="AC743" s="172">
        <v>4302</v>
      </c>
      <c r="AE743" s="222" t="s">
        <v>5524</v>
      </c>
      <c r="AF743" s="138"/>
      <c r="AG743" s="138" t="s">
        <v>56</v>
      </c>
      <c r="AH743" s="138" t="s">
        <v>86</v>
      </c>
      <c r="AI743" s="138"/>
      <c r="AJ743" s="138"/>
      <c r="AK743" s="138" t="s">
        <v>1076</v>
      </c>
      <c r="AL743" s="222"/>
    </row>
    <row r="744" spans="1:39" s="200" customFormat="1" ht="72" customHeight="1" x14ac:dyDescent="0.25">
      <c r="A744" s="14">
        <v>45820</v>
      </c>
      <c r="B744" s="41" t="s">
        <v>5866</v>
      </c>
      <c r="C744" s="41" t="s">
        <v>5867</v>
      </c>
      <c r="D744" s="41" t="s">
        <v>5868</v>
      </c>
      <c r="E744" s="42" t="s">
        <v>39</v>
      </c>
      <c r="F744" s="19">
        <v>1</v>
      </c>
      <c r="G744" s="43"/>
      <c r="H744" s="43"/>
      <c r="I744" s="245" t="s">
        <v>5869</v>
      </c>
      <c r="J744" s="45">
        <v>150</v>
      </c>
      <c r="K744" s="46" t="s">
        <v>5870</v>
      </c>
      <c r="L744" s="47" t="s">
        <v>63</v>
      </c>
      <c r="M744" s="151" t="s">
        <v>42</v>
      </c>
      <c r="N744" s="77" t="s">
        <v>5871</v>
      </c>
      <c r="O744" s="49" t="s">
        <v>5872</v>
      </c>
      <c r="P744" s="49" t="s">
        <v>5873</v>
      </c>
      <c r="Q744" s="49" t="s">
        <v>5874</v>
      </c>
      <c r="R744" s="50">
        <v>81</v>
      </c>
      <c r="S744" s="50">
        <v>134</v>
      </c>
      <c r="T744" s="51" t="s">
        <v>180</v>
      </c>
      <c r="U744" s="51">
        <v>20</v>
      </c>
      <c r="V744" s="75">
        <f t="shared" si="20"/>
        <v>3000</v>
      </c>
      <c r="W744" s="51" t="s">
        <v>350</v>
      </c>
      <c r="X744" s="198" t="s">
        <v>1445</v>
      </c>
      <c r="Y744" s="199" t="s">
        <v>1862</v>
      </c>
      <c r="Z744" s="169" t="s">
        <v>5875</v>
      </c>
      <c r="AA744" s="170" t="s">
        <v>5597</v>
      </c>
      <c r="AB744" s="243" t="s">
        <v>5646</v>
      </c>
      <c r="AC744" s="172">
        <v>11090.5</v>
      </c>
      <c r="AE744" s="222" t="s">
        <v>4857</v>
      </c>
      <c r="AF744" s="402"/>
      <c r="AG744" s="138" t="s">
        <v>56</v>
      </c>
      <c r="AH744" s="138" t="s">
        <v>56</v>
      </c>
      <c r="AI744" s="255" t="s">
        <v>5876</v>
      </c>
      <c r="AJ744" s="402"/>
      <c r="AK744" s="138"/>
      <c r="AL744" s="402"/>
      <c r="AM744"/>
    </row>
    <row r="745" spans="1:39" ht="57" customHeight="1" x14ac:dyDescent="0.25">
      <c r="A745" s="14">
        <v>45819</v>
      </c>
      <c r="B745" s="41" t="s">
        <v>5877</v>
      </c>
      <c r="C745" s="41" t="s">
        <v>5878</v>
      </c>
      <c r="D745" s="273" t="s">
        <v>5879</v>
      </c>
      <c r="E745" s="42" t="s">
        <v>39</v>
      </c>
      <c r="F745" s="19">
        <v>1</v>
      </c>
      <c r="G745" s="43"/>
      <c r="H745" s="43"/>
      <c r="I745" s="245" t="s">
        <v>5880</v>
      </c>
      <c r="J745" s="45">
        <v>40</v>
      </c>
      <c r="K745" s="46" t="s">
        <v>5881</v>
      </c>
      <c r="L745" s="47" t="s">
        <v>41</v>
      </c>
      <c r="M745" s="73" t="s">
        <v>42</v>
      </c>
      <c r="N745" s="77" t="s">
        <v>5882</v>
      </c>
      <c r="O745" s="49"/>
      <c r="P745" s="49" t="s">
        <v>5883</v>
      </c>
      <c r="Q745" s="49" t="s">
        <v>5884</v>
      </c>
      <c r="R745" s="50">
        <v>49</v>
      </c>
      <c r="S745" s="50">
        <v>99</v>
      </c>
      <c r="T745" s="51" t="s">
        <v>67</v>
      </c>
      <c r="U745" s="51">
        <v>5</v>
      </c>
      <c r="V745" s="52">
        <f t="shared" si="20"/>
        <v>200</v>
      </c>
      <c r="W745" s="51" t="s">
        <v>142</v>
      </c>
      <c r="X745" s="198" t="s">
        <v>4692</v>
      </c>
      <c r="Y745" s="168" t="s">
        <v>82</v>
      </c>
      <c r="Z745" s="169"/>
      <c r="AA745" s="170" t="s">
        <v>83</v>
      </c>
      <c r="AB745" s="243" t="s">
        <v>5605</v>
      </c>
      <c r="AC745" s="172">
        <f>1500+1000+2678</f>
        <v>5178</v>
      </c>
      <c r="AE745" s="138" t="s">
        <v>4867</v>
      </c>
      <c r="AF745" s="138"/>
      <c r="AG745" s="138" t="s">
        <v>56</v>
      </c>
      <c r="AH745" s="255" t="s">
        <v>5885</v>
      </c>
      <c r="AI745" s="138"/>
      <c r="AJ745" s="138"/>
      <c r="AK745" s="138"/>
      <c r="AL745" s="222"/>
    </row>
    <row r="746" spans="1:39" s="200" customFormat="1" ht="48" customHeight="1" x14ac:dyDescent="0.25">
      <c r="A746" s="14">
        <v>45819</v>
      </c>
      <c r="B746" s="403" t="s">
        <v>5886</v>
      </c>
      <c r="C746" s="403" t="s">
        <v>5887</v>
      </c>
      <c r="D746" s="403"/>
      <c r="E746" s="404" t="s">
        <v>39</v>
      </c>
      <c r="F746" s="405"/>
      <c r="G746" s="405"/>
      <c r="H746" s="19">
        <v>1</v>
      </c>
      <c r="I746" s="245" t="s">
        <v>5888</v>
      </c>
      <c r="J746" s="406">
        <v>310</v>
      </c>
      <c r="K746" s="439" t="s">
        <v>5889</v>
      </c>
      <c r="L746" s="408" t="s">
        <v>63</v>
      </c>
      <c r="M746" s="408" t="s">
        <v>42</v>
      </c>
      <c r="N746" s="334" t="s">
        <v>5890</v>
      </c>
      <c r="O746" s="409"/>
      <c r="P746" s="409" t="s">
        <v>5891</v>
      </c>
      <c r="Q746" s="409" t="s">
        <v>5892</v>
      </c>
      <c r="R746" s="410">
        <v>11</v>
      </c>
      <c r="S746" s="410">
        <v>13</v>
      </c>
      <c r="T746" s="404" t="s">
        <v>96</v>
      </c>
      <c r="U746" s="404">
        <v>7</v>
      </c>
      <c r="V746" s="75">
        <f t="shared" si="20"/>
        <v>2170</v>
      </c>
      <c r="W746" s="404" t="s">
        <v>350</v>
      </c>
      <c r="X746" s="198" t="s">
        <v>1420</v>
      </c>
      <c r="Y746" s="199" t="s">
        <v>82</v>
      </c>
      <c r="Z746" s="169"/>
      <c r="AA746" s="170" t="s">
        <v>5679</v>
      </c>
      <c r="AB746" s="243" t="s">
        <v>5625</v>
      </c>
      <c r="AC746" s="172">
        <v>6270</v>
      </c>
      <c r="AE746" s="138" t="s">
        <v>4867</v>
      </c>
      <c r="AF746" s="138"/>
      <c r="AG746" s="138" t="s">
        <v>56</v>
      </c>
      <c r="AH746" s="138" t="s">
        <v>86</v>
      </c>
      <c r="AI746" s="138"/>
      <c r="AJ746" s="138"/>
      <c r="AK746" s="138"/>
      <c r="AL746" s="222"/>
    </row>
    <row r="747" spans="1:39" ht="89.25" x14ac:dyDescent="0.25">
      <c r="A747" s="14">
        <v>45818</v>
      </c>
      <c r="B747" s="41" t="s">
        <v>4588</v>
      </c>
      <c r="C747" s="41" t="s">
        <v>5893</v>
      </c>
      <c r="D747" s="41"/>
      <c r="E747" s="42"/>
      <c r="F747" s="43"/>
      <c r="G747" s="43"/>
      <c r="H747" s="43"/>
      <c r="I747" s="245" t="s">
        <v>9852</v>
      </c>
      <c r="J747" s="45">
        <v>1</v>
      </c>
      <c r="K747" s="46" t="s">
        <v>5870</v>
      </c>
      <c r="L747" s="423"/>
      <c r="M747" s="42"/>
      <c r="N747" s="77" t="s">
        <v>5894</v>
      </c>
      <c r="O747" s="49"/>
      <c r="P747" s="49"/>
      <c r="Q747" s="49"/>
      <c r="R747" s="50"/>
      <c r="S747" s="50"/>
      <c r="T747" s="51"/>
      <c r="U747" s="51">
        <v>14</v>
      </c>
      <c r="V747" s="52">
        <f t="shared" si="20"/>
        <v>14</v>
      </c>
      <c r="W747" s="51" t="s">
        <v>4564</v>
      </c>
      <c r="X747" s="198" t="s">
        <v>4790</v>
      </c>
      <c r="Y747" s="168" t="s">
        <v>50</v>
      </c>
      <c r="Z747" s="169"/>
      <c r="AA747" s="170" t="s">
        <v>83</v>
      </c>
      <c r="AB747" s="243" t="s">
        <v>5598</v>
      </c>
      <c r="AC747" s="172">
        <v>770</v>
      </c>
      <c r="AE747" s="137"/>
      <c r="AF747" s="138"/>
      <c r="AG747" s="138"/>
      <c r="AH747" s="138"/>
      <c r="AI747" s="138"/>
      <c r="AJ747" s="138"/>
      <c r="AK747" s="138"/>
      <c r="AL747" s="222"/>
    </row>
    <row r="748" spans="1:39" s="200" customFormat="1" ht="78" customHeight="1" x14ac:dyDescent="0.25">
      <c r="A748" s="14">
        <v>45818</v>
      </c>
      <c r="B748" s="436" t="s">
        <v>5895</v>
      </c>
      <c r="C748" s="436" t="s">
        <v>5896</v>
      </c>
      <c r="D748" s="436" t="s">
        <v>5897</v>
      </c>
      <c r="E748" s="412" t="s">
        <v>39</v>
      </c>
      <c r="F748" s="437"/>
      <c r="G748" s="437"/>
      <c r="H748" s="19">
        <v>1</v>
      </c>
      <c r="I748" s="245" t="s">
        <v>5898</v>
      </c>
      <c r="J748" s="438">
        <v>310</v>
      </c>
      <c r="K748" s="439" t="s">
        <v>5899</v>
      </c>
      <c r="L748" s="443" t="s">
        <v>63</v>
      </c>
      <c r="M748" s="404" t="s">
        <v>42</v>
      </c>
      <c r="N748" s="77" t="s">
        <v>5900</v>
      </c>
      <c r="O748" s="440" t="s">
        <v>5805</v>
      </c>
      <c r="P748" s="440" t="s">
        <v>5901</v>
      </c>
      <c r="Q748" s="440" t="s">
        <v>5891</v>
      </c>
      <c r="R748" s="441">
        <v>22</v>
      </c>
      <c r="S748" s="441">
        <v>30</v>
      </c>
      <c r="T748" s="412" t="s">
        <v>47</v>
      </c>
      <c r="U748" s="412">
        <v>3</v>
      </c>
      <c r="V748" s="418">
        <f t="shared" si="20"/>
        <v>930</v>
      </c>
      <c r="W748" s="412" t="s">
        <v>350</v>
      </c>
      <c r="X748" s="198" t="s">
        <v>1420</v>
      </c>
      <c r="Y748" s="199" t="s">
        <v>82</v>
      </c>
      <c r="Z748" s="169"/>
      <c r="AA748" s="170" t="s">
        <v>5624</v>
      </c>
      <c r="AB748" s="243" t="s">
        <v>5637</v>
      </c>
      <c r="AC748" s="172">
        <v>8073.8</v>
      </c>
      <c r="AE748" s="137" t="s">
        <v>4867</v>
      </c>
      <c r="AF748" s="402"/>
      <c r="AG748" s="138" t="s">
        <v>56</v>
      </c>
      <c r="AH748" s="138" t="s">
        <v>86</v>
      </c>
      <c r="AI748" s="402"/>
      <c r="AJ748" s="402"/>
      <c r="AK748" s="138"/>
      <c r="AL748" s="402"/>
    </row>
    <row r="749" spans="1:39" s="200" customFormat="1" ht="36" customHeight="1" x14ac:dyDescent="0.25">
      <c r="A749" s="14">
        <v>45817</v>
      </c>
      <c r="B749" s="41" t="s">
        <v>4588</v>
      </c>
      <c r="C749" s="41" t="s">
        <v>5902</v>
      </c>
      <c r="D749" s="41" t="s">
        <v>5903</v>
      </c>
      <c r="E749" s="42" t="s">
        <v>39</v>
      </c>
      <c r="F749" s="19"/>
      <c r="G749" s="43"/>
      <c r="H749" s="43"/>
      <c r="I749" s="245" t="s">
        <v>9864</v>
      </c>
      <c r="J749" s="45">
        <v>150</v>
      </c>
      <c r="K749" s="46" t="s">
        <v>5904</v>
      </c>
      <c r="L749" s="277" t="s">
        <v>63</v>
      </c>
      <c r="M749" s="42" t="s">
        <v>42</v>
      </c>
      <c r="N749" s="77" t="s">
        <v>5905</v>
      </c>
      <c r="O749" s="49"/>
      <c r="P749" s="49"/>
      <c r="Q749" s="49"/>
      <c r="R749" s="50"/>
      <c r="S749" s="50"/>
      <c r="T749" s="51"/>
      <c r="U749" s="51">
        <v>9</v>
      </c>
      <c r="V749" s="75">
        <f t="shared" si="20"/>
        <v>1350</v>
      </c>
      <c r="W749" s="51" t="s">
        <v>142</v>
      </c>
      <c r="X749" s="198" t="s">
        <v>5906</v>
      </c>
      <c r="Y749" s="199" t="s">
        <v>5907</v>
      </c>
      <c r="Z749" s="199"/>
      <c r="AA749" s="449" t="s">
        <v>26</v>
      </c>
      <c r="AB749" s="243" t="s">
        <v>5908</v>
      </c>
      <c r="AC749" s="243"/>
      <c r="AD749"/>
    </row>
    <row r="750" spans="1:39" s="200" customFormat="1" ht="64.5" customHeight="1" x14ac:dyDescent="0.25">
      <c r="A750" s="14">
        <v>45817</v>
      </c>
      <c r="B750" s="41" t="s">
        <v>5909</v>
      </c>
      <c r="C750" s="41" t="s">
        <v>5910</v>
      </c>
      <c r="D750" s="273" t="s">
        <v>5911</v>
      </c>
      <c r="E750" s="42" t="s">
        <v>39</v>
      </c>
      <c r="F750" s="19">
        <v>2</v>
      </c>
      <c r="G750" s="43"/>
      <c r="H750" s="43"/>
      <c r="I750" s="245" t="s">
        <v>5912</v>
      </c>
      <c r="J750" s="45">
        <v>10</v>
      </c>
      <c r="K750" s="150" t="s">
        <v>5913</v>
      </c>
      <c r="L750" s="47" t="s">
        <v>41</v>
      </c>
      <c r="M750" s="151" t="s">
        <v>42</v>
      </c>
      <c r="N750" s="77" t="s">
        <v>5914</v>
      </c>
      <c r="O750" s="49"/>
      <c r="P750" s="49" t="s">
        <v>5915</v>
      </c>
      <c r="Q750" s="49" t="s">
        <v>5745</v>
      </c>
      <c r="R750" s="50">
        <v>57</v>
      </c>
      <c r="S750" s="50">
        <v>179</v>
      </c>
      <c r="T750" s="51" t="s">
        <v>67</v>
      </c>
      <c r="U750" s="51">
        <v>14</v>
      </c>
      <c r="V750" s="52">
        <f t="shared" si="20"/>
        <v>140</v>
      </c>
      <c r="W750" s="51" t="s">
        <v>142</v>
      </c>
      <c r="X750" s="198" t="s">
        <v>4692</v>
      </c>
      <c r="Y750" s="199" t="s">
        <v>82</v>
      </c>
      <c r="Z750" s="169"/>
      <c r="AA750" s="170" t="s">
        <v>83</v>
      </c>
      <c r="AB750" s="243" t="s">
        <v>5908</v>
      </c>
      <c r="AC750" s="35">
        <f>1000+1500+1979</f>
        <v>4479</v>
      </c>
      <c r="AE750" s="138" t="s">
        <v>4867</v>
      </c>
      <c r="AF750" s="138"/>
      <c r="AG750" s="138" t="s">
        <v>56</v>
      </c>
      <c r="AH750" s="138" t="s">
        <v>56</v>
      </c>
      <c r="AI750" s="138"/>
      <c r="AJ750" s="138"/>
      <c r="AK750" s="138"/>
      <c r="AL750" s="222"/>
    </row>
    <row r="751" spans="1:39" ht="225" x14ac:dyDescent="0.25">
      <c r="A751" s="14">
        <v>45817</v>
      </c>
      <c r="B751" s="403" t="s">
        <v>4588</v>
      </c>
      <c r="C751" s="403" t="s">
        <v>5916</v>
      </c>
      <c r="D751" s="403" t="s">
        <v>5917</v>
      </c>
      <c r="E751" s="404" t="s">
        <v>39</v>
      </c>
      <c r="F751" s="19">
        <v>1</v>
      </c>
      <c r="G751" s="405"/>
      <c r="H751" s="405"/>
      <c r="I751" s="245" t="s">
        <v>5918</v>
      </c>
      <c r="J751" s="406">
        <v>100</v>
      </c>
      <c r="K751" s="439" t="s">
        <v>5919</v>
      </c>
      <c r="L751" s="408" t="s">
        <v>5920</v>
      </c>
      <c r="M751" s="404" t="s">
        <v>42</v>
      </c>
      <c r="N751" s="444" t="s">
        <v>5921</v>
      </c>
      <c r="O751" s="409"/>
      <c r="P751" s="409" t="s">
        <v>5922</v>
      </c>
      <c r="Q751" s="409" t="s">
        <v>5923</v>
      </c>
      <c r="R751" s="410">
        <v>2</v>
      </c>
      <c r="S751" s="410">
        <v>4</v>
      </c>
      <c r="T751" s="404" t="s">
        <v>96</v>
      </c>
      <c r="U751" s="404">
        <v>2</v>
      </c>
      <c r="V751" s="411">
        <f t="shared" si="20"/>
        <v>200</v>
      </c>
      <c r="W751" s="404" t="s">
        <v>350</v>
      </c>
      <c r="X751" s="198" t="s">
        <v>3937</v>
      </c>
      <c r="Y751" s="168" t="s">
        <v>50</v>
      </c>
      <c r="Z751" s="169" t="s">
        <v>5924</v>
      </c>
      <c r="AA751" s="170" t="s">
        <v>5865</v>
      </c>
      <c r="AB751" s="243" t="s">
        <v>5625</v>
      </c>
      <c r="AC751" s="172">
        <v>2418</v>
      </c>
      <c r="AE751" s="138" t="s">
        <v>5925</v>
      </c>
      <c r="AF751" s="138"/>
      <c r="AG751" s="138" t="s">
        <v>56</v>
      </c>
      <c r="AH751" s="138" t="s">
        <v>86</v>
      </c>
      <c r="AI751" s="138"/>
      <c r="AJ751" s="138" t="s">
        <v>56</v>
      </c>
      <c r="AK751" s="138" t="s">
        <v>86</v>
      </c>
      <c r="AL751" s="222"/>
    </row>
    <row r="752" spans="1:39" ht="124.5" customHeight="1" x14ac:dyDescent="0.25">
      <c r="A752" s="14">
        <v>45817</v>
      </c>
      <c r="B752" s="403" t="s">
        <v>4588</v>
      </c>
      <c r="C752" s="403" t="s">
        <v>5926</v>
      </c>
      <c r="D752" s="403"/>
      <c r="E752" s="404" t="s">
        <v>39</v>
      </c>
      <c r="F752" s="405"/>
      <c r="G752" s="405"/>
      <c r="H752" s="19">
        <v>1</v>
      </c>
      <c r="I752" s="245" t="s">
        <v>5927</v>
      </c>
      <c r="J752" s="406">
        <v>100</v>
      </c>
      <c r="K752" s="407" t="s">
        <v>5928</v>
      </c>
      <c r="L752" s="408" t="s">
        <v>63</v>
      </c>
      <c r="M752" s="404" t="s">
        <v>42</v>
      </c>
      <c r="N752" s="444" t="s">
        <v>5929</v>
      </c>
      <c r="O752" s="409"/>
      <c r="P752" s="409" t="s">
        <v>5930</v>
      </c>
      <c r="Q752" s="409"/>
      <c r="R752" s="410">
        <v>2</v>
      </c>
      <c r="S752" s="410">
        <v>6</v>
      </c>
      <c r="T752" s="404" t="s">
        <v>96</v>
      </c>
      <c r="U752" s="404">
        <v>0</v>
      </c>
      <c r="V752" s="411">
        <f t="shared" si="20"/>
        <v>0</v>
      </c>
      <c r="W752" s="404" t="s">
        <v>350</v>
      </c>
      <c r="X752" s="198" t="s">
        <v>3937</v>
      </c>
      <c r="Y752" s="168" t="s">
        <v>50</v>
      </c>
      <c r="Z752" s="169" t="s">
        <v>5931</v>
      </c>
      <c r="AA752" s="170" t="s">
        <v>5865</v>
      </c>
      <c r="AB752" s="243" t="s">
        <v>5625</v>
      </c>
      <c r="AC752" s="172">
        <v>2370</v>
      </c>
      <c r="AE752" s="138" t="s">
        <v>5925</v>
      </c>
      <c r="AF752" s="138"/>
      <c r="AG752" s="138" t="s">
        <v>56</v>
      </c>
      <c r="AH752" s="138" t="s">
        <v>86</v>
      </c>
      <c r="AI752" s="138"/>
      <c r="AJ752" s="138" t="s">
        <v>56</v>
      </c>
      <c r="AK752" s="138" t="s">
        <v>86</v>
      </c>
      <c r="AL752" s="222"/>
      <c r="AM752" s="200"/>
    </row>
    <row r="753" spans="1:39" s="200" customFormat="1" ht="45.75" customHeight="1" x14ac:dyDescent="0.25">
      <c r="A753" s="14">
        <v>45814</v>
      </c>
      <c r="B753" s="54" t="s">
        <v>5932</v>
      </c>
      <c r="C753" s="54" t="s">
        <v>5933</v>
      </c>
      <c r="D753" s="54"/>
      <c r="E753" s="56" t="s">
        <v>39</v>
      </c>
      <c r="F753" s="19">
        <v>2</v>
      </c>
      <c r="G753" s="57"/>
      <c r="H753" s="57"/>
      <c r="I753" s="245" t="s">
        <v>5934</v>
      </c>
      <c r="J753" s="59">
        <v>10</v>
      </c>
      <c r="K753" s="117" t="s">
        <v>5935</v>
      </c>
      <c r="L753" s="79" t="s">
        <v>63</v>
      </c>
      <c r="M753" s="79" t="s">
        <v>42</v>
      </c>
      <c r="N753" s="80" t="s">
        <v>5936</v>
      </c>
      <c r="O753" s="62"/>
      <c r="P753" s="62" t="s">
        <v>5762</v>
      </c>
      <c r="Q753" s="62" t="s">
        <v>5937</v>
      </c>
      <c r="R753" s="61">
        <v>56</v>
      </c>
      <c r="S753" s="61">
        <v>158</v>
      </c>
      <c r="T753" s="56" t="s">
        <v>96</v>
      </c>
      <c r="U753" s="56">
        <v>5</v>
      </c>
      <c r="V753" s="63">
        <f t="shared" si="20"/>
        <v>50</v>
      </c>
      <c r="W753" s="56" t="s">
        <v>350</v>
      </c>
      <c r="X753" s="202" t="s">
        <v>765</v>
      </c>
      <c r="Y753" s="199" t="s">
        <v>50</v>
      </c>
      <c r="Z753" s="169" t="s">
        <v>5938</v>
      </c>
      <c r="AA753" s="170" t="s">
        <v>5645</v>
      </c>
      <c r="AB753" s="243" t="s">
        <v>5646</v>
      </c>
      <c r="AC753" s="172">
        <v>5868.5</v>
      </c>
      <c r="AE753" s="222" t="s">
        <v>5524</v>
      </c>
      <c r="AF753" s="138"/>
      <c r="AG753" s="138" t="s">
        <v>56</v>
      </c>
      <c r="AH753" s="138" t="s">
        <v>56</v>
      </c>
      <c r="AI753" s="138"/>
      <c r="AJ753" s="222"/>
      <c r="AK753" s="138"/>
      <c r="AL753" s="138"/>
      <c r="AM753"/>
    </row>
    <row r="754" spans="1:39" s="200" customFormat="1" ht="329.25" customHeight="1" x14ac:dyDescent="0.25">
      <c r="A754" s="14">
        <v>45814</v>
      </c>
      <c r="B754" s="41" t="s">
        <v>5939</v>
      </c>
      <c r="C754" s="41" t="s">
        <v>5940</v>
      </c>
      <c r="D754" s="41"/>
      <c r="E754" s="42" t="s">
        <v>39</v>
      </c>
      <c r="F754" s="19">
        <v>1</v>
      </c>
      <c r="G754" s="43"/>
      <c r="H754" s="43"/>
      <c r="I754" s="245" t="s">
        <v>5941</v>
      </c>
      <c r="J754" s="45">
        <v>4</v>
      </c>
      <c r="K754" s="46" t="s">
        <v>5942</v>
      </c>
      <c r="L754" s="47" t="s">
        <v>63</v>
      </c>
      <c r="M754" s="151" t="s">
        <v>42</v>
      </c>
      <c r="N754" s="77" t="s">
        <v>5943</v>
      </c>
      <c r="O754" s="49" t="s">
        <v>5944</v>
      </c>
      <c r="P754" s="49" t="s">
        <v>5945</v>
      </c>
      <c r="Q754" s="49" t="s">
        <v>5946</v>
      </c>
      <c r="R754" s="50">
        <v>75</v>
      </c>
      <c r="S754" s="92">
        <v>1102</v>
      </c>
      <c r="T754" s="51" t="s">
        <v>47</v>
      </c>
      <c r="U754" s="51">
        <v>32</v>
      </c>
      <c r="V754" s="52">
        <f t="shared" si="20"/>
        <v>128</v>
      </c>
      <c r="W754" s="51" t="s">
        <v>350</v>
      </c>
      <c r="X754" s="198" t="s">
        <v>2924</v>
      </c>
      <c r="Y754" s="199" t="s">
        <v>82</v>
      </c>
      <c r="Z754" s="169" t="s">
        <v>5947</v>
      </c>
      <c r="AA754" s="170" t="s">
        <v>5948</v>
      </c>
      <c r="AB754" s="243" t="s">
        <v>5836</v>
      </c>
      <c r="AC754" s="35">
        <f>4690.4+1500</f>
        <v>6190.4</v>
      </c>
      <c r="AE754" s="222" t="s">
        <v>5524</v>
      </c>
      <c r="AF754" s="138" t="s">
        <v>5394</v>
      </c>
      <c r="AG754" s="138" t="s">
        <v>56</v>
      </c>
      <c r="AH754" s="138" t="s">
        <v>86</v>
      </c>
      <c r="AI754" s="138"/>
      <c r="AJ754" s="255" t="s">
        <v>5949</v>
      </c>
      <c r="AK754" s="137" t="s">
        <v>5950</v>
      </c>
      <c r="AL754" s="222"/>
    </row>
    <row r="755" spans="1:39" s="200" customFormat="1" ht="39" customHeight="1" x14ac:dyDescent="0.25">
      <c r="A755" s="14">
        <v>45814</v>
      </c>
      <c r="B755" s="41" t="s">
        <v>5951</v>
      </c>
      <c r="C755" s="41" t="s">
        <v>5952</v>
      </c>
      <c r="D755" s="41" t="s">
        <v>5953</v>
      </c>
      <c r="E755" s="42" t="s">
        <v>39</v>
      </c>
      <c r="F755" s="43"/>
      <c r="G755" s="43"/>
      <c r="H755" s="19">
        <v>1</v>
      </c>
      <c r="I755" s="245" t="s">
        <v>5954</v>
      </c>
      <c r="J755" s="45">
        <v>10</v>
      </c>
      <c r="K755" s="150" t="s">
        <v>5942</v>
      </c>
      <c r="L755" s="47" t="s">
        <v>63</v>
      </c>
      <c r="M755" s="430" t="s">
        <v>42</v>
      </c>
      <c r="N755" s="77" t="s">
        <v>5955</v>
      </c>
      <c r="O755" s="49" t="s">
        <v>5956</v>
      </c>
      <c r="P755" s="49" t="s">
        <v>5957</v>
      </c>
      <c r="Q755" s="49" t="s">
        <v>5958</v>
      </c>
      <c r="R755" s="50">
        <v>92</v>
      </c>
      <c r="S755" s="50">
        <v>368</v>
      </c>
      <c r="T755" s="51" t="s">
        <v>180</v>
      </c>
      <c r="U755" s="51">
        <v>17</v>
      </c>
      <c r="V755" s="52">
        <f t="shared" si="20"/>
        <v>170</v>
      </c>
      <c r="W755" s="51" t="s">
        <v>350</v>
      </c>
      <c r="X755" s="202" t="s">
        <v>765</v>
      </c>
      <c r="Y755" s="199" t="s">
        <v>50</v>
      </c>
      <c r="Z755" s="169"/>
      <c r="AA755" s="170" t="s">
        <v>5522</v>
      </c>
      <c r="AB755" s="243" t="s">
        <v>5959</v>
      </c>
      <c r="AC755" s="172">
        <v>10835</v>
      </c>
      <c r="AE755" s="138" t="s">
        <v>4867</v>
      </c>
      <c r="AF755" s="138"/>
      <c r="AG755" s="138" t="s">
        <v>56</v>
      </c>
      <c r="AH755" s="138" t="s">
        <v>86</v>
      </c>
      <c r="AI755" s="138"/>
      <c r="AJ755" s="138"/>
      <c r="AK755" s="138"/>
      <c r="AL755" s="222"/>
    </row>
    <row r="756" spans="1:39" s="200" customFormat="1" ht="180" x14ac:dyDescent="0.25">
      <c r="A756" s="14">
        <v>45813</v>
      </c>
      <c r="B756" s="204" t="s">
        <v>5960</v>
      </c>
      <c r="C756" s="204" t="s">
        <v>5961</v>
      </c>
      <c r="D756" s="273" t="s">
        <v>5962</v>
      </c>
      <c r="E756" s="205" t="s">
        <v>39</v>
      </c>
      <c r="F756" s="206">
        <v>1</v>
      </c>
      <c r="G756" s="143"/>
      <c r="H756" s="143"/>
      <c r="I756" s="312" t="s">
        <v>5963</v>
      </c>
      <c r="J756" s="207">
        <v>2</v>
      </c>
      <c r="K756" s="248" t="s">
        <v>5964</v>
      </c>
      <c r="L756" s="450" t="s">
        <v>41</v>
      </c>
      <c r="M756" s="205" t="s">
        <v>42</v>
      </c>
      <c r="N756" s="120" t="s">
        <v>5965</v>
      </c>
      <c r="O756" s="210" t="s">
        <v>5966</v>
      </c>
      <c r="P756" s="210" t="s">
        <v>5967</v>
      </c>
      <c r="Q756" s="210" t="s">
        <v>5968</v>
      </c>
      <c r="R756" s="211">
        <v>69</v>
      </c>
      <c r="S756" s="211">
        <v>254</v>
      </c>
      <c r="T756" s="212" t="s">
        <v>141</v>
      </c>
      <c r="U756" s="212">
        <v>10</v>
      </c>
      <c r="V756" s="330">
        <f t="shared" si="20"/>
        <v>20</v>
      </c>
      <c r="W756" s="212" t="s">
        <v>5338</v>
      </c>
      <c r="X756" s="198" t="s">
        <v>232</v>
      </c>
      <c r="Y756" s="199" t="s">
        <v>50</v>
      </c>
      <c r="Z756" s="169" t="s">
        <v>5969</v>
      </c>
      <c r="AA756" s="170" t="s">
        <v>83</v>
      </c>
      <c r="AB756" s="243" t="s">
        <v>5523</v>
      </c>
      <c r="AC756" s="172">
        <f>1000+2850</f>
        <v>3850</v>
      </c>
      <c r="AE756" s="222" t="s">
        <v>5241</v>
      </c>
      <c r="AF756" s="138"/>
      <c r="AG756" s="138" t="s">
        <v>56</v>
      </c>
      <c r="AH756" s="138" t="s">
        <v>56</v>
      </c>
      <c r="AI756" s="138"/>
      <c r="AJ756" s="138"/>
      <c r="AK756" s="138"/>
      <c r="AL756" s="222"/>
    </row>
    <row r="757" spans="1:39" s="200" customFormat="1" ht="121.5" customHeight="1" x14ac:dyDescent="0.25">
      <c r="A757" s="14">
        <v>45813</v>
      </c>
      <c r="B757" s="164" t="s">
        <v>5970</v>
      </c>
      <c r="C757" s="41" t="s">
        <v>5971</v>
      </c>
      <c r="D757" s="41" t="s">
        <v>5972</v>
      </c>
      <c r="E757" s="42" t="s">
        <v>39</v>
      </c>
      <c r="F757" s="43"/>
      <c r="G757" s="43"/>
      <c r="H757" s="19">
        <v>1</v>
      </c>
      <c r="I757" s="245" t="s">
        <v>5973</v>
      </c>
      <c r="J757" s="45">
        <v>107</v>
      </c>
      <c r="K757" s="46" t="s">
        <v>5974</v>
      </c>
      <c r="L757" s="277" t="s">
        <v>63</v>
      </c>
      <c r="M757" s="73" t="s">
        <v>42</v>
      </c>
      <c r="N757" s="250" t="s">
        <v>5975</v>
      </c>
      <c r="O757" s="49"/>
      <c r="P757" s="49" t="s">
        <v>5976</v>
      </c>
      <c r="Q757" s="49" t="s">
        <v>5743</v>
      </c>
      <c r="R757" s="50">
        <v>43</v>
      </c>
      <c r="S757" s="50">
        <v>59</v>
      </c>
      <c r="T757" s="51" t="s">
        <v>96</v>
      </c>
      <c r="U757" s="51">
        <v>0</v>
      </c>
      <c r="V757" s="52">
        <f t="shared" si="20"/>
        <v>0</v>
      </c>
      <c r="W757" s="51" t="s">
        <v>350</v>
      </c>
      <c r="X757" s="198" t="s">
        <v>1744</v>
      </c>
      <c r="Y757" s="199" t="s">
        <v>82</v>
      </c>
      <c r="Z757" s="169"/>
      <c r="AA757" s="170" t="s">
        <v>5977</v>
      </c>
      <c r="AB757" s="243" t="s">
        <v>132</v>
      </c>
      <c r="AC757" s="35">
        <f>3540*J757/200</f>
        <v>1893.9</v>
      </c>
      <c r="AE757" s="137" t="s">
        <v>5978</v>
      </c>
      <c r="AF757" s="138" t="s">
        <v>5394</v>
      </c>
      <c r="AG757" s="138" t="s">
        <v>56</v>
      </c>
      <c r="AH757" s="138" t="s">
        <v>56</v>
      </c>
      <c r="AI757" s="138"/>
      <c r="AJ757" s="138"/>
      <c r="AK757" s="138"/>
      <c r="AL757" s="138"/>
    </row>
    <row r="758" spans="1:39" s="200" customFormat="1" ht="66.75" customHeight="1" x14ac:dyDescent="0.25">
      <c r="A758" s="14">
        <v>45813</v>
      </c>
      <c r="B758" s="41" t="s">
        <v>5827</v>
      </c>
      <c r="C758" s="41" t="s">
        <v>5979</v>
      </c>
      <c r="D758" s="41" t="s">
        <v>5980</v>
      </c>
      <c r="E758" s="42" t="s">
        <v>39</v>
      </c>
      <c r="F758" s="43"/>
      <c r="G758" s="43"/>
      <c r="H758" s="19">
        <v>1</v>
      </c>
      <c r="I758" s="245" t="s">
        <v>5981</v>
      </c>
      <c r="J758" s="45">
        <v>50</v>
      </c>
      <c r="K758" s="46" t="s">
        <v>9944</v>
      </c>
      <c r="L758" s="47" t="s">
        <v>63</v>
      </c>
      <c r="M758" s="73" t="s">
        <v>42</v>
      </c>
      <c r="N758" s="167" t="s">
        <v>5982</v>
      </c>
      <c r="O758" s="49" t="s">
        <v>5983</v>
      </c>
      <c r="P758" s="49" t="s">
        <v>5984</v>
      </c>
      <c r="Q758" s="49" t="s">
        <v>5985</v>
      </c>
      <c r="R758" s="50">
        <v>66</v>
      </c>
      <c r="S758" s="50">
        <v>730</v>
      </c>
      <c r="T758" s="51" t="s">
        <v>47</v>
      </c>
      <c r="U758" s="51">
        <v>2</v>
      </c>
      <c r="V758" s="52">
        <f t="shared" si="20"/>
        <v>100</v>
      </c>
      <c r="W758" s="51" t="s">
        <v>350</v>
      </c>
      <c r="X758" s="202" t="s">
        <v>1951</v>
      </c>
      <c r="Y758" s="199" t="s">
        <v>82</v>
      </c>
      <c r="Z758" s="169"/>
      <c r="AA758" s="170" t="s">
        <v>3838</v>
      </c>
      <c r="AB758" s="243" t="s">
        <v>5986</v>
      </c>
      <c r="AC758" s="35">
        <v>11728</v>
      </c>
      <c r="AE758" s="138" t="s">
        <v>5524</v>
      </c>
      <c r="AF758" s="138"/>
      <c r="AG758" s="138" t="s">
        <v>56</v>
      </c>
      <c r="AH758" s="138" t="s">
        <v>56</v>
      </c>
      <c r="AI758" s="138"/>
      <c r="AJ758" s="138" t="s">
        <v>56</v>
      </c>
      <c r="AK758" s="137" t="s">
        <v>1076</v>
      </c>
      <c r="AL758" s="222"/>
    </row>
    <row r="759" spans="1:39" s="200" customFormat="1" ht="156" customHeight="1" x14ac:dyDescent="0.25">
      <c r="A759" s="14">
        <v>45813</v>
      </c>
      <c r="B759" s="41" t="s">
        <v>5987</v>
      </c>
      <c r="C759" s="41" t="s">
        <v>5988</v>
      </c>
      <c r="D759" s="41"/>
      <c r="E759" s="42" t="s">
        <v>39</v>
      </c>
      <c r="F759" s="19">
        <v>1</v>
      </c>
      <c r="G759" s="43"/>
      <c r="H759" s="43"/>
      <c r="I759" s="245" t="s">
        <v>5989</v>
      </c>
      <c r="J759" s="45">
        <v>50</v>
      </c>
      <c r="K759" s="46" t="s">
        <v>5990</v>
      </c>
      <c r="L759" s="277" t="s">
        <v>41</v>
      </c>
      <c r="M759" s="430" t="s">
        <v>42</v>
      </c>
      <c r="N759" s="77" t="s">
        <v>5991</v>
      </c>
      <c r="O759" s="49"/>
      <c r="P759" s="49" t="s">
        <v>5968</v>
      </c>
      <c r="Q759" s="49" t="s">
        <v>5992</v>
      </c>
      <c r="R759" s="50">
        <v>85</v>
      </c>
      <c r="S759" s="50">
        <v>177</v>
      </c>
      <c r="T759" s="51" t="s">
        <v>67</v>
      </c>
      <c r="U759" s="51">
        <v>19</v>
      </c>
      <c r="V759" s="75">
        <f t="shared" si="20"/>
        <v>950</v>
      </c>
      <c r="W759" s="51" t="s">
        <v>350</v>
      </c>
      <c r="X759" s="198" t="s">
        <v>3911</v>
      </c>
      <c r="Y759" s="199" t="s">
        <v>70</v>
      </c>
      <c r="Z759" s="169"/>
      <c r="AA759" s="170" t="s">
        <v>83</v>
      </c>
      <c r="AB759" s="243" t="s">
        <v>5605</v>
      </c>
      <c r="AC759" s="172">
        <v>6960</v>
      </c>
      <c r="AE759" s="138" t="s">
        <v>5993</v>
      </c>
      <c r="AF759" s="138"/>
      <c r="AG759" s="138" t="s">
        <v>56</v>
      </c>
      <c r="AH759" s="138" t="s">
        <v>56</v>
      </c>
      <c r="AI759" s="138"/>
      <c r="AJ759" s="138"/>
      <c r="AK759" s="138"/>
      <c r="AL759" s="222"/>
    </row>
    <row r="760" spans="1:39" s="200" customFormat="1" ht="90" x14ac:dyDescent="0.25">
      <c r="A760" s="14">
        <v>45813</v>
      </c>
      <c r="B760" s="451" t="s">
        <v>5994</v>
      </c>
      <c r="C760" s="451" t="s">
        <v>5995</v>
      </c>
      <c r="D760" s="451" t="s">
        <v>5996</v>
      </c>
      <c r="E760" s="452" t="s">
        <v>5997</v>
      </c>
      <c r="F760" s="19" t="s">
        <v>259</v>
      </c>
      <c r="G760" s="453"/>
      <c r="H760" s="453"/>
      <c r="I760" s="245" t="s">
        <v>5998</v>
      </c>
      <c r="J760" s="454">
        <v>2</v>
      </c>
      <c r="K760" s="455" t="s">
        <v>5999</v>
      </c>
      <c r="L760" s="456"/>
      <c r="M760" s="456"/>
      <c r="N760" s="250" t="s">
        <v>6000</v>
      </c>
      <c r="O760" s="457"/>
      <c r="P760" s="457"/>
      <c r="Q760" s="457"/>
      <c r="R760" s="458">
        <v>1</v>
      </c>
      <c r="S760" s="458">
        <v>1</v>
      </c>
      <c r="T760" s="452" t="s">
        <v>96</v>
      </c>
      <c r="U760" s="452">
        <v>0</v>
      </c>
      <c r="V760" s="459">
        <f t="shared" si="20"/>
        <v>0</v>
      </c>
      <c r="W760" s="452" t="s">
        <v>350</v>
      </c>
      <c r="X760" s="198" t="s">
        <v>482</v>
      </c>
      <c r="Y760" s="199" t="s">
        <v>50</v>
      </c>
      <c r="Z760" s="169"/>
      <c r="AA760" s="170" t="s">
        <v>83</v>
      </c>
      <c r="AB760" s="243" t="s">
        <v>5959</v>
      </c>
      <c r="AC760" s="172">
        <f>27.9+1500</f>
        <v>1527.9</v>
      </c>
      <c r="AE760" s="460" t="s">
        <v>6001</v>
      </c>
      <c r="AF760" s="222"/>
      <c r="AG760" s="222" t="s">
        <v>56</v>
      </c>
      <c r="AH760" s="431" t="s">
        <v>6002</v>
      </c>
      <c r="AI760" s="222"/>
      <c r="AJ760" s="222"/>
      <c r="AK760" s="222"/>
      <c r="AL760" s="222"/>
    </row>
    <row r="761" spans="1:39" s="200" customFormat="1" ht="98.25" customHeight="1" x14ac:dyDescent="0.25">
      <c r="A761" s="14">
        <v>45812</v>
      </c>
      <c r="B761" s="41" t="s">
        <v>4588</v>
      </c>
      <c r="C761" s="41" t="s">
        <v>6003</v>
      </c>
      <c r="D761" s="41"/>
      <c r="E761" s="42" t="s">
        <v>39</v>
      </c>
      <c r="F761" s="43"/>
      <c r="G761" s="43"/>
      <c r="H761" s="19">
        <v>3</v>
      </c>
      <c r="I761" s="245" t="s">
        <v>6004</v>
      </c>
      <c r="J761" s="45">
        <v>20</v>
      </c>
      <c r="K761" s="46" t="s">
        <v>6005</v>
      </c>
      <c r="L761" s="277" t="s">
        <v>41</v>
      </c>
      <c r="M761" s="42" t="s">
        <v>42</v>
      </c>
      <c r="N761" s="77" t="s">
        <v>6006</v>
      </c>
      <c r="O761" s="49"/>
      <c r="P761" s="49" t="s">
        <v>6007</v>
      </c>
      <c r="Q761" s="49" t="s">
        <v>6008</v>
      </c>
      <c r="R761" s="50">
        <v>23</v>
      </c>
      <c r="S761" s="50">
        <v>319</v>
      </c>
      <c r="T761" s="51" t="s">
        <v>96</v>
      </c>
      <c r="U761" s="51">
        <v>0</v>
      </c>
      <c r="V761" s="52">
        <f t="shared" si="20"/>
        <v>0</v>
      </c>
      <c r="W761" s="51" t="s">
        <v>142</v>
      </c>
      <c r="X761" s="198" t="s">
        <v>4692</v>
      </c>
      <c r="Y761" s="199" t="s">
        <v>82</v>
      </c>
      <c r="Z761" s="169" t="s">
        <v>6009</v>
      </c>
      <c r="AA761" s="170" t="s">
        <v>83</v>
      </c>
      <c r="AB761" s="243" t="s">
        <v>5605</v>
      </c>
      <c r="AC761" s="35">
        <f>3509+1200+1500</f>
        <v>6209</v>
      </c>
      <c r="AE761" s="138" t="s">
        <v>4867</v>
      </c>
      <c r="AF761" s="138"/>
      <c r="AG761" s="138" t="s">
        <v>56</v>
      </c>
      <c r="AH761" s="138" t="s">
        <v>56</v>
      </c>
      <c r="AI761" s="138"/>
      <c r="AJ761" s="138"/>
      <c r="AK761" s="138"/>
      <c r="AL761" s="222"/>
    </row>
    <row r="762" spans="1:39" s="200" customFormat="1" ht="91.5" customHeight="1" x14ac:dyDescent="0.25">
      <c r="A762" s="14">
        <v>45812</v>
      </c>
      <c r="B762" s="41" t="s">
        <v>6010</v>
      </c>
      <c r="C762" s="41" t="s">
        <v>6011</v>
      </c>
      <c r="D762" s="41"/>
      <c r="E762" s="42" t="s">
        <v>39</v>
      </c>
      <c r="F762" s="43"/>
      <c r="G762" s="43"/>
      <c r="H762" s="19">
        <v>1</v>
      </c>
      <c r="I762" s="245" t="s">
        <v>6012</v>
      </c>
      <c r="J762" s="45">
        <v>30</v>
      </c>
      <c r="K762" s="46" t="s">
        <v>6005</v>
      </c>
      <c r="L762" s="277" t="s">
        <v>63</v>
      </c>
      <c r="M762" s="42" t="s">
        <v>42</v>
      </c>
      <c r="N762" s="77" t="s">
        <v>6013</v>
      </c>
      <c r="O762" s="49"/>
      <c r="P762" s="49" t="s">
        <v>6014</v>
      </c>
      <c r="Q762" s="49" t="s">
        <v>5976</v>
      </c>
      <c r="R762" s="50">
        <v>22</v>
      </c>
      <c r="S762" s="50">
        <v>419</v>
      </c>
      <c r="T762" s="51" t="s">
        <v>67</v>
      </c>
      <c r="U762" s="51">
        <v>0</v>
      </c>
      <c r="V762" s="52">
        <f t="shared" si="20"/>
        <v>0</v>
      </c>
      <c r="W762" s="51" t="s">
        <v>142</v>
      </c>
      <c r="X762" s="198" t="s">
        <v>4692</v>
      </c>
      <c r="Y762" s="199" t="s">
        <v>82</v>
      </c>
      <c r="Z762" s="169" t="s">
        <v>6009</v>
      </c>
      <c r="AA762" s="170" t="s">
        <v>5737</v>
      </c>
      <c r="AB762" s="243" t="s">
        <v>6015</v>
      </c>
      <c r="AC762" s="172">
        <f>1150+1500+5657</f>
        <v>8307</v>
      </c>
      <c r="AE762" s="138" t="s">
        <v>4867</v>
      </c>
      <c r="AF762" s="138"/>
      <c r="AG762" s="138" t="s">
        <v>56</v>
      </c>
      <c r="AH762" s="138" t="s">
        <v>86</v>
      </c>
      <c r="AI762" s="255" t="s">
        <v>6016</v>
      </c>
      <c r="AJ762" s="138"/>
      <c r="AK762" s="138"/>
      <c r="AL762" s="222"/>
    </row>
    <row r="763" spans="1:39" s="200" customFormat="1" ht="76.5" customHeight="1" x14ac:dyDescent="0.25">
      <c r="A763" s="14">
        <v>45811</v>
      </c>
      <c r="B763" s="41" t="s">
        <v>6017</v>
      </c>
      <c r="C763" s="41" t="s">
        <v>6018</v>
      </c>
      <c r="D763" s="41" t="s">
        <v>6019</v>
      </c>
      <c r="E763" s="42" t="s">
        <v>39</v>
      </c>
      <c r="F763" s="19">
        <v>1</v>
      </c>
      <c r="G763" s="43"/>
      <c r="H763" s="43"/>
      <c r="I763" s="245" t="s">
        <v>6020</v>
      </c>
      <c r="J763" s="45">
        <v>10</v>
      </c>
      <c r="K763" s="46" t="s">
        <v>9945</v>
      </c>
      <c r="L763" s="47" t="s">
        <v>63</v>
      </c>
      <c r="M763" s="151" t="s">
        <v>42</v>
      </c>
      <c r="N763" s="77" t="s">
        <v>6021</v>
      </c>
      <c r="O763" s="49" t="s">
        <v>6022</v>
      </c>
      <c r="P763" s="49" t="s">
        <v>6023</v>
      </c>
      <c r="Q763" s="49" t="s">
        <v>6024</v>
      </c>
      <c r="R763" s="92">
        <v>177</v>
      </c>
      <c r="S763" s="50">
        <v>720</v>
      </c>
      <c r="T763" s="51" t="s">
        <v>180</v>
      </c>
      <c r="U763" s="51">
        <v>11</v>
      </c>
      <c r="V763" s="52">
        <f t="shared" si="20"/>
        <v>110</v>
      </c>
      <c r="W763" s="51" t="s">
        <v>350</v>
      </c>
      <c r="X763" s="198" t="s">
        <v>6025</v>
      </c>
      <c r="Y763" s="199" t="s">
        <v>82</v>
      </c>
      <c r="Z763" s="169"/>
      <c r="AA763" s="170" t="s">
        <v>6026</v>
      </c>
      <c r="AB763" s="243" t="s">
        <v>5836</v>
      </c>
      <c r="AC763" s="172">
        <v>14276.5</v>
      </c>
      <c r="AE763" s="138" t="s">
        <v>5524</v>
      </c>
      <c r="AF763" s="138" t="s">
        <v>5394</v>
      </c>
      <c r="AG763" s="138" t="s">
        <v>56</v>
      </c>
      <c r="AH763" s="255" t="s">
        <v>6027</v>
      </c>
      <c r="AI763" s="138"/>
      <c r="AJ763" s="255" t="s">
        <v>6028</v>
      </c>
      <c r="AK763" s="137" t="s">
        <v>6029</v>
      </c>
      <c r="AL763" s="222"/>
    </row>
    <row r="764" spans="1:39" ht="188.25" customHeight="1" x14ac:dyDescent="0.25">
      <c r="A764" s="14">
        <v>45811</v>
      </c>
      <c r="B764" s="41" t="s">
        <v>4588</v>
      </c>
      <c r="C764" s="41" t="s">
        <v>5847</v>
      </c>
      <c r="D764" s="41" t="s">
        <v>6030</v>
      </c>
      <c r="E764" s="42" t="s">
        <v>39</v>
      </c>
      <c r="F764" s="19">
        <v>1</v>
      </c>
      <c r="G764" s="43"/>
      <c r="H764" s="43"/>
      <c r="I764" s="245" t="s">
        <v>9904</v>
      </c>
      <c r="J764" s="45">
        <v>98</v>
      </c>
      <c r="K764" s="46" t="s">
        <v>6031</v>
      </c>
      <c r="L764" s="277" t="s">
        <v>2200</v>
      </c>
      <c r="M764" s="430" t="s">
        <v>42</v>
      </c>
      <c r="N764" s="428" t="s">
        <v>6032</v>
      </c>
      <c r="O764" s="49" t="s">
        <v>6033</v>
      </c>
      <c r="P764" s="49" t="s">
        <v>6007</v>
      </c>
      <c r="Q764" s="49" t="s">
        <v>5966</v>
      </c>
      <c r="R764" s="50">
        <v>65</v>
      </c>
      <c r="S764" s="50">
        <v>184</v>
      </c>
      <c r="T764" s="51" t="s">
        <v>47</v>
      </c>
      <c r="U764" s="51">
        <v>13</v>
      </c>
      <c r="V764" s="52">
        <f t="shared" si="20"/>
        <v>1274</v>
      </c>
      <c r="W764" s="51" t="s">
        <v>5543</v>
      </c>
      <c r="X764" s="198" t="s">
        <v>5544</v>
      </c>
      <c r="Y764" s="168" t="s">
        <v>50</v>
      </c>
      <c r="Z764" s="169" t="s">
        <v>6034</v>
      </c>
      <c r="AA764" s="170" t="s">
        <v>83</v>
      </c>
      <c r="AB764" s="243" t="s">
        <v>5845</v>
      </c>
      <c r="AC764" s="172">
        <v>6461.14</v>
      </c>
      <c r="AE764" s="222" t="s">
        <v>6035</v>
      </c>
      <c r="AF764" s="138"/>
      <c r="AG764" s="138" t="s">
        <v>56</v>
      </c>
      <c r="AH764" s="138" t="s">
        <v>56</v>
      </c>
      <c r="AI764" s="138"/>
      <c r="AJ764" s="138"/>
      <c r="AK764" s="461" t="s">
        <v>1076</v>
      </c>
      <c r="AL764" s="222"/>
    </row>
    <row r="765" spans="1:39" s="200" customFormat="1" ht="60" x14ac:dyDescent="0.25">
      <c r="A765" s="14">
        <v>45810</v>
      </c>
      <c r="B765" s="451" t="s">
        <v>6036</v>
      </c>
      <c r="C765" s="451" t="s">
        <v>6037</v>
      </c>
      <c r="D765" s="451"/>
      <c r="E765" s="452" t="s">
        <v>39</v>
      </c>
      <c r="F765" s="19">
        <v>1</v>
      </c>
      <c r="G765" s="453"/>
      <c r="H765" s="453"/>
      <c r="I765" s="245" t="s">
        <v>6038</v>
      </c>
      <c r="J765" s="454">
        <v>60</v>
      </c>
      <c r="K765" s="455" t="s">
        <v>6039</v>
      </c>
      <c r="L765" s="462" t="s">
        <v>41</v>
      </c>
      <c r="M765" s="462" t="s">
        <v>55</v>
      </c>
      <c r="N765" s="77" t="s">
        <v>6040</v>
      </c>
      <c r="O765" s="457"/>
      <c r="P765" s="457" t="s">
        <v>6041</v>
      </c>
      <c r="Q765" s="457" t="s">
        <v>5976</v>
      </c>
      <c r="R765" s="458">
        <v>30</v>
      </c>
      <c r="S765" s="458">
        <v>53</v>
      </c>
      <c r="T765" s="452"/>
      <c r="U765" s="452">
        <v>9</v>
      </c>
      <c r="V765" s="459">
        <f t="shared" si="20"/>
        <v>540</v>
      </c>
      <c r="W765" s="452" t="s">
        <v>142</v>
      </c>
      <c r="X765" s="198" t="s">
        <v>6042</v>
      </c>
      <c r="Y765" s="199" t="s">
        <v>82</v>
      </c>
      <c r="Z765" s="169"/>
      <c r="AA765" s="170" t="s">
        <v>83</v>
      </c>
      <c r="AB765" s="243" t="s">
        <v>5727</v>
      </c>
      <c r="AC765" s="172">
        <v>3896.4</v>
      </c>
      <c r="AE765" s="138" t="s">
        <v>4867</v>
      </c>
      <c r="AF765" s="138"/>
      <c r="AG765" s="138" t="s">
        <v>56</v>
      </c>
      <c r="AH765" s="138" t="s">
        <v>56</v>
      </c>
      <c r="AI765" s="138"/>
      <c r="AJ765" s="138"/>
      <c r="AK765" s="138"/>
      <c r="AL765" s="138"/>
    </row>
    <row r="766" spans="1:39" s="200" customFormat="1" ht="90" customHeight="1" x14ac:dyDescent="0.25">
      <c r="A766" s="14">
        <v>45810</v>
      </c>
      <c r="B766" s="451" t="s">
        <v>4588</v>
      </c>
      <c r="C766" s="451" t="s">
        <v>6043</v>
      </c>
      <c r="D766" s="451" t="s">
        <v>6044</v>
      </c>
      <c r="E766" s="452" t="s">
        <v>39</v>
      </c>
      <c r="F766" s="453"/>
      <c r="G766" s="453"/>
      <c r="H766" s="19">
        <v>1</v>
      </c>
      <c r="I766" s="245" t="s">
        <v>6045</v>
      </c>
      <c r="J766" s="454">
        <v>60</v>
      </c>
      <c r="K766" s="455" t="s">
        <v>6039</v>
      </c>
      <c r="L766" s="463" t="s">
        <v>5920</v>
      </c>
      <c r="M766" s="452" t="s">
        <v>42</v>
      </c>
      <c r="N766" s="77" t="s">
        <v>6046</v>
      </c>
      <c r="O766" s="457"/>
      <c r="P766" s="457" t="s">
        <v>6047</v>
      </c>
      <c r="Q766" s="457" t="s">
        <v>6048</v>
      </c>
      <c r="R766" s="458">
        <v>2</v>
      </c>
      <c r="S766" s="458">
        <v>5</v>
      </c>
      <c r="T766" s="452" t="s">
        <v>96</v>
      </c>
      <c r="U766" s="452">
        <v>11</v>
      </c>
      <c r="V766" s="459">
        <f t="shared" si="20"/>
        <v>660</v>
      </c>
      <c r="W766" s="452" t="s">
        <v>142</v>
      </c>
      <c r="X766" s="198" t="s">
        <v>6042</v>
      </c>
      <c r="Y766" s="199" t="s">
        <v>82</v>
      </c>
      <c r="Z766" s="169"/>
      <c r="AA766" s="170" t="s">
        <v>83</v>
      </c>
      <c r="AB766" s="243" t="s">
        <v>5535</v>
      </c>
      <c r="AC766" s="172">
        <v>3075</v>
      </c>
      <c r="AE766" s="138" t="s">
        <v>4867</v>
      </c>
      <c r="AF766" s="138"/>
      <c r="AG766" s="138" t="s">
        <v>56</v>
      </c>
      <c r="AH766" s="138" t="s">
        <v>86</v>
      </c>
      <c r="AI766" s="138"/>
      <c r="AJ766" s="138"/>
      <c r="AK766" s="138"/>
      <c r="AL766" s="222"/>
    </row>
    <row r="767" spans="1:39" ht="59.25" customHeight="1" x14ac:dyDescent="0.25">
      <c r="A767" s="14">
        <v>45810</v>
      </c>
      <c r="B767" s="41" t="s">
        <v>6049</v>
      </c>
      <c r="C767" s="41" t="s">
        <v>6050</v>
      </c>
      <c r="D767" s="41"/>
      <c r="E767" s="42" t="s">
        <v>39</v>
      </c>
      <c r="F767" s="43"/>
      <c r="G767" s="43"/>
      <c r="H767" s="19">
        <v>1</v>
      </c>
      <c r="I767" s="245" t="s">
        <v>6051</v>
      </c>
      <c r="J767" s="45">
        <v>100</v>
      </c>
      <c r="K767" s="46" t="s">
        <v>9946</v>
      </c>
      <c r="L767" s="47" t="s">
        <v>63</v>
      </c>
      <c r="M767" s="430" t="s">
        <v>42</v>
      </c>
      <c r="N767" s="77" t="s">
        <v>6052</v>
      </c>
      <c r="O767" s="49" t="s">
        <v>5850</v>
      </c>
      <c r="P767" s="49" t="s">
        <v>6053</v>
      </c>
      <c r="Q767" s="49" t="s">
        <v>6054</v>
      </c>
      <c r="R767" s="50">
        <v>36</v>
      </c>
      <c r="S767" s="50">
        <v>183</v>
      </c>
      <c r="T767" s="51" t="s">
        <v>141</v>
      </c>
      <c r="U767" s="51">
        <v>9</v>
      </c>
      <c r="V767" s="52">
        <f t="shared" si="20"/>
        <v>900</v>
      </c>
      <c r="W767" s="51" t="s">
        <v>350</v>
      </c>
      <c r="X767" s="198" t="s">
        <v>6055</v>
      </c>
      <c r="Y767" s="199" t="s">
        <v>50</v>
      </c>
      <c r="Z767" s="169" t="s">
        <v>6056</v>
      </c>
      <c r="AA767" s="170" t="s">
        <v>5709</v>
      </c>
      <c r="AB767" s="243" t="s">
        <v>6057</v>
      </c>
      <c r="AC767" s="172">
        <v>7934</v>
      </c>
      <c r="AE767" s="138" t="s">
        <v>4867</v>
      </c>
      <c r="AF767" s="222"/>
      <c r="AG767" s="222" t="s">
        <v>56</v>
      </c>
      <c r="AH767" s="222"/>
      <c r="AI767" s="310" t="s">
        <v>6058</v>
      </c>
      <c r="AJ767" s="138" t="s">
        <v>56</v>
      </c>
      <c r="AK767" s="460" t="s">
        <v>1076</v>
      </c>
      <c r="AL767" s="222"/>
    </row>
    <row r="768" spans="1:39" s="200" customFormat="1" ht="123.75" customHeight="1" x14ac:dyDescent="0.25">
      <c r="A768" s="464" t="s">
        <v>6059</v>
      </c>
      <c r="B768" s="174" t="s">
        <v>6060</v>
      </c>
      <c r="C768" s="95" t="s">
        <v>6061</v>
      </c>
      <c r="D768" s="95" t="s">
        <v>6062</v>
      </c>
      <c r="E768" s="96" t="s">
        <v>39</v>
      </c>
      <c r="F768" s="97"/>
      <c r="G768" s="97"/>
      <c r="H768" s="19">
        <v>1</v>
      </c>
      <c r="I768" s="386" t="s">
        <v>6063</v>
      </c>
      <c r="J768" s="98">
        <v>100</v>
      </c>
      <c r="K768" s="465" t="s">
        <v>9986</v>
      </c>
      <c r="L768" s="100" t="s">
        <v>63</v>
      </c>
      <c r="M768" s="100" t="s">
        <v>42</v>
      </c>
      <c r="N768" s="101" t="s">
        <v>6064</v>
      </c>
      <c r="O768" s="102"/>
      <c r="P768" s="102"/>
      <c r="Q768" s="102" t="s">
        <v>6065</v>
      </c>
      <c r="R768" s="103">
        <v>2</v>
      </c>
      <c r="S768" s="103">
        <v>4</v>
      </c>
      <c r="T768" s="96" t="s">
        <v>96</v>
      </c>
      <c r="U768" s="96">
        <v>2</v>
      </c>
      <c r="V768" s="104">
        <f t="shared" si="20"/>
        <v>200</v>
      </c>
      <c r="W768" s="96" t="s">
        <v>142</v>
      </c>
      <c r="X768" s="198" t="s">
        <v>3937</v>
      </c>
      <c r="Y768" s="199" t="s">
        <v>50</v>
      </c>
      <c r="Z768" s="169"/>
      <c r="AA768" s="170" t="s">
        <v>6066</v>
      </c>
      <c r="AB768" s="243" t="s">
        <v>3839</v>
      </c>
      <c r="AC768" s="172">
        <v>3418</v>
      </c>
      <c r="AE768" s="222" t="s">
        <v>6067</v>
      </c>
      <c r="AF768" s="138"/>
      <c r="AG768" s="138" t="s">
        <v>56</v>
      </c>
      <c r="AH768" s="138" t="s">
        <v>56</v>
      </c>
      <c r="AI768" s="138"/>
      <c r="AJ768" s="138"/>
      <c r="AK768" s="138"/>
      <c r="AL768" s="222"/>
    </row>
    <row r="769" spans="1:45" s="200" customFormat="1" ht="36" customHeight="1" x14ac:dyDescent="0.25">
      <c r="A769" s="14">
        <v>45807</v>
      </c>
      <c r="B769" s="41" t="s">
        <v>4588</v>
      </c>
      <c r="C769" s="41" t="s">
        <v>5902</v>
      </c>
      <c r="D769" s="41" t="s">
        <v>5903</v>
      </c>
      <c r="E769" s="42" t="s">
        <v>39</v>
      </c>
      <c r="F769" s="19"/>
      <c r="G769" s="43"/>
      <c r="H769" s="43"/>
      <c r="I769" s="245" t="s">
        <v>9865</v>
      </c>
      <c r="J769" s="45">
        <v>100</v>
      </c>
      <c r="K769" s="46" t="s">
        <v>5904</v>
      </c>
      <c r="L769" s="277" t="s">
        <v>63</v>
      </c>
      <c r="M769" s="42" t="s">
        <v>42</v>
      </c>
      <c r="N769" s="77" t="s">
        <v>5905</v>
      </c>
      <c r="O769" s="49"/>
      <c r="P769" s="49"/>
      <c r="Q769" s="49"/>
      <c r="R769" s="50"/>
      <c r="S769" s="50"/>
      <c r="T769" s="51"/>
      <c r="U769" s="51">
        <v>9</v>
      </c>
      <c r="V769" s="75">
        <f t="shared" si="20"/>
        <v>900</v>
      </c>
      <c r="W769" s="51" t="s">
        <v>142</v>
      </c>
      <c r="X769" s="198" t="s">
        <v>5906</v>
      </c>
      <c r="Y769" s="199" t="s">
        <v>5907</v>
      </c>
      <c r="Z769" s="199"/>
      <c r="AA769" s="449" t="s">
        <v>26</v>
      </c>
      <c r="AB769" s="243" t="s">
        <v>5908</v>
      </c>
      <c r="AC769" s="243"/>
      <c r="AD769"/>
    </row>
    <row r="770" spans="1:45" s="200" customFormat="1" ht="88.5" customHeight="1" x14ac:dyDescent="0.25">
      <c r="A770" s="14">
        <v>45807</v>
      </c>
      <c r="B770" s="164" t="s">
        <v>6068</v>
      </c>
      <c r="C770" s="41" t="s">
        <v>6069</v>
      </c>
      <c r="D770" s="41" t="s">
        <v>6070</v>
      </c>
      <c r="E770" s="42" t="s">
        <v>39</v>
      </c>
      <c r="F770" s="19">
        <v>1</v>
      </c>
      <c r="G770" s="43"/>
      <c r="H770" s="43"/>
      <c r="I770" s="245" t="s">
        <v>6071</v>
      </c>
      <c r="J770" s="45">
        <v>340</v>
      </c>
      <c r="K770" s="46" t="s">
        <v>9947</v>
      </c>
      <c r="L770" s="47" t="s">
        <v>63</v>
      </c>
      <c r="M770" s="73" t="s">
        <v>42</v>
      </c>
      <c r="N770" s="370" t="s">
        <v>6072</v>
      </c>
      <c r="O770" s="49" t="s">
        <v>6073</v>
      </c>
      <c r="P770" s="49" t="s">
        <v>6074</v>
      </c>
      <c r="Q770" s="49" t="s">
        <v>6075</v>
      </c>
      <c r="R770" s="50">
        <v>60</v>
      </c>
      <c r="S770" s="50">
        <v>188</v>
      </c>
      <c r="T770" s="51" t="s">
        <v>141</v>
      </c>
      <c r="U770" s="51">
        <v>0</v>
      </c>
      <c r="V770" s="52">
        <f t="shared" si="20"/>
        <v>0</v>
      </c>
      <c r="W770" s="51" t="s">
        <v>97</v>
      </c>
      <c r="X770" s="198" t="s">
        <v>98</v>
      </c>
      <c r="Y770" s="199" t="s">
        <v>82</v>
      </c>
      <c r="Z770" s="169"/>
      <c r="AA770" s="170" t="s">
        <v>6076</v>
      </c>
      <c r="AB770" s="243" t="s">
        <v>5986</v>
      </c>
      <c r="AC770" s="172">
        <v>19815.2</v>
      </c>
      <c r="AE770" s="222" t="s">
        <v>5524</v>
      </c>
      <c r="AF770" s="138" t="s">
        <v>5394</v>
      </c>
      <c r="AG770" s="138" t="s">
        <v>56</v>
      </c>
      <c r="AH770" s="138" t="s">
        <v>56</v>
      </c>
      <c r="AI770" s="138"/>
      <c r="AJ770" s="138" t="s">
        <v>56</v>
      </c>
      <c r="AK770" s="137" t="s">
        <v>1076</v>
      </c>
    </row>
    <row r="771" spans="1:45" s="200" customFormat="1" ht="42.75" customHeight="1" x14ac:dyDescent="0.25">
      <c r="A771" s="14">
        <v>45807</v>
      </c>
      <c r="B771" s="41" t="s">
        <v>6077</v>
      </c>
      <c r="C771" s="41" t="s">
        <v>6078</v>
      </c>
      <c r="D771" s="41"/>
      <c r="E771" s="42" t="s">
        <v>39</v>
      </c>
      <c r="F771" s="19">
        <v>1</v>
      </c>
      <c r="G771" s="43"/>
      <c r="H771" s="43"/>
      <c r="I771" s="245" t="s">
        <v>6079</v>
      </c>
      <c r="J771" s="45">
        <v>150</v>
      </c>
      <c r="K771" s="46" t="s">
        <v>5904</v>
      </c>
      <c r="L771" s="47" t="s">
        <v>63</v>
      </c>
      <c r="M771" s="151" t="s">
        <v>42</v>
      </c>
      <c r="N771" s="77" t="s">
        <v>6080</v>
      </c>
      <c r="O771" s="49"/>
      <c r="P771" s="49" t="s">
        <v>6081</v>
      </c>
      <c r="Q771" s="49" t="s">
        <v>6082</v>
      </c>
      <c r="R771" s="50">
        <v>1</v>
      </c>
      <c r="S771" s="50">
        <v>1</v>
      </c>
      <c r="T771" s="51" t="s">
        <v>96</v>
      </c>
      <c r="U771" s="51">
        <v>0</v>
      </c>
      <c r="V771" s="52">
        <f t="shared" si="20"/>
        <v>0</v>
      </c>
      <c r="W771" s="51" t="s">
        <v>350</v>
      </c>
      <c r="X771" s="198" t="s">
        <v>2604</v>
      </c>
      <c r="Y771" s="199" t="s">
        <v>1862</v>
      </c>
      <c r="Z771" s="169"/>
      <c r="AA771" s="170" t="s">
        <v>5737</v>
      </c>
      <c r="AB771" s="243" t="s">
        <v>6083</v>
      </c>
      <c r="AC771" s="172">
        <v>3532.5</v>
      </c>
      <c r="AE771" s="138" t="s">
        <v>6067</v>
      </c>
      <c r="AF771" s="138"/>
      <c r="AG771" s="138" t="s">
        <v>86</v>
      </c>
      <c r="AH771" s="138" t="s">
        <v>56</v>
      </c>
      <c r="AI771" s="138"/>
      <c r="AJ771" s="138"/>
      <c r="AK771" s="138"/>
      <c r="AL771" s="222"/>
    </row>
    <row r="772" spans="1:45" s="307" customFormat="1" ht="49.5" customHeight="1" x14ac:dyDescent="0.25">
      <c r="A772" s="14">
        <v>45807</v>
      </c>
      <c r="B772" s="41" t="s">
        <v>6084</v>
      </c>
      <c r="C772" s="41" t="s">
        <v>6085</v>
      </c>
      <c r="D772" s="41"/>
      <c r="E772" s="42" t="s">
        <v>39</v>
      </c>
      <c r="F772" s="43"/>
      <c r="G772" s="43"/>
      <c r="H772" s="19">
        <v>1</v>
      </c>
      <c r="I772" s="245" t="s">
        <v>6086</v>
      </c>
      <c r="J772" s="45">
        <v>7</v>
      </c>
      <c r="K772" s="46" t="s">
        <v>9948</v>
      </c>
      <c r="L772" s="47" t="s">
        <v>63</v>
      </c>
      <c r="M772" s="430" t="s">
        <v>42</v>
      </c>
      <c r="N772" s="77" t="s">
        <v>6087</v>
      </c>
      <c r="O772" s="49" t="s">
        <v>6088</v>
      </c>
      <c r="P772" s="49" t="s">
        <v>6089</v>
      </c>
      <c r="Q772" s="49" t="s">
        <v>6090</v>
      </c>
      <c r="R772" s="50">
        <v>76</v>
      </c>
      <c r="S772" s="50">
        <v>262</v>
      </c>
      <c r="T772" s="51" t="s">
        <v>47</v>
      </c>
      <c r="U772" s="51">
        <v>3</v>
      </c>
      <c r="V772" s="52">
        <f t="shared" si="20"/>
        <v>21</v>
      </c>
      <c r="W772" s="51" t="s">
        <v>5543</v>
      </c>
      <c r="X772" s="198" t="s">
        <v>6091</v>
      </c>
      <c r="Y772" s="199" t="s">
        <v>82</v>
      </c>
      <c r="Z772" s="169" t="s">
        <v>4664</v>
      </c>
      <c r="AA772" s="170" t="s">
        <v>6092</v>
      </c>
      <c r="AB772" s="243" t="s">
        <v>5836</v>
      </c>
      <c r="AC772" s="172">
        <v>3036.95</v>
      </c>
      <c r="AD772" s="200"/>
      <c r="AE772" s="138" t="s">
        <v>4867</v>
      </c>
      <c r="AF772" s="138"/>
      <c r="AG772" s="138" t="s">
        <v>56</v>
      </c>
      <c r="AH772" s="138" t="s">
        <v>56</v>
      </c>
      <c r="AI772" s="138"/>
      <c r="AJ772" s="138" t="s">
        <v>56</v>
      </c>
      <c r="AK772" s="137" t="s">
        <v>6093</v>
      </c>
      <c r="AL772" s="138"/>
      <c r="AM772" s="200"/>
      <c r="AN772" s="200"/>
      <c r="AO772" s="200"/>
      <c r="AP772" s="200"/>
      <c r="AQ772" s="200"/>
      <c r="AR772" s="200"/>
      <c r="AS772" s="200"/>
    </row>
    <row r="773" spans="1:45" s="200" customFormat="1" ht="48" customHeight="1" x14ac:dyDescent="0.25">
      <c r="A773" s="14">
        <v>45807</v>
      </c>
      <c r="B773" s="41" t="s">
        <v>4588</v>
      </c>
      <c r="C773" s="41" t="s">
        <v>6094</v>
      </c>
      <c r="D773" s="41"/>
      <c r="E773" s="42" t="s">
        <v>39</v>
      </c>
      <c r="F773" s="19">
        <v>1</v>
      </c>
      <c r="G773" s="43"/>
      <c r="H773" s="43"/>
      <c r="I773" s="245" t="s">
        <v>6095</v>
      </c>
      <c r="J773" s="45">
        <v>35</v>
      </c>
      <c r="K773" s="46" t="s">
        <v>9949</v>
      </c>
      <c r="L773" s="466" t="s">
        <v>41</v>
      </c>
      <c r="M773" s="151" t="s">
        <v>42</v>
      </c>
      <c r="N773" s="77" t="s">
        <v>6096</v>
      </c>
      <c r="O773" s="49" t="s">
        <v>5833</v>
      </c>
      <c r="P773" s="49" t="s">
        <v>6088</v>
      </c>
      <c r="Q773" s="49" t="s">
        <v>6097</v>
      </c>
      <c r="R773" s="50">
        <v>41</v>
      </c>
      <c r="S773" s="50">
        <v>128</v>
      </c>
      <c r="T773" s="51" t="s">
        <v>47</v>
      </c>
      <c r="U773" s="51">
        <v>14</v>
      </c>
      <c r="V773" s="52">
        <f t="shared" si="20"/>
        <v>490</v>
      </c>
      <c r="W773" s="51" t="s">
        <v>350</v>
      </c>
      <c r="X773" s="198" t="s">
        <v>2816</v>
      </c>
      <c r="Y773" s="199" t="s">
        <v>50</v>
      </c>
      <c r="Z773" s="169"/>
      <c r="AA773" s="170" t="s">
        <v>83</v>
      </c>
      <c r="AB773" s="243" t="s">
        <v>6098</v>
      </c>
      <c r="AC773" s="172">
        <v>3307.5</v>
      </c>
      <c r="AE773" s="138" t="s">
        <v>4867</v>
      </c>
      <c r="AF773" s="138"/>
      <c r="AG773" s="138" t="s">
        <v>56</v>
      </c>
      <c r="AH773" s="137" t="s">
        <v>86</v>
      </c>
      <c r="AI773" s="255" t="s">
        <v>6099</v>
      </c>
      <c r="AJ773" s="138" t="s">
        <v>56</v>
      </c>
      <c r="AK773" s="137" t="s">
        <v>1076</v>
      </c>
      <c r="AL773" s="222"/>
    </row>
    <row r="774" spans="1:45" s="200" customFormat="1" ht="61.5" customHeight="1" x14ac:dyDescent="0.25">
      <c r="A774" s="14">
        <v>45806</v>
      </c>
      <c r="B774" s="41" t="s">
        <v>6100</v>
      </c>
      <c r="C774" s="41" t="s">
        <v>6101</v>
      </c>
      <c r="D774" s="41" t="s">
        <v>6102</v>
      </c>
      <c r="E774" s="42" t="s">
        <v>39</v>
      </c>
      <c r="F774" s="467"/>
      <c r="G774" s="467"/>
      <c r="H774" s="19">
        <v>1</v>
      </c>
      <c r="I774" s="245" t="s">
        <v>6103</v>
      </c>
      <c r="J774" s="45">
        <v>100</v>
      </c>
      <c r="K774" s="46" t="s">
        <v>9950</v>
      </c>
      <c r="L774" s="47" t="s">
        <v>63</v>
      </c>
      <c r="M774" s="73" t="s">
        <v>42</v>
      </c>
      <c r="N774" s="77" t="s">
        <v>6104</v>
      </c>
      <c r="O774" s="49" t="s">
        <v>6105</v>
      </c>
      <c r="P774" s="49" t="s">
        <v>6106</v>
      </c>
      <c r="Q774" s="49" t="s">
        <v>6107</v>
      </c>
      <c r="R774" s="50">
        <v>110</v>
      </c>
      <c r="S774" s="50">
        <v>767</v>
      </c>
      <c r="T774" s="51" t="s">
        <v>180</v>
      </c>
      <c r="U774" s="51">
        <v>35</v>
      </c>
      <c r="V774" s="75">
        <f t="shared" si="20"/>
        <v>3500</v>
      </c>
      <c r="W774" s="51" t="s">
        <v>350</v>
      </c>
      <c r="X774" s="198" t="s">
        <v>6108</v>
      </c>
      <c r="Y774" s="199" t="s">
        <v>82</v>
      </c>
      <c r="Z774" s="169"/>
      <c r="AA774" s="170" t="s">
        <v>1199</v>
      </c>
      <c r="AB774" s="243" t="s">
        <v>6109</v>
      </c>
      <c r="AC774" s="172">
        <v>22494</v>
      </c>
      <c r="AE774" s="138" t="s">
        <v>4867</v>
      </c>
      <c r="AF774" s="138" t="s">
        <v>5394</v>
      </c>
      <c r="AG774" s="138" t="s">
        <v>56</v>
      </c>
      <c r="AH774" s="138" t="s">
        <v>86</v>
      </c>
      <c r="AI774" s="138"/>
      <c r="AJ774" s="138"/>
      <c r="AK774" s="138"/>
      <c r="AL774" s="138"/>
    </row>
    <row r="775" spans="1:45" s="200" customFormat="1" ht="48.75" customHeight="1" x14ac:dyDescent="0.25">
      <c r="A775" s="14">
        <v>45806</v>
      </c>
      <c r="B775" s="41" t="s">
        <v>6077</v>
      </c>
      <c r="C775" s="41" t="s">
        <v>6110</v>
      </c>
      <c r="D775" s="41"/>
      <c r="E775" s="42" t="s">
        <v>39</v>
      </c>
      <c r="F775" s="19">
        <v>1</v>
      </c>
      <c r="G775" s="43"/>
      <c r="H775" s="43"/>
      <c r="I775" s="245" t="s">
        <v>6111</v>
      </c>
      <c r="J775" s="45">
        <v>10</v>
      </c>
      <c r="K775" s="150" t="s">
        <v>9951</v>
      </c>
      <c r="L775" s="47" t="s">
        <v>63</v>
      </c>
      <c r="M775" s="430" t="s">
        <v>42</v>
      </c>
      <c r="N775" s="77" t="s">
        <v>154</v>
      </c>
      <c r="O775" s="49" t="s">
        <v>6112</v>
      </c>
      <c r="P775" s="49" t="s">
        <v>6113</v>
      </c>
      <c r="Q775" s="49" t="s">
        <v>6114</v>
      </c>
      <c r="R775" s="50">
        <v>36</v>
      </c>
      <c r="S775" s="50">
        <v>101</v>
      </c>
      <c r="T775" s="51" t="s">
        <v>47</v>
      </c>
      <c r="U775" s="51">
        <v>8</v>
      </c>
      <c r="V775" s="52">
        <f t="shared" si="20"/>
        <v>80</v>
      </c>
      <c r="W775" s="51" t="s">
        <v>142</v>
      </c>
      <c r="X775" s="198" t="s">
        <v>1110</v>
      </c>
      <c r="Y775" s="199" t="s">
        <v>50</v>
      </c>
      <c r="Z775" s="169"/>
      <c r="AA775" s="170" t="s">
        <v>5522</v>
      </c>
      <c r="AB775" s="243" t="s">
        <v>5959</v>
      </c>
      <c r="AC775" s="172">
        <v>2358</v>
      </c>
      <c r="AE775" s="138" t="s">
        <v>4867</v>
      </c>
      <c r="AF775" s="138"/>
      <c r="AG775" s="138" t="s">
        <v>56</v>
      </c>
      <c r="AH775" s="138" t="s">
        <v>86</v>
      </c>
      <c r="AI775" s="138"/>
      <c r="AJ775" s="138" t="s">
        <v>56</v>
      </c>
      <c r="AK775" s="138" t="s">
        <v>2284</v>
      </c>
      <c r="AL775" s="222"/>
    </row>
    <row r="776" spans="1:45" s="200" customFormat="1" ht="76.5" customHeight="1" x14ac:dyDescent="0.25">
      <c r="A776" s="14">
        <v>45806</v>
      </c>
      <c r="B776" s="164" t="s">
        <v>6115</v>
      </c>
      <c r="C776" s="41" t="s">
        <v>6116</v>
      </c>
      <c r="D776" s="41" t="s">
        <v>6117</v>
      </c>
      <c r="E776" s="42" t="s">
        <v>39</v>
      </c>
      <c r="F776" s="19">
        <v>1</v>
      </c>
      <c r="G776" s="43"/>
      <c r="H776" s="43"/>
      <c r="I776" s="245" t="s">
        <v>6118</v>
      </c>
      <c r="J776" s="45">
        <v>35</v>
      </c>
      <c r="K776" s="46" t="s">
        <v>9952</v>
      </c>
      <c r="L776" s="47" t="s">
        <v>63</v>
      </c>
      <c r="M776" s="430" t="s">
        <v>42</v>
      </c>
      <c r="N776" s="77" t="s">
        <v>6119</v>
      </c>
      <c r="O776" s="49"/>
      <c r="P776" s="49" t="s">
        <v>6120</v>
      </c>
      <c r="Q776" s="49" t="s">
        <v>6121</v>
      </c>
      <c r="R776" s="50">
        <v>39</v>
      </c>
      <c r="S776" s="50">
        <v>87</v>
      </c>
      <c r="T776" s="51" t="s">
        <v>96</v>
      </c>
      <c r="U776" s="51">
        <v>3</v>
      </c>
      <c r="V776" s="52">
        <f t="shared" si="20"/>
        <v>105</v>
      </c>
      <c r="W776" s="51" t="s">
        <v>350</v>
      </c>
      <c r="X776" s="198" t="s">
        <v>265</v>
      </c>
      <c r="Y776" s="199" t="s">
        <v>82</v>
      </c>
      <c r="Z776" s="169"/>
      <c r="AA776" s="170" t="s">
        <v>6122</v>
      </c>
      <c r="AB776" s="243" t="s">
        <v>5836</v>
      </c>
      <c r="AC776" s="172">
        <v>2318.4</v>
      </c>
      <c r="AE776" s="138" t="s">
        <v>5524</v>
      </c>
      <c r="AF776" s="222"/>
      <c r="AG776" s="222" t="s">
        <v>56</v>
      </c>
      <c r="AH776" s="222" t="s">
        <v>56</v>
      </c>
      <c r="AI776" s="222" t="s">
        <v>6123</v>
      </c>
      <c r="AJ776" s="222"/>
      <c r="AK776" s="460" t="s">
        <v>6124</v>
      </c>
      <c r="AL776" s="222"/>
    </row>
    <row r="777" spans="1:45" ht="149.25" customHeight="1" x14ac:dyDescent="0.25">
      <c r="A777" s="14">
        <v>45806</v>
      </c>
      <c r="B777" s="41" t="s">
        <v>4588</v>
      </c>
      <c r="C777" s="41" t="s">
        <v>6125</v>
      </c>
      <c r="D777" s="41"/>
      <c r="E777" s="42" t="s">
        <v>39</v>
      </c>
      <c r="F777" s="43"/>
      <c r="G777" s="43"/>
      <c r="H777" s="19">
        <v>1</v>
      </c>
      <c r="I777" s="245" t="s">
        <v>6126</v>
      </c>
      <c r="J777" s="45">
        <v>12</v>
      </c>
      <c r="K777" s="46" t="s">
        <v>9951</v>
      </c>
      <c r="L777" s="466" t="s">
        <v>41</v>
      </c>
      <c r="M777" s="151" t="s">
        <v>42</v>
      </c>
      <c r="N777" s="77" t="s">
        <v>6127</v>
      </c>
      <c r="O777" s="49" t="s">
        <v>6128</v>
      </c>
      <c r="P777" s="49" t="s">
        <v>6129</v>
      </c>
      <c r="Q777" s="49" t="s">
        <v>6130</v>
      </c>
      <c r="R777" s="50">
        <v>87</v>
      </c>
      <c r="S777" s="50">
        <v>249</v>
      </c>
      <c r="T777" s="51" t="s">
        <v>141</v>
      </c>
      <c r="U777" s="51">
        <v>18</v>
      </c>
      <c r="V777" s="52">
        <f t="shared" si="20"/>
        <v>216</v>
      </c>
      <c r="W777" s="51" t="s">
        <v>350</v>
      </c>
      <c r="X777" s="198" t="s">
        <v>6131</v>
      </c>
      <c r="Y777" s="168" t="s">
        <v>82</v>
      </c>
      <c r="Z777" s="169"/>
      <c r="AA777" s="170" t="s">
        <v>83</v>
      </c>
      <c r="AB777" s="243" t="s">
        <v>5605</v>
      </c>
      <c r="AC777" s="35">
        <v>6691</v>
      </c>
      <c r="AD777" s="200">
        <v>999</v>
      </c>
      <c r="AE777" s="255" t="s">
        <v>6132</v>
      </c>
      <c r="AF777" s="138"/>
      <c r="AG777" s="138" t="s">
        <v>56</v>
      </c>
      <c r="AH777" s="138" t="s">
        <v>56</v>
      </c>
      <c r="AI777" s="138"/>
      <c r="AJ777" s="138"/>
      <c r="AK777" s="137"/>
      <c r="AL777" s="138"/>
    </row>
    <row r="778" spans="1:45" s="200" customFormat="1" ht="137.25" customHeight="1" x14ac:dyDescent="0.25">
      <c r="A778" s="14">
        <v>45806</v>
      </c>
      <c r="B778" s="41" t="s">
        <v>6133</v>
      </c>
      <c r="C778" s="41" t="s">
        <v>6134</v>
      </c>
      <c r="D778" s="41"/>
      <c r="E778" s="42" t="s">
        <v>39</v>
      </c>
      <c r="F778" s="19">
        <v>1</v>
      </c>
      <c r="G778" s="43"/>
      <c r="H778" s="43"/>
      <c r="I778" s="245" t="s">
        <v>6135</v>
      </c>
      <c r="J778" s="45">
        <v>14</v>
      </c>
      <c r="K778" s="46" t="s">
        <v>9951</v>
      </c>
      <c r="L778" s="47" t="s">
        <v>63</v>
      </c>
      <c r="M778" s="151" t="s">
        <v>42</v>
      </c>
      <c r="N778" s="77" t="s">
        <v>6136</v>
      </c>
      <c r="O778" s="49" t="s">
        <v>6137</v>
      </c>
      <c r="P778" s="49" t="s">
        <v>6138</v>
      </c>
      <c r="Q778" s="49" t="s">
        <v>5833</v>
      </c>
      <c r="R778" s="50">
        <v>89</v>
      </c>
      <c r="S778" s="50">
        <v>623</v>
      </c>
      <c r="T778" s="51" t="s">
        <v>180</v>
      </c>
      <c r="U778" s="51">
        <v>43</v>
      </c>
      <c r="V778" s="52">
        <f t="shared" si="20"/>
        <v>602</v>
      </c>
      <c r="W778" s="51" t="s">
        <v>350</v>
      </c>
      <c r="X778" s="198" t="s">
        <v>5544</v>
      </c>
      <c r="Y778" s="199" t="s">
        <v>50</v>
      </c>
      <c r="Z778" s="169" t="s">
        <v>6139</v>
      </c>
      <c r="AA778" s="170" t="s">
        <v>6140</v>
      </c>
      <c r="AB778" s="243" t="s">
        <v>6057</v>
      </c>
      <c r="AC778" s="172">
        <v>6389.54</v>
      </c>
      <c r="AE778" s="138" t="s">
        <v>5524</v>
      </c>
      <c r="AF778" s="138"/>
      <c r="AG778" s="138" t="s">
        <v>56</v>
      </c>
      <c r="AH778" s="137" t="s">
        <v>56</v>
      </c>
      <c r="AI778" s="138" t="s">
        <v>6141</v>
      </c>
      <c r="AJ778" s="138"/>
      <c r="AK778" s="137"/>
      <c r="AL778" s="222"/>
    </row>
    <row r="779" spans="1:45" s="200" customFormat="1" ht="151.5" customHeight="1" x14ac:dyDescent="0.25">
      <c r="A779" s="14">
        <v>45806</v>
      </c>
      <c r="B779" s="41" t="s">
        <v>6142</v>
      </c>
      <c r="C779" s="41" t="s">
        <v>6143</v>
      </c>
      <c r="D779" s="41" t="s">
        <v>6144</v>
      </c>
      <c r="E779" s="42" t="s">
        <v>39</v>
      </c>
      <c r="F779" s="19">
        <v>1</v>
      </c>
      <c r="G779" s="43"/>
      <c r="H779" s="43"/>
      <c r="I779" s="245" t="s">
        <v>6145</v>
      </c>
      <c r="J779" s="45">
        <v>250</v>
      </c>
      <c r="K779" s="46" t="s">
        <v>9951</v>
      </c>
      <c r="L779" s="47" t="s">
        <v>63</v>
      </c>
      <c r="M779" s="151" t="s">
        <v>42</v>
      </c>
      <c r="N779" s="77" t="s">
        <v>6146</v>
      </c>
      <c r="O779" s="49" t="s">
        <v>6147</v>
      </c>
      <c r="P779" s="49" t="s">
        <v>6148</v>
      </c>
      <c r="Q779" s="49" t="s">
        <v>6130</v>
      </c>
      <c r="R779" s="50">
        <v>35</v>
      </c>
      <c r="S779" s="50">
        <v>132</v>
      </c>
      <c r="T779" s="51" t="s">
        <v>47</v>
      </c>
      <c r="U779" s="51">
        <v>7</v>
      </c>
      <c r="V779" s="52">
        <f t="shared" si="20"/>
        <v>1750</v>
      </c>
      <c r="W779" s="51" t="s">
        <v>142</v>
      </c>
      <c r="X779" s="198" t="s">
        <v>4692</v>
      </c>
      <c r="Y779" s="199" t="s">
        <v>82</v>
      </c>
      <c r="Z779" s="169" t="s">
        <v>5104</v>
      </c>
      <c r="AA779" s="170" t="s">
        <v>6026</v>
      </c>
      <c r="AB779" s="243" t="s">
        <v>6149</v>
      </c>
      <c r="AC779" s="35">
        <v>15895</v>
      </c>
      <c r="AE779" s="138" t="s">
        <v>4867</v>
      </c>
      <c r="AF779" s="138"/>
      <c r="AG779" s="138" t="s">
        <v>56</v>
      </c>
      <c r="AH779" s="138" t="s">
        <v>56</v>
      </c>
      <c r="AI779" s="138"/>
      <c r="AJ779" s="138"/>
      <c r="AK779" s="137"/>
      <c r="AL779" s="138"/>
    </row>
    <row r="780" spans="1:45" s="200" customFormat="1" ht="50.25" customHeight="1" x14ac:dyDescent="0.25">
      <c r="A780" s="14">
        <v>45805</v>
      </c>
      <c r="B780" s="41" t="s">
        <v>4588</v>
      </c>
      <c r="C780" s="41" t="s">
        <v>6150</v>
      </c>
      <c r="D780" s="41"/>
      <c r="E780" s="42" t="s">
        <v>39</v>
      </c>
      <c r="F780" s="19">
        <v>1</v>
      </c>
      <c r="G780" s="43"/>
      <c r="H780" s="43"/>
      <c r="I780" s="245" t="s">
        <v>6151</v>
      </c>
      <c r="J780" s="45">
        <v>50</v>
      </c>
      <c r="K780" s="46" t="s">
        <v>9953</v>
      </c>
      <c r="L780" s="47" t="s">
        <v>63</v>
      </c>
      <c r="M780" s="73" t="s">
        <v>42</v>
      </c>
      <c r="N780" s="77" t="s">
        <v>6152</v>
      </c>
      <c r="O780" s="49" t="s">
        <v>5697</v>
      </c>
      <c r="P780" s="49" t="s">
        <v>5698</v>
      </c>
      <c r="Q780" s="49" t="s">
        <v>6153</v>
      </c>
      <c r="R780" s="50">
        <v>66</v>
      </c>
      <c r="S780" s="50">
        <v>370</v>
      </c>
      <c r="T780" s="51" t="s">
        <v>47</v>
      </c>
      <c r="U780" s="51">
        <v>2</v>
      </c>
      <c r="V780" s="52">
        <f t="shared" si="20"/>
        <v>100</v>
      </c>
      <c r="W780" s="51" t="s">
        <v>68</v>
      </c>
      <c r="X780" s="198" t="s">
        <v>6154</v>
      </c>
      <c r="Y780" s="199" t="s">
        <v>2880</v>
      </c>
      <c r="Z780" s="269"/>
      <c r="AA780" s="170" t="s">
        <v>6155</v>
      </c>
      <c r="AB780" s="243" t="s">
        <v>6156</v>
      </c>
      <c r="AC780" s="172">
        <v>4990.5</v>
      </c>
      <c r="AE780" s="222" t="s">
        <v>5524</v>
      </c>
      <c r="AF780" s="138"/>
      <c r="AG780" s="138" t="s">
        <v>56</v>
      </c>
      <c r="AH780" s="255" t="s">
        <v>6157</v>
      </c>
      <c r="AI780" s="138"/>
      <c r="AJ780" s="138" t="s">
        <v>56</v>
      </c>
      <c r="AK780" s="138" t="s">
        <v>1076</v>
      </c>
      <c r="AL780" s="222"/>
    </row>
    <row r="781" spans="1:45" s="200" customFormat="1" ht="51" x14ac:dyDescent="0.25">
      <c r="A781" s="14">
        <v>45805</v>
      </c>
      <c r="B781" s="41" t="s">
        <v>4588</v>
      </c>
      <c r="C781" s="41" t="s">
        <v>6094</v>
      </c>
      <c r="D781" s="41"/>
      <c r="E781" s="42" t="s">
        <v>39</v>
      </c>
      <c r="F781" s="43"/>
      <c r="G781" s="43"/>
      <c r="H781" s="19">
        <v>1</v>
      </c>
      <c r="I781" s="245" t="s">
        <v>6158</v>
      </c>
      <c r="J781" s="45">
        <v>240</v>
      </c>
      <c r="K781" s="46" t="s">
        <v>9954</v>
      </c>
      <c r="L781" s="47" t="s">
        <v>63</v>
      </c>
      <c r="M781" s="42" t="s">
        <v>42</v>
      </c>
      <c r="N781" s="77" t="s">
        <v>6160</v>
      </c>
      <c r="O781" s="49"/>
      <c r="P781" s="49" t="s">
        <v>6161</v>
      </c>
      <c r="Q781" s="49" t="s">
        <v>6137</v>
      </c>
      <c r="R781" s="50">
        <v>10</v>
      </c>
      <c r="S781" s="50">
        <v>13</v>
      </c>
      <c r="T781" s="51" t="s">
        <v>96</v>
      </c>
      <c r="U781" s="51">
        <v>9</v>
      </c>
      <c r="V781" s="52">
        <f t="shared" si="20"/>
        <v>2160</v>
      </c>
      <c r="W781" s="51" t="s">
        <v>6162</v>
      </c>
      <c r="X781" s="198" t="s">
        <v>6042</v>
      </c>
      <c r="Y781" s="199" t="s">
        <v>82</v>
      </c>
      <c r="Z781" s="169"/>
      <c r="AA781" s="170" t="s">
        <v>83</v>
      </c>
      <c r="AB781" s="243" t="s">
        <v>6098</v>
      </c>
      <c r="AC781" s="172">
        <v>4227</v>
      </c>
      <c r="AE781" s="138" t="s">
        <v>4867</v>
      </c>
      <c r="AF781" s="138"/>
      <c r="AG781" s="138" t="s">
        <v>56</v>
      </c>
      <c r="AH781" s="138" t="s">
        <v>56</v>
      </c>
      <c r="AI781" s="138"/>
      <c r="AJ781" s="138"/>
      <c r="AK781" s="138"/>
      <c r="AL781" s="222"/>
    </row>
    <row r="782" spans="1:45" s="200" customFormat="1" ht="105" x14ac:dyDescent="0.25">
      <c r="A782" s="14">
        <v>45805</v>
      </c>
      <c r="B782" s="41" t="s">
        <v>4588</v>
      </c>
      <c r="C782" s="41" t="s">
        <v>6163</v>
      </c>
      <c r="D782" s="41"/>
      <c r="E782" s="42" t="s">
        <v>39</v>
      </c>
      <c r="F782" s="19">
        <v>1</v>
      </c>
      <c r="G782" s="43"/>
      <c r="H782" s="43"/>
      <c r="I782" s="245" t="s">
        <v>6164</v>
      </c>
      <c r="J782" s="45">
        <v>60</v>
      </c>
      <c r="K782" s="46" t="s">
        <v>9955</v>
      </c>
      <c r="L782" s="47" t="s">
        <v>63</v>
      </c>
      <c r="M782" s="151" t="s">
        <v>42</v>
      </c>
      <c r="N782" s="77" t="s">
        <v>6165</v>
      </c>
      <c r="O782" s="49"/>
      <c r="P782" s="49" t="s">
        <v>6166</v>
      </c>
      <c r="Q782" s="49" t="s">
        <v>6167</v>
      </c>
      <c r="R782" s="50">
        <v>64</v>
      </c>
      <c r="S782" s="50">
        <v>285</v>
      </c>
      <c r="T782" s="51" t="s">
        <v>67</v>
      </c>
      <c r="U782" s="51">
        <v>40</v>
      </c>
      <c r="V782" s="52">
        <f t="shared" si="20"/>
        <v>2400</v>
      </c>
      <c r="W782" s="51" t="s">
        <v>142</v>
      </c>
      <c r="X782" s="198" t="s">
        <v>6042</v>
      </c>
      <c r="Y782" s="199" t="s">
        <v>82</v>
      </c>
      <c r="Z782" s="169"/>
      <c r="AA782" s="170" t="s">
        <v>6168</v>
      </c>
      <c r="AB782" s="243" t="s">
        <v>5605</v>
      </c>
      <c r="AC782" s="172">
        <v>8140</v>
      </c>
      <c r="AE782" s="138" t="s">
        <v>4867</v>
      </c>
      <c r="AF782" s="138"/>
      <c r="AG782" s="138" t="s">
        <v>56</v>
      </c>
      <c r="AH782" s="138" t="s">
        <v>56</v>
      </c>
      <c r="AI782" s="138"/>
      <c r="AJ782" s="138"/>
      <c r="AK782" s="137"/>
      <c r="AL782" s="138"/>
    </row>
    <row r="783" spans="1:45" s="200" customFormat="1" ht="68.25" customHeight="1" x14ac:dyDescent="0.25">
      <c r="A783" s="14">
        <v>45804</v>
      </c>
      <c r="B783" s="41" t="s">
        <v>6169</v>
      </c>
      <c r="C783" s="41" t="s">
        <v>6170</v>
      </c>
      <c r="D783" s="273" t="s">
        <v>3832</v>
      </c>
      <c r="E783" s="42" t="s">
        <v>39</v>
      </c>
      <c r="F783" s="19">
        <v>1</v>
      </c>
      <c r="G783" s="43"/>
      <c r="H783" s="43"/>
      <c r="I783" s="245" t="s">
        <v>6171</v>
      </c>
      <c r="J783" s="45">
        <v>36</v>
      </c>
      <c r="K783" s="46" t="s">
        <v>9956</v>
      </c>
      <c r="L783" s="47" t="s">
        <v>63</v>
      </c>
      <c r="M783" s="73" t="s">
        <v>42</v>
      </c>
      <c r="N783" s="77" t="s">
        <v>6172</v>
      </c>
      <c r="O783" s="49"/>
      <c r="P783" s="49" t="s">
        <v>6153</v>
      </c>
      <c r="Q783" s="49" t="s">
        <v>6173</v>
      </c>
      <c r="R783" s="50">
        <v>45</v>
      </c>
      <c r="S783" s="50">
        <v>89</v>
      </c>
      <c r="T783" s="51" t="s">
        <v>96</v>
      </c>
      <c r="U783" s="51">
        <v>7</v>
      </c>
      <c r="V783" s="52">
        <f t="shared" si="20"/>
        <v>252</v>
      </c>
      <c r="W783" s="51" t="s">
        <v>68</v>
      </c>
      <c r="X783" s="198" t="s">
        <v>3680</v>
      </c>
      <c r="Y783" s="199" t="s">
        <v>70</v>
      </c>
      <c r="Z783" s="169"/>
      <c r="AA783" s="170" t="s">
        <v>3838</v>
      </c>
      <c r="AB783" s="243" t="s">
        <v>3839</v>
      </c>
      <c r="AC783" s="35">
        <f>2128.5*(J783/50)</f>
        <v>1532.52</v>
      </c>
      <c r="AE783" s="222" t="s">
        <v>6174</v>
      </c>
      <c r="AF783" s="138"/>
      <c r="AG783" s="255" t="s">
        <v>3841</v>
      </c>
      <c r="AH783" s="138" t="s">
        <v>56</v>
      </c>
      <c r="AI783" s="137" t="s">
        <v>3842</v>
      </c>
      <c r="AK783" s="137" t="s">
        <v>3844</v>
      </c>
      <c r="AL783" s="222"/>
    </row>
    <row r="784" spans="1:45" ht="56.25" x14ac:dyDescent="0.25">
      <c r="A784" s="14">
        <v>45804</v>
      </c>
      <c r="B784" s="41" t="s">
        <v>5812</v>
      </c>
      <c r="C784" s="41" t="s">
        <v>6175</v>
      </c>
      <c r="D784" s="41"/>
      <c r="E784" s="42" t="s">
        <v>39</v>
      </c>
      <c r="F784" s="19">
        <v>1</v>
      </c>
      <c r="G784" s="43"/>
      <c r="H784" s="43"/>
      <c r="I784" s="245" t="s">
        <v>6176</v>
      </c>
      <c r="J784" s="45">
        <v>5</v>
      </c>
      <c r="K784" s="46" t="s">
        <v>9957</v>
      </c>
      <c r="L784" s="47" t="s">
        <v>63</v>
      </c>
      <c r="M784" s="73" t="s">
        <v>42</v>
      </c>
      <c r="N784" s="77" t="s">
        <v>6177</v>
      </c>
      <c r="O784" s="49" t="s">
        <v>6082</v>
      </c>
      <c r="P784" s="49" t="s">
        <v>6178</v>
      </c>
      <c r="Q784" s="49" t="s">
        <v>5832</v>
      </c>
      <c r="R784" s="50">
        <v>64</v>
      </c>
      <c r="S784" s="50">
        <v>163</v>
      </c>
      <c r="T784" s="51" t="s">
        <v>47</v>
      </c>
      <c r="U784" s="51">
        <v>18</v>
      </c>
      <c r="V784" s="52">
        <f t="shared" si="20"/>
        <v>90</v>
      </c>
      <c r="W784" s="51" t="s">
        <v>97</v>
      </c>
      <c r="X784" s="198" t="s">
        <v>98</v>
      </c>
      <c r="Y784" s="168" t="s">
        <v>82</v>
      </c>
      <c r="Z784" s="169"/>
      <c r="AA784" s="170" t="s">
        <v>83</v>
      </c>
      <c r="AB784" s="243" t="s">
        <v>6179</v>
      </c>
      <c r="AC784" s="172">
        <v>3582.5</v>
      </c>
      <c r="AE784" s="138" t="s">
        <v>5524</v>
      </c>
      <c r="AF784" s="138"/>
      <c r="AG784" s="138" t="s">
        <v>56</v>
      </c>
      <c r="AH784" s="138" t="s">
        <v>56</v>
      </c>
      <c r="AI784" s="138"/>
      <c r="AJ784" s="138"/>
      <c r="AK784" s="138"/>
      <c r="AL784" s="222"/>
    </row>
    <row r="785" spans="1:39" s="200" customFormat="1" ht="54" customHeight="1" x14ac:dyDescent="0.25">
      <c r="A785" s="14">
        <v>45804</v>
      </c>
      <c r="B785" s="41" t="s">
        <v>6180</v>
      </c>
      <c r="C785" s="41" t="s">
        <v>6181</v>
      </c>
      <c r="D785" s="41"/>
      <c r="E785" s="42" t="s">
        <v>39</v>
      </c>
      <c r="F785" s="19">
        <v>1</v>
      </c>
      <c r="G785" s="43"/>
      <c r="H785" s="43"/>
      <c r="I785" s="245" t="s">
        <v>6182</v>
      </c>
      <c r="J785" s="45">
        <v>150</v>
      </c>
      <c r="K785" s="150" t="s">
        <v>9958</v>
      </c>
      <c r="L785" s="466" t="s">
        <v>2200</v>
      </c>
      <c r="M785" s="73" t="s">
        <v>42</v>
      </c>
      <c r="N785" s="77" t="s">
        <v>6183</v>
      </c>
      <c r="O785" s="49"/>
      <c r="P785" s="197" t="s">
        <v>6184</v>
      </c>
      <c r="Q785" s="49" t="s">
        <v>6185</v>
      </c>
      <c r="R785" s="50">
        <v>1</v>
      </c>
      <c r="S785" s="50">
        <v>1</v>
      </c>
      <c r="T785" s="51"/>
      <c r="U785" s="51">
        <v>0</v>
      </c>
      <c r="V785" s="52">
        <f t="shared" si="20"/>
        <v>0</v>
      </c>
      <c r="W785" s="51" t="s">
        <v>350</v>
      </c>
      <c r="X785" s="198" t="s">
        <v>1445</v>
      </c>
      <c r="Y785" s="199" t="s">
        <v>144</v>
      </c>
      <c r="Z785" s="169"/>
      <c r="AA785" s="170" t="s">
        <v>83</v>
      </c>
      <c r="AB785" s="243" t="s">
        <v>6057</v>
      </c>
      <c r="AC785" s="172">
        <v>3192</v>
      </c>
      <c r="AE785" s="138" t="s">
        <v>6067</v>
      </c>
      <c r="AF785" s="138"/>
      <c r="AG785" s="138" t="s">
        <v>56</v>
      </c>
      <c r="AH785" s="138" t="s">
        <v>86</v>
      </c>
      <c r="AI785" s="138"/>
      <c r="AJ785" s="255" t="s">
        <v>4278</v>
      </c>
      <c r="AK785" s="255" t="s">
        <v>4278</v>
      </c>
      <c r="AL785" s="137"/>
    </row>
    <row r="786" spans="1:39" s="200" customFormat="1" ht="82.5" x14ac:dyDescent="0.25">
      <c r="A786" s="14">
        <v>45804</v>
      </c>
      <c r="B786" s="41" t="s">
        <v>6186</v>
      </c>
      <c r="C786" s="41" t="s">
        <v>6187</v>
      </c>
      <c r="D786" s="41" t="s">
        <v>6188</v>
      </c>
      <c r="E786" s="42" t="s">
        <v>39</v>
      </c>
      <c r="F786" s="19">
        <v>2</v>
      </c>
      <c r="G786" s="43"/>
      <c r="H786" s="43"/>
      <c r="I786" s="245" t="s">
        <v>6189</v>
      </c>
      <c r="J786" s="45">
        <v>250</v>
      </c>
      <c r="K786" s="46" t="s">
        <v>9959</v>
      </c>
      <c r="L786" s="47" t="s">
        <v>63</v>
      </c>
      <c r="M786" s="151" t="s">
        <v>42</v>
      </c>
      <c r="N786" s="77" t="s">
        <v>6190</v>
      </c>
      <c r="O786" s="49"/>
      <c r="P786" s="49" t="s">
        <v>6191</v>
      </c>
      <c r="Q786" s="49" t="s">
        <v>6192</v>
      </c>
      <c r="R786" s="50">
        <v>13</v>
      </c>
      <c r="S786" s="50">
        <v>16</v>
      </c>
      <c r="T786" s="51" t="s">
        <v>96</v>
      </c>
      <c r="U786" s="51">
        <v>4</v>
      </c>
      <c r="V786" s="52">
        <f t="shared" si="20"/>
        <v>1000</v>
      </c>
      <c r="W786" s="51" t="s">
        <v>142</v>
      </c>
      <c r="X786" s="247" t="s">
        <v>4692</v>
      </c>
      <c r="Y786" s="199" t="s">
        <v>82</v>
      </c>
      <c r="Z786" s="169"/>
      <c r="AA786" s="170" t="s">
        <v>6193</v>
      </c>
      <c r="AB786" s="243" t="s">
        <v>6149</v>
      </c>
      <c r="AC786" s="35">
        <v>4990</v>
      </c>
      <c r="AE786" s="138" t="s">
        <v>4867</v>
      </c>
      <c r="AF786" s="138"/>
      <c r="AG786" s="138" t="s">
        <v>56</v>
      </c>
      <c r="AH786" s="138" t="s">
        <v>56</v>
      </c>
      <c r="AI786" s="138"/>
      <c r="AJ786" s="138"/>
      <c r="AK786" s="137"/>
      <c r="AL786" s="222"/>
    </row>
    <row r="787" spans="1:39" s="200" customFormat="1" ht="345" x14ac:dyDescent="0.25">
      <c r="A787" s="14">
        <v>45804</v>
      </c>
      <c r="B787" s="164" t="s">
        <v>6194</v>
      </c>
      <c r="C787" s="41" t="s">
        <v>6195</v>
      </c>
      <c r="D787" s="41" t="s">
        <v>6196</v>
      </c>
      <c r="E787" s="42" t="s">
        <v>39</v>
      </c>
      <c r="F787" s="43"/>
      <c r="G787" s="43"/>
      <c r="H787" s="19">
        <v>1</v>
      </c>
      <c r="I787" s="245" t="s">
        <v>6197</v>
      </c>
      <c r="J787" s="45">
        <v>3</v>
      </c>
      <c r="K787" s="46" t="s">
        <v>9987</v>
      </c>
      <c r="L787" s="47" t="s">
        <v>63</v>
      </c>
      <c r="M787" s="73" t="s">
        <v>42</v>
      </c>
      <c r="N787" s="77" t="s">
        <v>6198</v>
      </c>
      <c r="O787" s="49" t="s">
        <v>6199</v>
      </c>
      <c r="P787" s="49" t="s">
        <v>6200</v>
      </c>
      <c r="Q787" s="49" t="s">
        <v>6105</v>
      </c>
      <c r="R787" s="92">
        <v>172</v>
      </c>
      <c r="S787" s="50">
        <v>689</v>
      </c>
      <c r="T787" s="51" t="s">
        <v>141</v>
      </c>
      <c r="U787" s="51">
        <v>25</v>
      </c>
      <c r="V787" s="52">
        <f t="shared" si="20"/>
        <v>75</v>
      </c>
      <c r="W787" s="51" t="s">
        <v>221</v>
      </c>
      <c r="X787" s="202" t="s">
        <v>1189</v>
      </c>
      <c r="Y787" s="263" t="s">
        <v>144</v>
      </c>
      <c r="Z787" s="169" t="s">
        <v>6201</v>
      </c>
      <c r="AA787" s="170" t="s">
        <v>6092</v>
      </c>
      <c r="AB787" s="243" t="s">
        <v>112</v>
      </c>
      <c r="AC787" s="172">
        <f>2358+1190</f>
        <v>3548</v>
      </c>
      <c r="AE787" s="222" t="s">
        <v>5524</v>
      </c>
      <c r="AF787" s="138" t="s">
        <v>5394</v>
      </c>
      <c r="AG787" s="138" t="s">
        <v>56</v>
      </c>
      <c r="AH787" s="138" t="s">
        <v>56</v>
      </c>
      <c r="AI787" s="138" t="s">
        <v>56</v>
      </c>
      <c r="AJ787" s="138"/>
      <c r="AK787" s="138"/>
      <c r="AL787" s="222"/>
    </row>
    <row r="788" spans="1:39" ht="345" x14ac:dyDescent="0.25">
      <c r="A788" s="14">
        <v>45804</v>
      </c>
      <c r="B788" s="41" t="s">
        <v>6202</v>
      </c>
      <c r="C788" s="164" t="s">
        <v>6203</v>
      </c>
      <c r="D788" s="273" t="s">
        <v>6204</v>
      </c>
      <c r="E788" s="42" t="s">
        <v>39</v>
      </c>
      <c r="F788" s="19">
        <v>1</v>
      </c>
      <c r="G788" s="365"/>
      <c r="H788" s="365"/>
      <c r="I788" s="245" t="s">
        <v>6205</v>
      </c>
      <c r="J788" s="45">
        <v>3</v>
      </c>
      <c r="K788" s="46" t="s">
        <v>9960</v>
      </c>
      <c r="L788" s="47" t="s">
        <v>63</v>
      </c>
      <c r="M788" s="42" t="s">
        <v>42</v>
      </c>
      <c r="N788" s="152" t="s">
        <v>6206</v>
      </c>
      <c r="O788" s="49" t="s">
        <v>6207</v>
      </c>
      <c r="P788" s="49" t="s">
        <v>6208</v>
      </c>
      <c r="Q788" s="49" t="s">
        <v>6209</v>
      </c>
      <c r="R788" s="50">
        <v>76</v>
      </c>
      <c r="S788" s="50">
        <v>882</v>
      </c>
      <c r="T788" s="51" t="s">
        <v>47</v>
      </c>
      <c r="U788" s="51">
        <v>5</v>
      </c>
      <c r="V788" s="52">
        <f t="shared" si="20"/>
        <v>15</v>
      </c>
      <c r="W788" s="51" t="s">
        <v>221</v>
      </c>
      <c r="X788" s="202" t="s">
        <v>1189</v>
      </c>
      <c r="Y788" s="360" t="s">
        <v>144</v>
      </c>
      <c r="Z788" s="169"/>
      <c r="AA788" s="170" t="s">
        <v>6210</v>
      </c>
      <c r="AB788" s="243" t="s">
        <v>112</v>
      </c>
      <c r="AC788" s="172">
        <f>2670+1190</f>
        <v>3860</v>
      </c>
      <c r="AE788" s="222" t="s">
        <v>5524</v>
      </c>
      <c r="AF788" s="138"/>
      <c r="AG788" s="138" t="s">
        <v>56</v>
      </c>
      <c r="AH788" s="138" t="s">
        <v>56</v>
      </c>
      <c r="AI788" s="138" t="s">
        <v>56</v>
      </c>
      <c r="AJ788" s="138"/>
      <c r="AK788" s="138"/>
      <c r="AL788" s="222"/>
    </row>
    <row r="789" spans="1:39" s="200" customFormat="1" ht="80.25" customHeight="1" x14ac:dyDescent="0.25">
      <c r="A789" s="14">
        <v>45800</v>
      </c>
      <c r="B789" s="82" t="s">
        <v>6211</v>
      </c>
      <c r="C789" s="82" t="s">
        <v>6212</v>
      </c>
      <c r="D789" s="82" t="s">
        <v>6213</v>
      </c>
      <c r="E789" s="51" t="s">
        <v>39</v>
      </c>
      <c r="F789" s="19">
        <v>1</v>
      </c>
      <c r="G789" s="108"/>
      <c r="H789" s="108"/>
      <c r="I789" s="245" t="s">
        <v>6214</v>
      </c>
      <c r="J789" s="110">
        <v>200</v>
      </c>
      <c r="K789" s="111" t="s">
        <v>6215</v>
      </c>
      <c r="L789" s="47" t="s">
        <v>63</v>
      </c>
      <c r="M789" s="47" t="s">
        <v>42</v>
      </c>
      <c r="N789" s="468" t="s">
        <v>6216</v>
      </c>
      <c r="O789" s="49" t="s">
        <v>5832</v>
      </c>
      <c r="P789" s="49" t="s">
        <v>6217</v>
      </c>
      <c r="Q789" s="49" t="s">
        <v>6218</v>
      </c>
      <c r="R789" s="50">
        <v>1</v>
      </c>
      <c r="S789" s="50">
        <v>8</v>
      </c>
      <c r="T789" s="51" t="s">
        <v>47</v>
      </c>
      <c r="U789" s="51">
        <v>1</v>
      </c>
      <c r="V789" s="52">
        <f t="shared" si="20"/>
        <v>200</v>
      </c>
      <c r="W789" s="51" t="s">
        <v>142</v>
      </c>
      <c r="X789" s="198" t="s">
        <v>6219</v>
      </c>
      <c r="Y789" s="199" t="s">
        <v>3963</v>
      </c>
      <c r="Z789" s="169"/>
      <c r="AA789" s="170" t="s">
        <v>6220</v>
      </c>
      <c r="AB789" s="243" t="s">
        <v>5986</v>
      </c>
      <c r="AC789" s="322">
        <f>(3375 * J789/220)</f>
        <v>3068.181818181818</v>
      </c>
      <c r="AD789" s="307"/>
      <c r="AE789" s="138" t="s">
        <v>4867</v>
      </c>
      <c r="AF789" s="138"/>
      <c r="AG789" s="138" t="s">
        <v>56</v>
      </c>
      <c r="AH789" s="138" t="s">
        <v>56</v>
      </c>
      <c r="AI789" s="138"/>
      <c r="AJ789" s="138"/>
      <c r="AK789" s="138"/>
      <c r="AL789" s="222"/>
    </row>
    <row r="790" spans="1:39" s="200" customFormat="1" ht="90" x14ac:dyDescent="0.25">
      <c r="A790" s="14">
        <v>45800</v>
      </c>
      <c r="B790" s="469" t="s">
        <v>6221</v>
      </c>
      <c r="C790" s="469" t="s">
        <v>6222</v>
      </c>
      <c r="D790" s="469" t="s">
        <v>6223</v>
      </c>
      <c r="E790" s="470" t="s">
        <v>39</v>
      </c>
      <c r="F790" s="471"/>
      <c r="G790" s="471"/>
      <c r="H790" s="19">
        <v>1</v>
      </c>
      <c r="I790" s="245" t="s">
        <v>6224</v>
      </c>
      <c r="J790" s="472">
        <v>1</v>
      </c>
      <c r="K790" s="46" t="s">
        <v>6225</v>
      </c>
      <c r="L790" s="47" t="s">
        <v>63</v>
      </c>
      <c r="M790" s="151" t="s">
        <v>42</v>
      </c>
      <c r="N790" s="473" t="s">
        <v>6226</v>
      </c>
      <c r="O790" s="474"/>
      <c r="P790" s="474" t="s">
        <v>6227</v>
      </c>
      <c r="Q790" s="474" t="s">
        <v>6228</v>
      </c>
      <c r="R790" s="50">
        <v>8</v>
      </c>
      <c r="S790" s="92">
        <v>2496</v>
      </c>
      <c r="T790" s="236" t="s">
        <v>96</v>
      </c>
      <c r="U790" s="236">
        <v>8</v>
      </c>
      <c r="V790" s="475">
        <f t="shared" si="20"/>
        <v>8</v>
      </c>
      <c r="W790" s="236" t="s">
        <v>5622</v>
      </c>
      <c r="X790" s="476" t="s">
        <v>6229</v>
      </c>
      <c r="Y790" s="477" t="s">
        <v>5907</v>
      </c>
      <c r="Z790" s="269"/>
      <c r="AA790" s="240" t="s">
        <v>83</v>
      </c>
      <c r="AB790" s="478" t="s">
        <v>5836</v>
      </c>
      <c r="AC790" s="479">
        <v>7104</v>
      </c>
      <c r="AE790" s="138" t="s">
        <v>4867</v>
      </c>
      <c r="AF790" s="138" t="s">
        <v>5394</v>
      </c>
      <c r="AG790" s="138" t="s">
        <v>56</v>
      </c>
      <c r="AH790" s="138" t="s">
        <v>86</v>
      </c>
      <c r="AI790" s="138"/>
      <c r="AJ790" s="138"/>
      <c r="AK790" s="138"/>
      <c r="AL790" s="222"/>
    </row>
    <row r="791" spans="1:39" s="200" customFormat="1" ht="48.75" customHeight="1" x14ac:dyDescent="0.25">
      <c r="A791" s="14">
        <v>45799</v>
      </c>
      <c r="B791" s="164" t="s">
        <v>6230</v>
      </c>
      <c r="C791" s="41" t="s">
        <v>6231</v>
      </c>
      <c r="D791" s="41" t="s">
        <v>6232</v>
      </c>
      <c r="E791" s="42" t="s">
        <v>39</v>
      </c>
      <c r="F791" s="43"/>
      <c r="G791" s="43"/>
      <c r="H791" s="19">
        <v>2</v>
      </c>
      <c r="I791" s="245" t="s">
        <v>6233</v>
      </c>
      <c r="J791" s="45">
        <v>20</v>
      </c>
      <c r="K791" s="46" t="s">
        <v>6234</v>
      </c>
      <c r="L791" s="47" t="s">
        <v>63</v>
      </c>
      <c r="M791" s="73" t="s">
        <v>42</v>
      </c>
      <c r="N791" s="77" t="s">
        <v>4132</v>
      </c>
      <c r="O791" s="49" t="s">
        <v>6235</v>
      </c>
      <c r="P791" s="49" t="s">
        <v>6236</v>
      </c>
      <c r="Q791" s="49" t="s">
        <v>6191</v>
      </c>
      <c r="R791" s="92">
        <v>141</v>
      </c>
      <c r="S791" s="50">
        <v>384</v>
      </c>
      <c r="T791" s="51" t="s">
        <v>180</v>
      </c>
      <c r="U791" s="51">
        <v>1</v>
      </c>
      <c r="V791" s="52">
        <f t="shared" si="20"/>
        <v>20</v>
      </c>
      <c r="W791" s="51" t="s">
        <v>350</v>
      </c>
      <c r="X791" s="198" t="s">
        <v>69</v>
      </c>
      <c r="Y791" s="199" t="s">
        <v>70</v>
      </c>
      <c r="Z791" s="269"/>
      <c r="AA791" s="170" t="s">
        <v>6237</v>
      </c>
      <c r="AB791" s="243" t="s">
        <v>6238</v>
      </c>
      <c r="AC791" s="172">
        <v>4377.6000000000004</v>
      </c>
      <c r="AE791" s="138" t="s">
        <v>4867</v>
      </c>
      <c r="AF791" s="138" t="s">
        <v>5394</v>
      </c>
      <c r="AG791" s="138" t="s">
        <v>56</v>
      </c>
      <c r="AH791" s="138" t="s">
        <v>86</v>
      </c>
      <c r="AI791" s="138"/>
      <c r="AJ791" s="138" t="s">
        <v>6239</v>
      </c>
      <c r="AK791" s="138" t="s">
        <v>6240</v>
      </c>
      <c r="AL791" s="138"/>
    </row>
    <row r="792" spans="1:39" s="200" customFormat="1" ht="195" x14ac:dyDescent="0.25">
      <c r="A792" s="14">
        <v>45798</v>
      </c>
      <c r="B792" s="41" t="s">
        <v>6241</v>
      </c>
      <c r="C792" s="41" t="s">
        <v>6242</v>
      </c>
      <c r="D792" s="41" t="s">
        <v>6243</v>
      </c>
      <c r="E792" s="42" t="s">
        <v>39</v>
      </c>
      <c r="F792" s="43"/>
      <c r="G792" s="43"/>
      <c r="H792" s="19">
        <v>1</v>
      </c>
      <c r="I792" s="245" t="s">
        <v>6244</v>
      </c>
      <c r="J792" s="45">
        <v>45</v>
      </c>
      <c r="K792" s="46" t="s">
        <v>9961</v>
      </c>
      <c r="L792" s="47" t="s">
        <v>63</v>
      </c>
      <c r="M792" s="73" t="s">
        <v>42</v>
      </c>
      <c r="N792" s="77" t="s">
        <v>6245</v>
      </c>
      <c r="O792" s="49"/>
      <c r="P792" s="49" t="s">
        <v>6246</v>
      </c>
      <c r="Q792" s="49" t="s">
        <v>6247</v>
      </c>
      <c r="R792" s="50">
        <v>88</v>
      </c>
      <c r="S792" s="50">
        <v>350</v>
      </c>
      <c r="T792" s="51" t="s">
        <v>67</v>
      </c>
      <c r="U792" s="51">
        <v>0</v>
      </c>
      <c r="V792" s="52">
        <f t="shared" si="20"/>
        <v>0</v>
      </c>
      <c r="W792" s="51" t="s">
        <v>510</v>
      </c>
      <c r="X792" s="198" t="s">
        <v>6248</v>
      </c>
      <c r="Y792" s="199" t="s">
        <v>82</v>
      </c>
      <c r="Z792" s="169" t="s">
        <v>6249</v>
      </c>
      <c r="AA792" s="170" t="s">
        <v>6122</v>
      </c>
      <c r="AB792" s="243" t="s">
        <v>5836</v>
      </c>
      <c r="AC792" s="35">
        <f>17704.2*(J792/95)</f>
        <v>8386.2000000000007</v>
      </c>
      <c r="AE792" s="138" t="s">
        <v>4867</v>
      </c>
      <c r="AF792" s="138" t="s">
        <v>5394</v>
      </c>
      <c r="AG792" s="138" t="s">
        <v>56</v>
      </c>
      <c r="AH792" s="138" t="s">
        <v>56</v>
      </c>
      <c r="AI792" s="138"/>
      <c r="AJ792" s="255" t="s">
        <v>6250</v>
      </c>
      <c r="AK792" s="137" t="s">
        <v>6124</v>
      </c>
      <c r="AL792" s="222"/>
    </row>
    <row r="793" spans="1:39" s="200" customFormat="1" ht="151.5" customHeight="1" x14ac:dyDescent="0.25">
      <c r="A793" s="14">
        <v>45798</v>
      </c>
      <c r="B793" s="41" t="s">
        <v>6251</v>
      </c>
      <c r="C793" s="41" t="s">
        <v>6252</v>
      </c>
      <c r="D793" s="41" t="s">
        <v>6243</v>
      </c>
      <c r="E793" s="42" t="s">
        <v>39</v>
      </c>
      <c r="F793" s="43"/>
      <c r="G793" s="43"/>
      <c r="H793" s="19" t="s">
        <v>1877</v>
      </c>
      <c r="I793" s="245" t="s">
        <v>6253</v>
      </c>
      <c r="J793" s="45">
        <v>50</v>
      </c>
      <c r="K793" s="46" t="s">
        <v>6254</v>
      </c>
      <c r="L793" s="47" t="s">
        <v>63</v>
      </c>
      <c r="M793" s="73" t="s">
        <v>42</v>
      </c>
      <c r="N793" s="77" t="s">
        <v>6255</v>
      </c>
      <c r="O793" s="49"/>
      <c r="P793" s="49" t="s">
        <v>6256</v>
      </c>
      <c r="Q793" s="49" t="s">
        <v>6257</v>
      </c>
      <c r="R793" s="50">
        <v>88</v>
      </c>
      <c r="S793" s="50">
        <v>350</v>
      </c>
      <c r="T793" s="51" t="s">
        <v>67</v>
      </c>
      <c r="U793" s="51">
        <v>0</v>
      </c>
      <c r="V793" s="52">
        <f t="shared" si="20"/>
        <v>0</v>
      </c>
      <c r="W793" s="51" t="s">
        <v>510</v>
      </c>
      <c r="X793" s="198" t="s">
        <v>6248</v>
      </c>
      <c r="Y793" s="199" t="s">
        <v>82</v>
      </c>
      <c r="Z793" s="169"/>
      <c r="AA793" s="170" t="s">
        <v>6122</v>
      </c>
      <c r="AB793" s="243" t="s">
        <v>5836</v>
      </c>
      <c r="AC793" s="35">
        <f>17704.2*(J793/95)</f>
        <v>9318</v>
      </c>
      <c r="AE793" s="138" t="s">
        <v>6258</v>
      </c>
      <c r="AF793" s="138" t="s">
        <v>5394</v>
      </c>
      <c r="AG793" s="138" t="s">
        <v>56</v>
      </c>
      <c r="AH793" s="138" t="s">
        <v>56</v>
      </c>
      <c r="AI793" s="138"/>
      <c r="AJ793" s="255" t="s">
        <v>6250</v>
      </c>
      <c r="AK793" s="137" t="s">
        <v>6124</v>
      </c>
      <c r="AL793" s="222"/>
    </row>
    <row r="794" spans="1:39" s="200" customFormat="1" ht="80.25" customHeight="1" x14ac:dyDescent="0.25">
      <c r="A794" s="14">
        <v>45798</v>
      </c>
      <c r="B794" s="54" t="s">
        <v>6211</v>
      </c>
      <c r="C794" s="54" t="s">
        <v>6212</v>
      </c>
      <c r="D794" s="54" t="s">
        <v>6259</v>
      </c>
      <c r="E794" s="56" t="s">
        <v>39</v>
      </c>
      <c r="F794" s="19">
        <v>1</v>
      </c>
      <c r="G794" s="57"/>
      <c r="H794" s="57"/>
      <c r="I794" s="245" t="s">
        <v>6260</v>
      </c>
      <c r="J794" s="59">
        <v>20</v>
      </c>
      <c r="K794" s="60" t="s">
        <v>6261</v>
      </c>
      <c r="L794" s="79" t="s">
        <v>63</v>
      </c>
      <c r="M794" s="79" t="s">
        <v>42</v>
      </c>
      <c r="N794" s="480" t="s">
        <v>6262</v>
      </c>
      <c r="O794" s="62" t="s">
        <v>5832</v>
      </c>
      <c r="P794" s="62" t="s">
        <v>6217</v>
      </c>
      <c r="Q794" s="62" t="s">
        <v>6263</v>
      </c>
      <c r="R794" s="61">
        <v>1</v>
      </c>
      <c r="S794" s="61">
        <v>8</v>
      </c>
      <c r="T794" s="56" t="s">
        <v>47</v>
      </c>
      <c r="U794" s="56">
        <v>1</v>
      </c>
      <c r="V794" s="63">
        <f t="shared" si="20"/>
        <v>20</v>
      </c>
      <c r="W794" s="56" t="s">
        <v>142</v>
      </c>
      <c r="X794" s="198" t="s">
        <v>6219</v>
      </c>
      <c r="Y794" s="199" t="s">
        <v>3963</v>
      </c>
      <c r="Z794" s="169" t="s">
        <v>6264</v>
      </c>
      <c r="AA794" s="170" t="s">
        <v>6220</v>
      </c>
      <c r="AB794" s="243" t="s">
        <v>5986</v>
      </c>
      <c r="AC794" s="322">
        <f>900 + (3375 * J794/220)</f>
        <v>1206.8181818181818</v>
      </c>
      <c r="AD794" s="307"/>
      <c r="AE794" s="138" t="s">
        <v>4867</v>
      </c>
      <c r="AF794" s="138"/>
      <c r="AG794" s="138" t="s">
        <v>56</v>
      </c>
      <c r="AH794" s="138" t="s">
        <v>56</v>
      </c>
      <c r="AI794" s="138"/>
      <c r="AJ794" s="138"/>
      <c r="AK794" s="138"/>
      <c r="AL794" s="222"/>
    </row>
    <row r="795" spans="1:39" s="200" customFormat="1" ht="105" x14ac:dyDescent="0.25">
      <c r="A795" s="14">
        <v>45798</v>
      </c>
      <c r="B795" s="54" t="s">
        <v>6265</v>
      </c>
      <c r="C795" s="54" t="s">
        <v>6266</v>
      </c>
      <c r="D795" s="54" t="s">
        <v>6267</v>
      </c>
      <c r="E795" s="56" t="s">
        <v>39</v>
      </c>
      <c r="F795" s="19">
        <v>1</v>
      </c>
      <c r="G795" s="57"/>
      <c r="H795" s="57"/>
      <c r="I795" s="245" t="s">
        <v>6268</v>
      </c>
      <c r="J795" s="59">
        <v>150</v>
      </c>
      <c r="K795" s="117" t="s">
        <v>6261</v>
      </c>
      <c r="L795" s="79" t="s">
        <v>63</v>
      </c>
      <c r="M795" s="79" t="s">
        <v>42</v>
      </c>
      <c r="N795" s="80" t="s">
        <v>5381</v>
      </c>
      <c r="O795" s="62"/>
      <c r="P795" s="62" t="s">
        <v>5985</v>
      </c>
      <c r="Q795" s="62" t="s">
        <v>6022</v>
      </c>
      <c r="R795" s="61">
        <v>1</v>
      </c>
      <c r="S795" s="61">
        <v>2</v>
      </c>
      <c r="T795" s="56" t="s">
        <v>96</v>
      </c>
      <c r="U795" s="56">
        <v>0</v>
      </c>
      <c r="V795" s="63">
        <f t="shared" si="20"/>
        <v>0</v>
      </c>
      <c r="W795" s="56" t="s">
        <v>350</v>
      </c>
      <c r="X795" s="198" t="s">
        <v>5521</v>
      </c>
      <c r="Y795" s="199" t="s">
        <v>3963</v>
      </c>
      <c r="Z795" s="169" t="s">
        <v>6269</v>
      </c>
      <c r="AA795" s="170" t="s">
        <v>6270</v>
      </c>
      <c r="AB795" s="243" t="s">
        <v>5959</v>
      </c>
      <c r="AC795" s="172">
        <v>4430</v>
      </c>
      <c r="AE795" s="222" t="s">
        <v>5524</v>
      </c>
      <c r="AF795" s="138"/>
      <c r="AG795" s="138" t="s">
        <v>56</v>
      </c>
      <c r="AH795" s="138" t="s">
        <v>56</v>
      </c>
      <c r="AI795" s="138"/>
      <c r="AJ795" s="138"/>
      <c r="AK795" s="138"/>
      <c r="AL795" s="138"/>
    </row>
    <row r="796" spans="1:39" ht="63.75" customHeight="1" x14ac:dyDescent="0.25">
      <c r="A796" s="14">
        <v>45798</v>
      </c>
      <c r="B796" s="41" t="s">
        <v>6271</v>
      </c>
      <c r="C796" s="41" t="s">
        <v>6272</v>
      </c>
      <c r="D796" s="41" t="s">
        <v>6273</v>
      </c>
      <c r="E796" s="42" t="s">
        <v>39</v>
      </c>
      <c r="F796" s="19">
        <v>1</v>
      </c>
      <c r="G796" s="43"/>
      <c r="H796" s="43"/>
      <c r="I796" s="245" t="s">
        <v>6274</v>
      </c>
      <c r="J796" s="45">
        <v>30</v>
      </c>
      <c r="K796" s="46" t="s">
        <v>6275</v>
      </c>
      <c r="L796" s="47" t="s">
        <v>63</v>
      </c>
      <c r="M796" s="151" t="s">
        <v>42</v>
      </c>
      <c r="N796" s="77" t="s">
        <v>6276</v>
      </c>
      <c r="O796" s="49" t="s">
        <v>6277</v>
      </c>
      <c r="P796" s="49" t="s">
        <v>6278</v>
      </c>
      <c r="Q796" s="49" t="s">
        <v>6279</v>
      </c>
      <c r="R796" s="50">
        <v>48</v>
      </c>
      <c r="S796" s="50">
        <v>153</v>
      </c>
      <c r="T796" s="51" t="s">
        <v>47</v>
      </c>
      <c r="U796" s="51">
        <v>31</v>
      </c>
      <c r="V796" s="75">
        <f t="shared" si="20"/>
        <v>930</v>
      </c>
      <c r="W796" s="51" t="s">
        <v>350</v>
      </c>
      <c r="X796" s="198" t="s">
        <v>6280</v>
      </c>
      <c r="Y796" s="168" t="s">
        <v>50</v>
      </c>
      <c r="Z796" s="169"/>
      <c r="AA796" s="170" t="s">
        <v>5948</v>
      </c>
      <c r="AB796" s="243" t="s">
        <v>6281</v>
      </c>
      <c r="AC796" s="172">
        <v>4916.5</v>
      </c>
      <c r="AE796" s="138" t="s">
        <v>5524</v>
      </c>
      <c r="AF796" s="138"/>
      <c r="AG796" s="138" t="s">
        <v>56</v>
      </c>
      <c r="AH796" s="138" t="s">
        <v>56</v>
      </c>
      <c r="AI796" s="138"/>
      <c r="AJ796" s="138"/>
      <c r="AK796" s="137"/>
      <c r="AL796" s="222"/>
    </row>
    <row r="797" spans="1:39" ht="138.75" customHeight="1" x14ac:dyDescent="0.25">
      <c r="A797" s="14">
        <v>45797</v>
      </c>
      <c r="B797" s="41" t="s">
        <v>5812</v>
      </c>
      <c r="C797" s="41" t="s">
        <v>6282</v>
      </c>
      <c r="D797" s="41"/>
      <c r="E797" s="42" t="s">
        <v>39</v>
      </c>
      <c r="F797" s="19">
        <v>2</v>
      </c>
      <c r="G797" s="43"/>
      <c r="H797" s="43"/>
      <c r="I797" s="245" t="s">
        <v>6283</v>
      </c>
      <c r="J797" s="45">
        <v>20</v>
      </c>
      <c r="K797" s="46" t="s">
        <v>6284</v>
      </c>
      <c r="L797" s="47" t="s">
        <v>63</v>
      </c>
      <c r="M797" s="430" t="s">
        <v>42</v>
      </c>
      <c r="N797" s="77" t="s">
        <v>6285</v>
      </c>
      <c r="O797" s="49" t="s">
        <v>6286</v>
      </c>
      <c r="P797" s="49"/>
      <c r="Q797" s="49" t="s">
        <v>6287</v>
      </c>
      <c r="R797" s="50">
        <v>20</v>
      </c>
      <c r="S797" s="50">
        <v>183</v>
      </c>
      <c r="T797" s="51" t="s">
        <v>158</v>
      </c>
      <c r="U797" s="51">
        <v>30</v>
      </c>
      <c r="V797" s="52">
        <f t="shared" si="20"/>
        <v>600</v>
      </c>
      <c r="W797" s="51" t="s">
        <v>350</v>
      </c>
      <c r="X797" s="198" t="s">
        <v>2816</v>
      </c>
      <c r="Y797" s="168" t="s">
        <v>50</v>
      </c>
      <c r="Z797" s="169"/>
      <c r="AA797" s="170" t="s">
        <v>5737</v>
      </c>
      <c r="AB797" s="243" t="s">
        <v>6015</v>
      </c>
      <c r="AC797" s="172">
        <v>3605.6</v>
      </c>
      <c r="AE797" s="138" t="s">
        <v>4867</v>
      </c>
      <c r="AF797" s="222"/>
      <c r="AG797" s="222" t="s">
        <v>56</v>
      </c>
      <c r="AH797" s="222" t="s">
        <v>86</v>
      </c>
      <c r="AI797" s="222"/>
      <c r="AJ797" s="222" t="s">
        <v>6288</v>
      </c>
      <c r="AK797" s="460" t="s">
        <v>1076</v>
      </c>
      <c r="AL797" s="222"/>
    </row>
    <row r="798" spans="1:39" s="481" customFormat="1" ht="79.5" customHeight="1" x14ac:dyDescent="0.25">
      <c r="A798" s="14">
        <v>45797</v>
      </c>
      <c r="B798" s="41" t="s">
        <v>6289</v>
      </c>
      <c r="C798" s="41" t="s">
        <v>6290</v>
      </c>
      <c r="D798" s="41" t="s">
        <v>6291</v>
      </c>
      <c r="E798" s="42" t="s">
        <v>39</v>
      </c>
      <c r="F798" s="43"/>
      <c r="G798" s="43"/>
      <c r="H798" s="19">
        <v>1</v>
      </c>
      <c r="I798" s="245" t="s">
        <v>6292</v>
      </c>
      <c r="J798" s="45">
        <v>100</v>
      </c>
      <c r="K798" s="46" t="s">
        <v>6275</v>
      </c>
      <c r="L798" s="47" t="s">
        <v>63</v>
      </c>
      <c r="M798" s="47" t="s">
        <v>55</v>
      </c>
      <c r="N798" s="77" t="s">
        <v>6293</v>
      </c>
      <c r="O798" s="49" t="s">
        <v>6278</v>
      </c>
      <c r="P798" s="49" t="s">
        <v>6294</v>
      </c>
      <c r="Q798" s="49" t="s">
        <v>6295</v>
      </c>
      <c r="R798" s="50">
        <v>29</v>
      </c>
      <c r="S798" s="50">
        <v>108</v>
      </c>
      <c r="T798" s="51" t="s">
        <v>47</v>
      </c>
      <c r="U798" s="51">
        <v>6</v>
      </c>
      <c r="V798" s="52">
        <f t="shared" si="20"/>
        <v>600</v>
      </c>
      <c r="W798" s="51" t="s">
        <v>142</v>
      </c>
      <c r="X798" s="198" t="s">
        <v>6042</v>
      </c>
      <c r="Y798" s="168" t="s">
        <v>82</v>
      </c>
      <c r="Z798" s="297" t="s">
        <v>6296</v>
      </c>
      <c r="AA798" s="170" t="s">
        <v>5709</v>
      </c>
      <c r="AB798" s="243" t="s">
        <v>6057</v>
      </c>
      <c r="AC798" s="172">
        <v>4017</v>
      </c>
      <c r="AD798"/>
      <c r="AE798" s="138" t="s">
        <v>4867</v>
      </c>
      <c r="AF798" s="138"/>
      <c r="AG798" s="138" t="s">
        <v>56</v>
      </c>
      <c r="AH798" s="138" t="s">
        <v>56</v>
      </c>
      <c r="AI798" s="138"/>
      <c r="AJ798" s="138"/>
      <c r="AK798" s="138"/>
      <c r="AL798" s="138"/>
      <c r="AM798"/>
    </row>
    <row r="799" spans="1:39" s="200" customFormat="1" ht="53.25" customHeight="1" x14ac:dyDescent="0.25">
      <c r="A799" s="14">
        <v>45797</v>
      </c>
      <c r="B799" s="41" t="s">
        <v>6297</v>
      </c>
      <c r="C799" s="41" t="s">
        <v>6298</v>
      </c>
      <c r="D799" s="41" t="s">
        <v>6299</v>
      </c>
      <c r="E799" s="42"/>
      <c r="F799" s="19">
        <v>1</v>
      </c>
      <c r="G799" s="43"/>
      <c r="H799" s="43"/>
      <c r="I799" s="245" t="s">
        <v>6300</v>
      </c>
      <c r="J799" s="45">
        <v>200</v>
      </c>
      <c r="K799" s="46" t="s">
        <v>6234</v>
      </c>
      <c r="L799" s="47" t="s">
        <v>63</v>
      </c>
      <c r="M799" s="430" t="s">
        <v>42</v>
      </c>
      <c r="N799" s="77" t="s">
        <v>6301</v>
      </c>
      <c r="O799" s="49" t="s">
        <v>6302</v>
      </c>
      <c r="P799" s="49" t="s">
        <v>6303</v>
      </c>
      <c r="Q799" s="49" t="s">
        <v>6304</v>
      </c>
      <c r="R799" s="50">
        <v>23</v>
      </c>
      <c r="S799" s="50">
        <v>34</v>
      </c>
      <c r="T799" s="51" t="s">
        <v>47</v>
      </c>
      <c r="U799" s="51">
        <v>3</v>
      </c>
      <c r="V799" s="52">
        <f t="shared" si="20"/>
        <v>600</v>
      </c>
      <c r="W799" s="51" t="s">
        <v>350</v>
      </c>
      <c r="X799" s="198" t="s">
        <v>2214</v>
      </c>
      <c r="Y799" s="199" t="s">
        <v>472</v>
      </c>
      <c r="Z799" s="269"/>
      <c r="AA799" s="170" t="s">
        <v>6026</v>
      </c>
      <c r="AB799" s="243" t="s">
        <v>6156</v>
      </c>
      <c r="AC799" s="172">
        <v>3878</v>
      </c>
      <c r="AE799" s="222" t="s">
        <v>5524</v>
      </c>
      <c r="AF799" s="138"/>
      <c r="AG799" s="138" t="s">
        <v>56</v>
      </c>
      <c r="AH799" s="138" t="s">
        <v>56</v>
      </c>
      <c r="AI799" s="138"/>
      <c r="AJ799" s="138" t="s">
        <v>56</v>
      </c>
      <c r="AK799" s="138" t="s">
        <v>997</v>
      </c>
      <c r="AL799" s="138"/>
    </row>
    <row r="800" spans="1:39" s="307" customFormat="1" ht="270" x14ac:dyDescent="0.25">
      <c r="A800" s="14">
        <v>45796</v>
      </c>
      <c r="B800" s="95" t="s">
        <v>6305</v>
      </c>
      <c r="C800" s="95" t="s">
        <v>6306</v>
      </c>
      <c r="D800" s="174" t="s">
        <v>6307</v>
      </c>
      <c r="E800" s="96" t="s">
        <v>39</v>
      </c>
      <c r="F800" s="19">
        <v>1</v>
      </c>
      <c r="G800" s="97"/>
      <c r="H800" s="97"/>
      <c r="I800" s="245" t="s">
        <v>6308</v>
      </c>
      <c r="J800" s="98">
        <v>75</v>
      </c>
      <c r="K800" s="482" t="s">
        <v>6309</v>
      </c>
      <c r="L800" s="100" t="s">
        <v>63</v>
      </c>
      <c r="M800" s="100" t="s">
        <v>42</v>
      </c>
      <c r="N800" s="101" t="s">
        <v>6310</v>
      </c>
      <c r="O800" s="102" t="s">
        <v>6311</v>
      </c>
      <c r="P800" s="102" t="s">
        <v>6312</v>
      </c>
      <c r="Q800" s="102" t="s">
        <v>6313</v>
      </c>
      <c r="R800" s="103">
        <v>29</v>
      </c>
      <c r="S800" s="103">
        <v>128</v>
      </c>
      <c r="T800" s="96" t="s">
        <v>47</v>
      </c>
      <c r="U800" s="96">
        <v>0</v>
      </c>
      <c r="V800" s="104">
        <f t="shared" si="20"/>
        <v>0</v>
      </c>
      <c r="W800" s="96" t="s">
        <v>350</v>
      </c>
      <c r="X800" s="198" t="s">
        <v>6314</v>
      </c>
      <c r="Y800" s="199"/>
      <c r="Z800" s="169"/>
      <c r="AA800" s="170" t="s">
        <v>6220</v>
      </c>
      <c r="AB800" s="243" t="s">
        <v>5986</v>
      </c>
      <c r="AC800" s="172">
        <v>5842</v>
      </c>
      <c r="AE800" s="138" t="s">
        <v>4867</v>
      </c>
      <c r="AF800" s="138" t="s">
        <v>5394</v>
      </c>
      <c r="AG800" s="138" t="s">
        <v>56</v>
      </c>
      <c r="AH800" s="138" t="s">
        <v>56</v>
      </c>
      <c r="AI800" s="138"/>
      <c r="AJ800" s="138"/>
      <c r="AK800" s="138"/>
      <c r="AL800" s="222"/>
    </row>
    <row r="801" spans="1:38" ht="60" x14ac:dyDescent="0.25">
      <c r="A801" s="14">
        <v>45796</v>
      </c>
      <c r="B801" s="483" t="s">
        <v>4588</v>
      </c>
      <c r="C801" s="483" t="s">
        <v>6315</v>
      </c>
      <c r="D801" s="483"/>
      <c r="E801" s="484" t="s">
        <v>39</v>
      </c>
      <c r="F801" s="19">
        <v>2</v>
      </c>
      <c r="G801" s="485"/>
      <c r="H801" s="485"/>
      <c r="I801" s="245" t="s">
        <v>6316</v>
      </c>
      <c r="J801" s="486">
        <v>30</v>
      </c>
      <c r="K801" s="487" t="s">
        <v>6317</v>
      </c>
      <c r="L801" s="488" t="s">
        <v>63</v>
      </c>
      <c r="M801" s="488" t="s">
        <v>55</v>
      </c>
      <c r="N801" s="489" t="s">
        <v>6318</v>
      </c>
      <c r="O801" s="490"/>
      <c r="P801" s="490" t="s">
        <v>6319</v>
      </c>
      <c r="Q801" s="490" t="s">
        <v>6120</v>
      </c>
      <c r="R801" s="491">
        <v>22</v>
      </c>
      <c r="S801" s="491">
        <v>75</v>
      </c>
      <c r="T801" s="484" t="s">
        <v>96</v>
      </c>
      <c r="U801" s="484">
        <v>7</v>
      </c>
      <c r="V801" s="492">
        <f t="shared" ref="V801:V808" si="21">U801*J801</f>
        <v>210</v>
      </c>
      <c r="W801" s="484" t="s">
        <v>350</v>
      </c>
      <c r="X801" s="198" t="s">
        <v>5521</v>
      </c>
      <c r="Y801" s="168" t="s">
        <v>324</v>
      </c>
      <c r="Z801" s="169"/>
      <c r="AA801" s="170" t="s">
        <v>83</v>
      </c>
      <c r="AB801" s="243" t="s">
        <v>6057</v>
      </c>
      <c r="AC801" s="172">
        <v>5418</v>
      </c>
      <c r="AE801" s="222" t="s">
        <v>5524</v>
      </c>
      <c r="AF801" s="138"/>
      <c r="AG801" s="138" t="s">
        <v>56</v>
      </c>
      <c r="AH801" s="138" t="s">
        <v>56</v>
      </c>
      <c r="AI801" s="138"/>
      <c r="AJ801" s="138"/>
      <c r="AK801" s="138"/>
      <c r="AL801" s="222"/>
    </row>
    <row r="802" spans="1:38" s="200" customFormat="1" ht="75" x14ac:dyDescent="0.25">
      <c r="A802" s="14">
        <v>45793</v>
      </c>
      <c r="B802" s="95" t="s">
        <v>4588</v>
      </c>
      <c r="C802" s="95" t="s">
        <v>6320</v>
      </c>
      <c r="D802" s="95" t="s">
        <v>6321</v>
      </c>
      <c r="E802" s="96" t="s">
        <v>39</v>
      </c>
      <c r="F802" s="97"/>
      <c r="G802" s="97"/>
      <c r="H802" s="19">
        <v>1</v>
      </c>
      <c r="I802" s="245" t="s">
        <v>6322</v>
      </c>
      <c r="J802" s="98">
        <v>75</v>
      </c>
      <c r="K802" s="252" t="s">
        <v>6323</v>
      </c>
      <c r="L802" s="100" t="s">
        <v>63</v>
      </c>
      <c r="M802" s="100" t="s">
        <v>63</v>
      </c>
      <c r="N802" s="101" t="s">
        <v>6324</v>
      </c>
      <c r="O802" s="102"/>
      <c r="P802" s="102" t="s">
        <v>6325</v>
      </c>
      <c r="Q802" s="102" t="s">
        <v>6326</v>
      </c>
      <c r="R802" s="103">
        <v>40</v>
      </c>
      <c r="S802" s="103">
        <v>79</v>
      </c>
      <c r="T802" s="96" t="s">
        <v>96</v>
      </c>
      <c r="U802" s="96">
        <v>8</v>
      </c>
      <c r="V802" s="104">
        <f t="shared" si="21"/>
        <v>600</v>
      </c>
      <c r="W802" s="96" t="s">
        <v>350</v>
      </c>
      <c r="X802" s="198" t="s">
        <v>6327</v>
      </c>
      <c r="Y802" s="199" t="s">
        <v>324</v>
      </c>
      <c r="Z802" s="169"/>
      <c r="AA802" s="170" t="s">
        <v>6140</v>
      </c>
      <c r="AB802" s="243" t="s">
        <v>6015</v>
      </c>
      <c r="AC802" s="172">
        <v>5946.25</v>
      </c>
      <c r="AE802" s="138" t="s">
        <v>4867</v>
      </c>
      <c r="AF802" s="138"/>
      <c r="AG802" s="138" t="s">
        <v>56</v>
      </c>
      <c r="AH802" s="138" t="s">
        <v>56</v>
      </c>
      <c r="AI802" s="138" t="s">
        <v>6328</v>
      </c>
      <c r="AJ802" s="138"/>
      <c r="AK802" s="138"/>
      <c r="AL802" s="222"/>
    </row>
    <row r="803" spans="1:38" s="200" customFormat="1" ht="53.25" customHeight="1" x14ac:dyDescent="0.25">
      <c r="A803" s="14">
        <v>45792</v>
      </c>
      <c r="B803" s="41" t="s">
        <v>6329</v>
      </c>
      <c r="C803" s="41" t="s">
        <v>6330</v>
      </c>
      <c r="D803" s="41"/>
      <c r="E803" s="42" t="s">
        <v>39</v>
      </c>
      <c r="F803" s="43"/>
      <c r="G803" s="43"/>
      <c r="H803" s="19">
        <v>1</v>
      </c>
      <c r="I803" s="245" t="s">
        <v>6331</v>
      </c>
      <c r="J803" s="45">
        <v>10</v>
      </c>
      <c r="K803" s="46" t="s">
        <v>6332</v>
      </c>
      <c r="L803" s="47" t="s">
        <v>63</v>
      </c>
      <c r="M803" s="430" t="s">
        <v>42</v>
      </c>
      <c r="N803" s="77" t="s">
        <v>6333</v>
      </c>
      <c r="O803" s="49" t="s">
        <v>6334</v>
      </c>
      <c r="P803" s="49" t="s">
        <v>6335</v>
      </c>
      <c r="Q803" s="49" t="s">
        <v>6336</v>
      </c>
      <c r="R803" s="92">
        <v>150</v>
      </c>
      <c r="S803" s="50">
        <v>328</v>
      </c>
      <c r="T803" s="51" t="s">
        <v>180</v>
      </c>
      <c r="U803" s="51">
        <v>12</v>
      </c>
      <c r="V803" s="52">
        <f t="shared" si="21"/>
        <v>120</v>
      </c>
      <c r="W803" s="51" t="s">
        <v>510</v>
      </c>
      <c r="X803" s="202" t="s">
        <v>6337</v>
      </c>
      <c r="Y803" s="199" t="s">
        <v>82</v>
      </c>
      <c r="Z803" s="269"/>
      <c r="AA803" s="170" t="s">
        <v>6122</v>
      </c>
      <c r="AB803" s="243" t="s">
        <v>5667</v>
      </c>
      <c r="AC803" s="172">
        <v>8467.9</v>
      </c>
      <c r="AE803" s="222" t="s">
        <v>5524</v>
      </c>
      <c r="AF803" s="138"/>
      <c r="AG803" s="138" t="s">
        <v>56</v>
      </c>
      <c r="AH803" s="138" t="s">
        <v>86</v>
      </c>
      <c r="AI803" s="138"/>
      <c r="AJ803" s="138" t="s">
        <v>56</v>
      </c>
      <c r="AK803" s="137" t="s">
        <v>6338</v>
      </c>
      <c r="AL803" s="222"/>
    </row>
    <row r="804" spans="1:38" s="200" customFormat="1" ht="63.75" customHeight="1" x14ac:dyDescent="0.25">
      <c r="A804" s="14">
        <v>45792</v>
      </c>
      <c r="B804" s="95" t="s">
        <v>6339</v>
      </c>
      <c r="C804" s="95" t="s">
        <v>6187</v>
      </c>
      <c r="D804" s="95"/>
      <c r="E804" s="96" t="s">
        <v>39</v>
      </c>
      <c r="F804" s="19">
        <v>1</v>
      </c>
      <c r="G804" s="97"/>
      <c r="H804" s="97"/>
      <c r="I804" s="245" t="s">
        <v>6340</v>
      </c>
      <c r="J804" s="98">
        <v>10</v>
      </c>
      <c r="K804" s="99" t="s">
        <v>6341</v>
      </c>
      <c r="L804" s="100" t="s">
        <v>63</v>
      </c>
      <c r="M804" s="100" t="s">
        <v>42</v>
      </c>
      <c r="N804" s="101" t="s">
        <v>6342</v>
      </c>
      <c r="O804" s="102" t="s">
        <v>6343</v>
      </c>
      <c r="P804" s="102" t="s">
        <v>6344</v>
      </c>
      <c r="Q804" s="102" t="s">
        <v>6345</v>
      </c>
      <c r="R804" s="103">
        <v>143</v>
      </c>
      <c r="S804" s="103">
        <v>555</v>
      </c>
      <c r="T804" s="96" t="s">
        <v>180</v>
      </c>
      <c r="U804" s="96">
        <v>44</v>
      </c>
      <c r="V804" s="104">
        <f t="shared" si="21"/>
        <v>440</v>
      </c>
      <c r="W804" s="96" t="s">
        <v>142</v>
      </c>
      <c r="X804" s="198" t="s">
        <v>6346</v>
      </c>
      <c r="Y804" s="199" t="s">
        <v>82</v>
      </c>
      <c r="Z804" s="169"/>
      <c r="AA804" s="170" t="s">
        <v>83</v>
      </c>
      <c r="AB804" s="243" t="s">
        <v>6149</v>
      </c>
      <c r="AC804" s="172">
        <v>14859</v>
      </c>
      <c r="AE804" s="222" t="s">
        <v>5524</v>
      </c>
      <c r="AF804" s="222"/>
      <c r="AG804" s="222" t="s">
        <v>56</v>
      </c>
      <c r="AH804" s="222" t="s">
        <v>56</v>
      </c>
      <c r="AI804" s="222"/>
      <c r="AJ804" s="222"/>
      <c r="AK804" s="460"/>
      <c r="AL804" s="222"/>
    </row>
    <row r="805" spans="1:38" s="200" customFormat="1" ht="89.25" customHeight="1" x14ac:dyDescent="0.25">
      <c r="A805" s="14">
        <v>45792</v>
      </c>
      <c r="B805" s="41" t="s">
        <v>5812</v>
      </c>
      <c r="C805" s="41" t="s">
        <v>6347</v>
      </c>
      <c r="D805" s="41" t="s">
        <v>6348</v>
      </c>
      <c r="E805" s="42" t="s">
        <v>39</v>
      </c>
      <c r="F805" s="19">
        <v>1</v>
      </c>
      <c r="G805" s="43"/>
      <c r="H805" s="43"/>
      <c r="I805" s="245" t="s">
        <v>6349</v>
      </c>
      <c r="J805" s="45">
        <v>175</v>
      </c>
      <c r="K805" s="46" t="s">
        <v>6350</v>
      </c>
      <c r="L805" s="47" t="s">
        <v>63</v>
      </c>
      <c r="M805" s="42" t="s">
        <v>42</v>
      </c>
      <c r="N805" s="77" t="s">
        <v>6351</v>
      </c>
      <c r="O805" s="49" t="s">
        <v>6352</v>
      </c>
      <c r="P805" s="49" t="s">
        <v>6353</v>
      </c>
      <c r="Q805" s="49" t="s">
        <v>6354</v>
      </c>
      <c r="R805" s="50">
        <v>48</v>
      </c>
      <c r="S805" s="50">
        <v>226</v>
      </c>
      <c r="T805" s="51" t="s">
        <v>47</v>
      </c>
      <c r="U805" s="51">
        <v>4</v>
      </c>
      <c r="V805" s="75">
        <f t="shared" si="21"/>
        <v>700</v>
      </c>
      <c r="W805" s="51" t="s">
        <v>350</v>
      </c>
      <c r="X805" s="198" t="s">
        <v>6355</v>
      </c>
      <c r="Y805" s="199" t="s">
        <v>82</v>
      </c>
      <c r="Z805" s="169"/>
      <c r="AA805" s="170" t="s">
        <v>6356</v>
      </c>
      <c r="AB805" s="243" t="s">
        <v>6357</v>
      </c>
      <c r="AC805" s="35">
        <v>13541.5</v>
      </c>
      <c r="AE805" s="222" t="s">
        <v>5524</v>
      </c>
      <c r="AF805" s="222"/>
      <c r="AG805" s="222" t="s">
        <v>56</v>
      </c>
      <c r="AH805" s="222" t="s">
        <v>86</v>
      </c>
      <c r="AI805" s="138" t="s">
        <v>6358</v>
      </c>
      <c r="AJ805" s="138" t="s">
        <v>56</v>
      </c>
      <c r="AK805" s="138" t="s">
        <v>1076</v>
      </c>
      <c r="AL805" s="138"/>
    </row>
    <row r="806" spans="1:38" s="200" customFormat="1" ht="52.5" customHeight="1" x14ac:dyDescent="0.25">
      <c r="A806" s="14">
        <v>45791</v>
      </c>
      <c r="B806" s="41" t="s">
        <v>6359</v>
      </c>
      <c r="C806" s="41" t="s">
        <v>6360</v>
      </c>
      <c r="D806" s="41" t="s">
        <v>6361</v>
      </c>
      <c r="E806" s="42" t="s">
        <v>39</v>
      </c>
      <c r="F806" s="19">
        <v>1</v>
      </c>
      <c r="G806" s="43"/>
      <c r="H806" s="43"/>
      <c r="I806" s="245" t="s">
        <v>6362</v>
      </c>
      <c r="J806" s="45">
        <v>50</v>
      </c>
      <c r="K806" s="46" t="s">
        <v>6363</v>
      </c>
      <c r="L806" s="47" t="s">
        <v>63</v>
      </c>
      <c r="M806" s="73" t="s">
        <v>42</v>
      </c>
      <c r="N806" s="77" t="s">
        <v>6364</v>
      </c>
      <c r="O806" s="49" t="s">
        <v>6365</v>
      </c>
      <c r="P806" s="49" t="s">
        <v>6366</v>
      </c>
      <c r="Q806" s="49" t="s">
        <v>6367</v>
      </c>
      <c r="R806" s="50">
        <v>27</v>
      </c>
      <c r="S806" s="50">
        <v>49</v>
      </c>
      <c r="T806" s="51" t="s">
        <v>47</v>
      </c>
      <c r="U806" s="51">
        <v>0</v>
      </c>
      <c r="V806" s="52">
        <f t="shared" si="21"/>
        <v>0</v>
      </c>
      <c r="W806" s="51" t="s">
        <v>350</v>
      </c>
      <c r="X806" s="198" t="s">
        <v>6368</v>
      </c>
      <c r="Y806" s="263" t="s">
        <v>144</v>
      </c>
      <c r="Z806" s="269"/>
      <c r="AA806" s="170" t="s">
        <v>6155</v>
      </c>
      <c r="AB806" s="243" t="s">
        <v>6369</v>
      </c>
      <c r="AC806" s="172">
        <v>1997</v>
      </c>
      <c r="AE806" s="222" t="s">
        <v>5524</v>
      </c>
      <c r="AF806" s="138"/>
      <c r="AG806" s="138" t="s">
        <v>56</v>
      </c>
      <c r="AH806" s="138" t="s">
        <v>86</v>
      </c>
      <c r="AI806" s="138"/>
      <c r="AJ806" s="138" t="s">
        <v>6370</v>
      </c>
      <c r="AK806" s="138" t="s">
        <v>1076</v>
      </c>
      <c r="AL806" s="222"/>
    </row>
    <row r="807" spans="1:38" s="200" customFormat="1" ht="54.75" customHeight="1" x14ac:dyDescent="0.25">
      <c r="A807" s="14">
        <v>45791</v>
      </c>
      <c r="B807" s="164" t="s">
        <v>6371</v>
      </c>
      <c r="C807" s="41" t="s">
        <v>6372</v>
      </c>
      <c r="D807" s="41" t="s">
        <v>6373</v>
      </c>
      <c r="E807" s="42" t="s">
        <v>39</v>
      </c>
      <c r="F807" s="19">
        <v>1</v>
      </c>
      <c r="G807" s="43"/>
      <c r="H807" s="43"/>
      <c r="I807" s="245" t="s">
        <v>6374</v>
      </c>
      <c r="J807" s="45">
        <v>15</v>
      </c>
      <c r="K807" s="46" t="s">
        <v>6375</v>
      </c>
      <c r="L807" s="47" t="s">
        <v>63</v>
      </c>
      <c r="M807" s="42" t="s">
        <v>42</v>
      </c>
      <c r="N807" s="77" t="s">
        <v>6376</v>
      </c>
      <c r="O807" s="49" t="s">
        <v>6377</v>
      </c>
      <c r="P807" s="49" t="s">
        <v>6378</v>
      </c>
      <c r="Q807" s="49" t="s">
        <v>6379</v>
      </c>
      <c r="R807" s="50">
        <v>129</v>
      </c>
      <c r="S807" s="50">
        <v>969</v>
      </c>
      <c r="T807" s="51" t="s">
        <v>180</v>
      </c>
      <c r="U807" s="51">
        <v>57</v>
      </c>
      <c r="V807" s="75">
        <f t="shared" si="21"/>
        <v>855</v>
      </c>
      <c r="W807" s="51" t="s">
        <v>510</v>
      </c>
      <c r="X807" s="198" t="s">
        <v>4790</v>
      </c>
      <c r="Y807" s="199" t="s">
        <v>50</v>
      </c>
      <c r="Z807" s="169"/>
      <c r="AA807" s="170" t="s">
        <v>6380</v>
      </c>
      <c r="AB807" s="243" t="s">
        <v>6381</v>
      </c>
      <c r="AC807" s="172">
        <v>2529</v>
      </c>
      <c r="AE807" s="138" t="s">
        <v>4867</v>
      </c>
      <c r="AF807" s="138" t="s">
        <v>5394</v>
      </c>
      <c r="AG807" s="138" t="s">
        <v>56</v>
      </c>
      <c r="AH807" s="138" t="s">
        <v>56</v>
      </c>
      <c r="AI807" s="138" t="s">
        <v>6382</v>
      </c>
      <c r="AJ807" s="138" t="s">
        <v>56</v>
      </c>
      <c r="AK807" s="137" t="s">
        <v>6383</v>
      </c>
      <c r="AL807" s="138"/>
    </row>
    <row r="808" spans="1:38" s="200" customFormat="1" ht="87.75" customHeight="1" x14ac:dyDescent="0.25">
      <c r="A808" s="14">
        <v>45791</v>
      </c>
      <c r="B808" s="164" t="s">
        <v>6384</v>
      </c>
      <c r="C808" s="164" t="s">
        <v>6385</v>
      </c>
      <c r="D808" s="41" t="s">
        <v>6386</v>
      </c>
      <c r="E808" s="42" t="s">
        <v>39</v>
      </c>
      <c r="F808" s="19">
        <v>1</v>
      </c>
      <c r="G808" s="43"/>
      <c r="H808" s="43"/>
      <c r="I808" s="245" t="s">
        <v>6387</v>
      </c>
      <c r="J808" s="45">
        <v>5</v>
      </c>
      <c r="K808" s="46" t="s">
        <v>6388</v>
      </c>
      <c r="L808" s="47" t="s">
        <v>63</v>
      </c>
      <c r="M808" s="73" t="s">
        <v>42</v>
      </c>
      <c r="N808" s="77" t="s">
        <v>6389</v>
      </c>
      <c r="O808" s="49" t="s">
        <v>6390</v>
      </c>
      <c r="P808" s="49" t="s">
        <v>6391</v>
      </c>
      <c r="Q808" s="49" t="s">
        <v>6392</v>
      </c>
      <c r="R808" s="92">
        <v>193</v>
      </c>
      <c r="S808" s="92">
        <v>1050</v>
      </c>
      <c r="T808" s="51" t="s">
        <v>141</v>
      </c>
      <c r="U808" s="51">
        <v>14</v>
      </c>
      <c r="V808" s="52">
        <f t="shared" si="21"/>
        <v>70</v>
      </c>
      <c r="W808" s="51" t="s">
        <v>350</v>
      </c>
      <c r="X808" s="198" t="s">
        <v>6131</v>
      </c>
      <c r="Y808" s="199" t="s">
        <v>82</v>
      </c>
      <c r="Z808" s="169" t="s">
        <v>6201</v>
      </c>
      <c r="AA808" s="170" t="s">
        <v>326</v>
      </c>
      <c r="AB808" s="243" t="s">
        <v>6393</v>
      </c>
      <c r="AC808" s="172">
        <v>11590</v>
      </c>
      <c r="AE808" s="222" t="s">
        <v>5524</v>
      </c>
      <c r="AF808" s="138" t="s">
        <v>5394</v>
      </c>
      <c r="AG808" s="138" t="s">
        <v>6394</v>
      </c>
      <c r="AH808" s="138" t="s">
        <v>6395</v>
      </c>
      <c r="AI808" s="138" t="s">
        <v>56</v>
      </c>
      <c r="AJ808" s="138"/>
      <c r="AK808" s="138"/>
      <c r="AL808" s="138"/>
    </row>
    <row r="809" spans="1:38" s="200" customFormat="1" ht="75" x14ac:dyDescent="0.25">
      <c r="A809" s="14">
        <v>45790</v>
      </c>
      <c r="B809" s="493"/>
      <c r="C809" s="494" t="s">
        <v>6396</v>
      </c>
      <c r="D809" s="494" t="s">
        <v>6397</v>
      </c>
      <c r="E809" s="495"/>
      <c r="F809" s="496"/>
      <c r="G809" s="497"/>
      <c r="H809" s="497"/>
      <c r="I809" s="498" t="s">
        <v>6398</v>
      </c>
      <c r="J809" s="499">
        <v>5</v>
      </c>
      <c r="K809" s="498" t="s">
        <v>6399</v>
      </c>
      <c r="L809" s="500"/>
      <c r="M809" s="501"/>
      <c r="N809" s="502" t="s">
        <v>6400</v>
      </c>
      <c r="O809" s="503"/>
      <c r="P809" s="503"/>
      <c r="Q809" s="503"/>
      <c r="R809" s="504"/>
      <c r="S809" s="504"/>
      <c r="T809" s="495"/>
      <c r="U809" s="495"/>
      <c r="V809" s="505"/>
      <c r="W809" s="495"/>
      <c r="X809" s="198" t="s">
        <v>6401</v>
      </c>
      <c r="Y809" s="199" t="s">
        <v>6402</v>
      </c>
      <c r="Z809" s="269"/>
      <c r="AA809" s="506" t="s">
        <v>6403</v>
      </c>
      <c r="AB809" s="243" t="s">
        <v>6015</v>
      </c>
      <c r="AC809" s="172"/>
      <c r="AE809" s="138"/>
      <c r="AF809" s="138"/>
      <c r="AG809" s="138"/>
      <c r="AH809" s="138"/>
      <c r="AI809" s="138"/>
      <c r="AJ809" s="138"/>
      <c r="AK809" s="138"/>
      <c r="AL809" s="222"/>
    </row>
    <row r="810" spans="1:38" s="200" customFormat="1" ht="53.25" customHeight="1" x14ac:dyDescent="0.25">
      <c r="A810" s="14">
        <v>45790</v>
      </c>
      <c r="B810" s="164" t="s">
        <v>6404</v>
      </c>
      <c r="C810" s="41" t="s">
        <v>6405</v>
      </c>
      <c r="D810" s="273" t="s">
        <v>6406</v>
      </c>
      <c r="E810" s="42" t="s">
        <v>39</v>
      </c>
      <c r="F810" s="365"/>
      <c r="G810" s="365"/>
      <c r="H810" s="19">
        <v>1</v>
      </c>
      <c r="I810" s="245" t="s">
        <v>6407</v>
      </c>
      <c r="J810" s="45">
        <v>99</v>
      </c>
      <c r="K810" s="46" t="s">
        <v>9962</v>
      </c>
      <c r="L810" s="47" t="s">
        <v>63</v>
      </c>
      <c r="M810" s="73" t="s">
        <v>42</v>
      </c>
      <c r="N810" s="77" t="s">
        <v>6408</v>
      </c>
      <c r="O810" s="49"/>
      <c r="P810" s="49" t="s">
        <v>6409</v>
      </c>
      <c r="Q810" s="49" t="s">
        <v>6410</v>
      </c>
      <c r="R810" s="50">
        <v>43</v>
      </c>
      <c r="S810" s="50">
        <v>59</v>
      </c>
      <c r="T810" s="51" t="s">
        <v>96</v>
      </c>
      <c r="U810" s="51">
        <v>0</v>
      </c>
      <c r="V810" s="52">
        <f t="shared" ref="V810:V871" si="22">U810*J810</f>
        <v>0</v>
      </c>
      <c r="W810" s="51" t="s">
        <v>350</v>
      </c>
      <c r="X810" s="198" t="s">
        <v>1744</v>
      </c>
      <c r="Y810" s="199" t="s">
        <v>82</v>
      </c>
      <c r="Z810" s="169"/>
      <c r="AA810" s="170" t="s">
        <v>5977</v>
      </c>
      <c r="AB810" s="243" t="s">
        <v>132</v>
      </c>
      <c r="AC810" s="35">
        <f>(3540*J810/200)+950</f>
        <v>2702.3</v>
      </c>
      <c r="AE810" s="137" t="s">
        <v>5978</v>
      </c>
      <c r="AF810" s="138" t="s">
        <v>5394</v>
      </c>
      <c r="AG810" s="138" t="s">
        <v>56</v>
      </c>
      <c r="AH810" s="138" t="s">
        <v>56</v>
      </c>
      <c r="AI810" s="138"/>
      <c r="AJ810" s="138"/>
      <c r="AK810" s="138"/>
      <c r="AL810" s="222"/>
    </row>
    <row r="811" spans="1:38" ht="105" customHeight="1" x14ac:dyDescent="0.25">
      <c r="A811" s="14">
        <v>45790</v>
      </c>
      <c r="B811" s="507" t="s">
        <v>6411</v>
      </c>
      <c r="C811" s="121" t="s">
        <v>6412</v>
      </c>
      <c r="D811" s="121" t="s">
        <v>6413</v>
      </c>
      <c r="E811" s="122" t="s">
        <v>39</v>
      </c>
      <c r="F811" s="123"/>
      <c r="G811" s="123"/>
      <c r="H811" s="19">
        <v>1</v>
      </c>
      <c r="I811" s="351" t="s">
        <v>6414</v>
      </c>
      <c r="J811" s="124">
        <v>2</v>
      </c>
      <c r="K811" s="125" t="s">
        <v>6415</v>
      </c>
      <c r="L811" s="47" t="s">
        <v>63</v>
      </c>
      <c r="M811" s="42" t="s">
        <v>42</v>
      </c>
      <c r="N811" s="216" t="s">
        <v>5539</v>
      </c>
      <c r="O811" s="129" t="s">
        <v>6410</v>
      </c>
      <c r="P811" s="129" t="s">
        <v>6416</v>
      </c>
      <c r="Q811" s="129" t="s">
        <v>6417</v>
      </c>
      <c r="R811" s="217">
        <v>67</v>
      </c>
      <c r="S811" s="217">
        <v>152</v>
      </c>
      <c r="T811" s="130" t="s">
        <v>47</v>
      </c>
      <c r="U811" s="130">
        <v>6</v>
      </c>
      <c r="V811" s="352">
        <f t="shared" si="22"/>
        <v>12</v>
      </c>
      <c r="W811" s="130" t="s">
        <v>5543</v>
      </c>
      <c r="X811" s="131" t="s">
        <v>5544</v>
      </c>
      <c r="Y811" s="132" t="s">
        <v>50</v>
      </c>
      <c r="Z811" s="133"/>
      <c r="AA811" s="134" t="s">
        <v>6418</v>
      </c>
      <c r="AB811" s="354" t="s">
        <v>6419</v>
      </c>
      <c r="AC811" s="136">
        <f>2890+1000</f>
        <v>3890</v>
      </c>
      <c r="AE811" s="222" t="s">
        <v>5524</v>
      </c>
      <c r="AF811" s="138"/>
      <c r="AG811" s="138" t="s">
        <v>56</v>
      </c>
      <c r="AH811" s="138" t="s">
        <v>56</v>
      </c>
      <c r="AI811" s="138"/>
      <c r="AJ811" s="138" t="s">
        <v>5104</v>
      </c>
      <c r="AK811" s="138" t="s">
        <v>1076</v>
      </c>
      <c r="AL811" s="222"/>
    </row>
    <row r="812" spans="1:38" s="200" customFormat="1" ht="35.25" customHeight="1" x14ac:dyDescent="0.25">
      <c r="A812" s="14">
        <v>45790</v>
      </c>
      <c r="B812" s="164" t="s">
        <v>6420</v>
      </c>
      <c r="C812" s="41" t="s">
        <v>6421</v>
      </c>
      <c r="D812" s="41"/>
      <c r="E812" s="42" t="s">
        <v>39</v>
      </c>
      <c r="F812" s="19">
        <v>1</v>
      </c>
      <c r="G812" s="43"/>
      <c r="H812" s="43"/>
      <c r="I812" s="245" t="s">
        <v>6422</v>
      </c>
      <c r="J812" s="45">
        <v>8</v>
      </c>
      <c r="K812" s="46" t="s">
        <v>6423</v>
      </c>
      <c r="L812" s="47" t="s">
        <v>63</v>
      </c>
      <c r="M812" s="73" t="s">
        <v>42</v>
      </c>
      <c r="N812" s="77" t="s">
        <v>5446</v>
      </c>
      <c r="O812" s="49" t="s">
        <v>6256</v>
      </c>
      <c r="P812" s="49" t="s">
        <v>6424</v>
      </c>
      <c r="Q812" s="49" t="s">
        <v>6425</v>
      </c>
      <c r="R812" s="50">
        <v>93</v>
      </c>
      <c r="S812" s="50">
        <v>508</v>
      </c>
      <c r="T812" s="51" t="s">
        <v>180</v>
      </c>
      <c r="U812" s="51">
        <v>45</v>
      </c>
      <c r="V812" s="52">
        <f t="shared" si="22"/>
        <v>360</v>
      </c>
      <c r="W812" s="51" t="s">
        <v>350</v>
      </c>
      <c r="X812" s="198" t="s">
        <v>1083</v>
      </c>
      <c r="Y812" s="199" t="s">
        <v>82</v>
      </c>
      <c r="Z812" s="269"/>
      <c r="AA812" s="170" t="s">
        <v>6066</v>
      </c>
      <c r="AB812" s="243" t="s">
        <v>5986</v>
      </c>
      <c r="AC812" s="172">
        <v>6811.76</v>
      </c>
      <c r="AE812" s="137" t="s">
        <v>4867</v>
      </c>
      <c r="AF812" s="138" t="s">
        <v>5394</v>
      </c>
      <c r="AG812" s="138" t="s">
        <v>56</v>
      </c>
      <c r="AH812" s="138" t="s">
        <v>56</v>
      </c>
      <c r="AI812" s="138"/>
      <c r="AJ812" s="138"/>
      <c r="AK812" s="138"/>
      <c r="AL812" s="222"/>
    </row>
    <row r="813" spans="1:38" s="200" customFormat="1" ht="60" customHeight="1" x14ac:dyDescent="0.25">
      <c r="A813" s="14">
        <v>45789</v>
      </c>
      <c r="B813" s="41" t="s">
        <v>5812</v>
      </c>
      <c r="C813" s="41" t="s">
        <v>6426</v>
      </c>
      <c r="D813" s="41" t="s">
        <v>6427</v>
      </c>
      <c r="E813" s="42" t="s">
        <v>39</v>
      </c>
      <c r="F813" s="43"/>
      <c r="G813" s="43"/>
      <c r="H813" s="19">
        <v>1</v>
      </c>
      <c r="I813" s="245" t="s">
        <v>6428</v>
      </c>
      <c r="J813" s="45">
        <v>10</v>
      </c>
      <c r="K813" s="46" t="s">
        <v>6429</v>
      </c>
      <c r="L813" s="47" t="s">
        <v>63</v>
      </c>
      <c r="M813" s="42" t="s">
        <v>42</v>
      </c>
      <c r="N813" s="77" t="s">
        <v>6430</v>
      </c>
      <c r="O813" s="49" t="s">
        <v>6431</v>
      </c>
      <c r="P813" s="49" t="s">
        <v>6432</v>
      </c>
      <c r="Q813" s="49" t="s">
        <v>6433</v>
      </c>
      <c r="R813" s="92">
        <v>171</v>
      </c>
      <c r="S813" s="50">
        <v>800</v>
      </c>
      <c r="T813" s="319" t="s">
        <v>2482</v>
      </c>
      <c r="U813" s="51">
        <v>50</v>
      </c>
      <c r="V813" s="52">
        <f t="shared" si="22"/>
        <v>500</v>
      </c>
      <c r="W813" s="51" t="s">
        <v>350</v>
      </c>
      <c r="X813" s="198" t="s">
        <v>2483</v>
      </c>
      <c r="Y813" s="199" t="s">
        <v>82</v>
      </c>
      <c r="Z813" s="169"/>
      <c r="AA813" s="170" t="s">
        <v>6434</v>
      </c>
      <c r="AB813" s="243" t="s">
        <v>5667</v>
      </c>
      <c r="AC813" s="172">
        <v>12175</v>
      </c>
      <c r="AE813" s="137" t="s">
        <v>4867</v>
      </c>
      <c r="AF813" s="402"/>
      <c r="AG813" s="402" t="s">
        <v>56</v>
      </c>
      <c r="AH813" s="402" t="s">
        <v>86</v>
      </c>
      <c r="AI813" s="138" t="s">
        <v>6435</v>
      </c>
      <c r="AJ813" s="222"/>
      <c r="AK813" s="138" t="s">
        <v>6436</v>
      </c>
    </row>
    <row r="814" spans="1:38" ht="45" x14ac:dyDescent="0.25">
      <c r="A814" s="14">
        <v>45789</v>
      </c>
      <c r="B814" s="508"/>
      <c r="C814" s="508" t="s">
        <v>6437</v>
      </c>
      <c r="D814" s="508"/>
      <c r="E814" s="509" t="s">
        <v>195</v>
      </c>
      <c r="F814" s="510"/>
      <c r="G814" s="510"/>
      <c r="H814" s="510"/>
      <c r="I814" s="367" t="s">
        <v>9854</v>
      </c>
      <c r="J814" s="511">
        <v>2</v>
      </c>
      <c r="K814" s="165" t="s">
        <v>6438</v>
      </c>
      <c r="L814" s="512"/>
      <c r="M814" s="96"/>
      <c r="N814" s="101" t="s">
        <v>6439</v>
      </c>
      <c r="O814" s="102"/>
      <c r="P814" s="102"/>
      <c r="Q814" s="102"/>
      <c r="R814" s="513"/>
      <c r="S814" s="513"/>
      <c r="T814" s="509"/>
      <c r="U814" s="509"/>
      <c r="V814" s="514">
        <f t="shared" si="22"/>
        <v>0</v>
      </c>
      <c r="W814" s="96" t="s">
        <v>350</v>
      </c>
      <c r="X814" s="198" t="s">
        <v>6440</v>
      </c>
      <c r="Y814" s="168" t="s">
        <v>3963</v>
      </c>
      <c r="Z814" s="269"/>
      <c r="AA814" s="170" t="s">
        <v>83</v>
      </c>
      <c r="AB814" s="243"/>
      <c r="AC814" s="172">
        <v>2510</v>
      </c>
      <c r="AE814" s="138"/>
      <c r="AF814" s="138" t="s">
        <v>354</v>
      </c>
      <c r="AG814" s="138" t="s">
        <v>56</v>
      </c>
      <c r="AH814" s="138" t="s">
        <v>56</v>
      </c>
      <c r="AI814" s="138"/>
      <c r="AJ814" s="138"/>
      <c r="AK814" s="138"/>
      <c r="AL814" s="222"/>
    </row>
    <row r="815" spans="1:38" ht="94.5" customHeight="1" x14ac:dyDescent="0.25">
      <c r="A815" s="14">
        <v>45789</v>
      </c>
      <c r="B815" s="164" t="s">
        <v>6441</v>
      </c>
      <c r="C815" s="41" t="s">
        <v>6442</v>
      </c>
      <c r="D815" s="273" t="s">
        <v>6443</v>
      </c>
      <c r="E815" s="42" t="s">
        <v>39</v>
      </c>
      <c r="F815" s="19">
        <v>1</v>
      </c>
      <c r="G815" s="365"/>
      <c r="H815" s="365"/>
      <c r="I815" s="245" t="s">
        <v>6444</v>
      </c>
      <c r="J815" s="45">
        <v>15</v>
      </c>
      <c r="K815" s="46" t="s">
        <v>6445</v>
      </c>
      <c r="L815" s="47" t="s">
        <v>63</v>
      </c>
      <c r="M815" s="73" t="s">
        <v>42</v>
      </c>
      <c r="N815" s="77" t="s">
        <v>6446</v>
      </c>
      <c r="O815" s="49" t="s">
        <v>6447</v>
      </c>
      <c r="P815" s="49" t="s">
        <v>6448</v>
      </c>
      <c r="Q815" s="49" t="s">
        <v>6449</v>
      </c>
      <c r="R815" s="50">
        <v>55</v>
      </c>
      <c r="S815" s="50">
        <v>225</v>
      </c>
      <c r="T815" s="51" t="s">
        <v>47</v>
      </c>
      <c r="U815" s="51">
        <v>40</v>
      </c>
      <c r="V815" s="75">
        <f t="shared" si="22"/>
        <v>600</v>
      </c>
      <c r="W815" s="51" t="s">
        <v>68</v>
      </c>
      <c r="X815" s="198" t="s">
        <v>6450</v>
      </c>
      <c r="Y815" s="168" t="s">
        <v>3963</v>
      </c>
      <c r="Z815" s="169" t="s">
        <v>6451</v>
      </c>
      <c r="AA815" s="170" t="s">
        <v>6210</v>
      </c>
      <c r="AB815" s="243" t="s">
        <v>6419</v>
      </c>
      <c r="AC815" s="172">
        <v>2250</v>
      </c>
      <c r="AE815" s="222" t="s">
        <v>4867</v>
      </c>
      <c r="AF815" s="222"/>
      <c r="AG815" s="222" t="s">
        <v>56</v>
      </c>
      <c r="AH815" s="222" t="s">
        <v>86</v>
      </c>
      <c r="AI815" s="222"/>
      <c r="AJ815" s="222" t="s">
        <v>6452</v>
      </c>
      <c r="AK815" s="137" t="s">
        <v>6453</v>
      </c>
    </row>
    <row r="816" spans="1:38" s="200" customFormat="1" ht="60.75" customHeight="1" x14ac:dyDescent="0.25">
      <c r="A816" s="14">
        <v>45786</v>
      </c>
      <c r="B816" s="164" t="s">
        <v>6068</v>
      </c>
      <c r="C816" s="164" t="s">
        <v>6454</v>
      </c>
      <c r="D816" s="273" t="s">
        <v>6455</v>
      </c>
      <c r="E816" s="42" t="s">
        <v>39</v>
      </c>
      <c r="F816" s="19">
        <v>1</v>
      </c>
      <c r="G816" s="43"/>
      <c r="H816" s="43"/>
      <c r="I816" s="245" t="s">
        <v>6456</v>
      </c>
      <c r="J816" s="45">
        <v>60</v>
      </c>
      <c r="K816" s="46" t="s">
        <v>6429</v>
      </c>
      <c r="L816" s="47" t="s">
        <v>63</v>
      </c>
      <c r="M816" s="42" t="s">
        <v>42</v>
      </c>
      <c r="N816" s="77" t="s">
        <v>6457</v>
      </c>
      <c r="O816" s="49" t="s">
        <v>6458</v>
      </c>
      <c r="P816" s="49" t="s">
        <v>6459</v>
      </c>
      <c r="Q816" s="49" t="s">
        <v>6460</v>
      </c>
      <c r="R816" s="50">
        <v>49</v>
      </c>
      <c r="S816" s="50">
        <v>94</v>
      </c>
      <c r="T816" s="51" t="s">
        <v>47</v>
      </c>
      <c r="U816" s="51">
        <v>0</v>
      </c>
      <c r="V816" s="52">
        <f t="shared" si="22"/>
        <v>0</v>
      </c>
      <c r="W816" s="51" t="s">
        <v>97</v>
      </c>
      <c r="X816" s="198" t="s">
        <v>98</v>
      </c>
      <c r="Y816" s="199" t="s">
        <v>82</v>
      </c>
      <c r="Z816" s="169"/>
      <c r="AA816" s="170" t="s">
        <v>6076</v>
      </c>
      <c r="AB816" s="243" t="s">
        <v>5986</v>
      </c>
      <c r="AC816" s="172">
        <v>3444.4</v>
      </c>
      <c r="AE816" s="222" t="s">
        <v>5524</v>
      </c>
      <c r="AF816" s="138" t="s">
        <v>5394</v>
      </c>
      <c r="AG816" s="138" t="s">
        <v>56</v>
      </c>
      <c r="AH816" s="138" t="s">
        <v>56</v>
      </c>
      <c r="AI816" s="138"/>
      <c r="AJ816" s="138" t="s">
        <v>56</v>
      </c>
      <c r="AK816" s="137" t="s">
        <v>1076</v>
      </c>
    </row>
    <row r="817" spans="1:38" s="200" customFormat="1" ht="216" customHeight="1" x14ac:dyDescent="0.25">
      <c r="A817" s="14">
        <v>45786</v>
      </c>
      <c r="B817" s="164" t="s">
        <v>6461</v>
      </c>
      <c r="C817" s="164" t="s">
        <v>6462</v>
      </c>
      <c r="D817" s="273" t="s">
        <v>6463</v>
      </c>
      <c r="E817" s="42" t="s">
        <v>39</v>
      </c>
      <c r="F817" s="19">
        <v>1</v>
      </c>
      <c r="G817" s="365"/>
      <c r="H817" s="365"/>
      <c r="I817" s="245" t="s">
        <v>6464</v>
      </c>
      <c r="J817" s="45">
        <v>12</v>
      </c>
      <c r="K817" s="46" t="s">
        <v>9988</v>
      </c>
      <c r="L817" s="47" t="s">
        <v>63</v>
      </c>
      <c r="M817" s="42" t="s">
        <v>42</v>
      </c>
      <c r="N817" s="515" t="s">
        <v>6465</v>
      </c>
      <c r="O817" s="49" t="s">
        <v>6460</v>
      </c>
      <c r="P817" s="49"/>
      <c r="Q817" s="49" t="s">
        <v>6466</v>
      </c>
      <c r="R817" s="50">
        <v>113</v>
      </c>
      <c r="S817" s="50">
        <v>363</v>
      </c>
      <c r="T817" s="51" t="s">
        <v>158</v>
      </c>
      <c r="U817" s="51">
        <v>65</v>
      </c>
      <c r="V817" s="75">
        <f t="shared" si="22"/>
        <v>780</v>
      </c>
      <c r="W817" s="51" t="s">
        <v>350</v>
      </c>
      <c r="X817" s="198" t="s">
        <v>6467</v>
      </c>
      <c r="Y817" s="199" t="s">
        <v>70</v>
      </c>
      <c r="Z817" s="169" t="s">
        <v>6468</v>
      </c>
      <c r="AA817" s="170" t="s">
        <v>5746</v>
      </c>
      <c r="AB817" s="243" t="s">
        <v>5747</v>
      </c>
      <c r="AC817" s="172">
        <v>5269.55</v>
      </c>
      <c r="AE817" s="222" t="s">
        <v>5524</v>
      </c>
      <c r="AF817" s="138"/>
      <c r="AG817" s="138" t="s">
        <v>56</v>
      </c>
      <c r="AH817" s="138" t="s">
        <v>6469</v>
      </c>
      <c r="AI817" s="138" t="s">
        <v>6470</v>
      </c>
      <c r="AJ817" s="138" t="s">
        <v>56</v>
      </c>
      <c r="AK817" s="137" t="s">
        <v>6471</v>
      </c>
      <c r="AL817" s="222"/>
    </row>
    <row r="818" spans="1:38" s="200" customFormat="1" ht="75.75" customHeight="1" x14ac:dyDescent="0.25">
      <c r="A818" s="14">
        <v>45785</v>
      </c>
      <c r="B818" s="164" t="s">
        <v>6472</v>
      </c>
      <c r="C818" s="71" t="s">
        <v>6473</v>
      </c>
      <c r="D818" s="273" t="s">
        <v>6474</v>
      </c>
      <c r="E818" s="42" t="s">
        <v>39</v>
      </c>
      <c r="F818" s="365"/>
      <c r="G818" s="365"/>
      <c r="H818" s="19">
        <v>1</v>
      </c>
      <c r="I818" s="245" t="s">
        <v>6475</v>
      </c>
      <c r="J818" s="45">
        <v>15</v>
      </c>
      <c r="K818" s="46" t="s">
        <v>6476</v>
      </c>
      <c r="L818" s="47" t="s">
        <v>63</v>
      </c>
      <c r="M818" s="42" t="s">
        <v>42</v>
      </c>
      <c r="N818" s="77" t="s">
        <v>6477</v>
      </c>
      <c r="O818" s="49" t="s">
        <v>6065</v>
      </c>
      <c r="P818" s="49" t="s">
        <v>6478</v>
      </c>
      <c r="Q818" s="49" t="s">
        <v>6479</v>
      </c>
      <c r="R818" s="50">
        <v>104</v>
      </c>
      <c r="S818" s="50">
        <v>808</v>
      </c>
      <c r="T818" s="51" t="s">
        <v>180</v>
      </c>
      <c r="U818" s="51">
        <v>18</v>
      </c>
      <c r="V818" s="52">
        <f t="shared" si="22"/>
        <v>270</v>
      </c>
      <c r="W818" s="51" t="s">
        <v>5543</v>
      </c>
      <c r="X818" s="202" t="s">
        <v>6337</v>
      </c>
      <c r="Y818" s="199" t="s">
        <v>82</v>
      </c>
      <c r="Z818" s="169" t="s">
        <v>6480</v>
      </c>
      <c r="AA818" s="170" t="s">
        <v>5746</v>
      </c>
      <c r="AB818" s="243" t="s">
        <v>5747</v>
      </c>
      <c r="AC818" s="172">
        <v>13301.6</v>
      </c>
      <c r="AE818" s="222" t="s">
        <v>5524</v>
      </c>
      <c r="AF818" s="138"/>
      <c r="AG818" s="138" t="s">
        <v>3841</v>
      </c>
      <c r="AH818" s="138" t="s">
        <v>56</v>
      </c>
      <c r="AI818" s="138"/>
      <c r="AJ818" s="138"/>
      <c r="AK818" s="137"/>
      <c r="AL818" s="222"/>
    </row>
    <row r="819" spans="1:38" s="200" customFormat="1" ht="100.5" customHeight="1" x14ac:dyDescent="0.25">
      <c r="A819" s="14">
        <v>45785</v>
      </c>
      <c r="B819" s="41" t="s">
        <v>6481</v>
      </c>
      <c r="C819" s="164" t="s">
        <v>6482</v>
      </c>
      <c r="D819" s="41" t="s">
        <v>6483</v>
      </c>
      <c r="E819" s="42" t="s">
        <v>39</v>
      </c>
      <c r="F819" s="19">
        <v>1</v>
      </c>
      <c r="G819" s="365"/>
      <c r="H819" s="365"/>
      <c r="I819" s="245" t="s">
        <v>6484</v>
      </c>
      <c r="J819" s="45">
        <v>10</v>
      </c>
      <c r="K819" s="46" t="s">
        <v>6476</v>
      </c>
      <c r="L819" s="47" t="s">
        <v>63</v>
      </c>
      <c r="M819" s="73" t="s">
        <v>42</v>
      </c>
      <c r="N819" s="77" t="s">
        <v>6485</v>
      </c>
      <c r="O819" s="49" t="s">
        <v>6486</v>
      </c>
      <c r="P819" s="49" t="s">
        <v>6487</v>
      </c>
      <c r="Q819" s="49" t="s">
        <v>6207</v>
      </c>
      <c r="R819" s="50">
        <v>102</v>
      </c>
      <c r="S819" s="50">
        <v>410</v>
      </c>
      <c r="T819" s="51" t="s">
        <v>180</v>
      </c>
      <c r="U819" s="51">
        <v>55</v>
      </c>
      <c r="V819" s="52">
        <f t="shared" si="22"/>
        <v>550</v>
      </c>
      <c r="W819" s="51" t="s">
        <v>350</v>
      </c>
      <c r="X819" s="198" t="s">
        <v>6488</v>
      </c>
      <c r="Y819" s="199" t="s">
        <v>70</v>
      </c>
      <c r="Z819" s="169"/>
      <c r="AA819" s="170" t="s">
        <v>3838</v>
      </c>
      <c r="AB819" s="243" t="s">
        <v>3839</v>
      </c>
      <c r="AC819" s="172">
        <v>5649.6</v>
      </c>
      <c r="AE819" s="138" t="s">
        <v>4867</v>
      </c>
      <c r="AF819" s="138" t="s">
        <v>5394</v>
      </c>
      <c r="AG819" s="138" t="s">
        <v>56</v>
      </c>
      <c r="AH819" s="138" t="s">
        <v>56</v>
      </c>
      <c r="AI819" s="138"/>
      <c r="AJ819" s="138"/>
      <c r="AK819" s="138"/>
      <c r="AL819" s="222"/>
    </row>
    <row r="820" spans="1:38" s="200" customFormat="1" ht="47.25" customHeight="1" x14ac:dyDescent="0.25">
      <c r="A820" s="14">
        <v>45784</v>
      </c>
      <c r="B820" s="493" t="s">
        <v>6489</v>
      </c>
      <c r="C820" s="494" t="s">
        <v>6490</v>
      </c>
      <c r="D820" s="494"/>
      <c r="E820" s="495" t="s">
        <v>39</v>
      </c>
      <c r="F820" s="497"/>
      <c r="G820" s="497"/>
      <c r="H820" s="19">
        <v>1</v>
      </c>
      <c r="I820" s="245" t="s">
        <v>6491</v>
      </c>
      <c r="J820" s="499">
        <v>2</v>
      </c>
      <c r="K820" s="516" t="s">
        <v>6492</v>
      </c>
      <c r="L820" s="500" t="s">
        <v>63</v>
      </c>
      <c r="M820" s="500" t="s">
        <v>42</v>
      </c>
      <c r="N820" s="502" t="s">
        <v>6493</v>
      </c>
      <c r="O820" s="503" t="s">
        <v>6479</v>
      </c>
      <c r="P820" s="503" t="s">
        <v>6494</v>
      </c>
      <c r="Q820" s="503" t="s">
        <v>6495</v>
      </c>
      <c r="R820" s="504">
        <v>126</v>
      </c>
      <c r="S820" s="504">
        <v>781</v>
      </c>
      <c r="T820" s="495" t="s">
        <v>180</v>
      </c>
      <c r="U820" s="495">
        <v>47</v>
      </c>
      <c r="V820" s="505">
        <f t="shared" si="22"/>
        <v>94</v>
      </c>
      <c r="W820" s="495" t="s">
        <v>6496</v>
      </c>
      <c r="X820" s="198" t="s">
        <v>6497</v>
      </c>
      <c r="Y820" s="199" t="s">
        <v>50</v>
      </c>
      <c r="Z820" s="169"/>
      <c r="AA820" s="170" t="s">
        <v>3838</v>
      </c>
      <c r="AB820" s="243" t="s">
        <v>3839</v>
      </c>
      <c r="AC820" s="172">
        <v>11251.9</v>
      </c>
      <c r="AE820" s="138" t="s">
        <v>4867</v>
      </c>
      <c r="AF820" s="138"/>
      <c r="AG820" s="138" t="s">
        <v>56</v>
      </c>
      <c r="AH820" s="138" t="s">
        <v>86</v>
      </c>
      <c r="AI820" s="138"/>
      <c r="AJ820" s="138"/>
      <c r="AK820" s="138"/>
      <c r="AL820" s="222"/>
    </row>
    <row r="821" spans="1:38" s="200" customFormat="1" ht="123" customHeight="1" x14ac:dyDescent="0.25">
      <c r="A821" s="14">
        <v>45783</v>
      </c>
      <c r="B821" s="41" t="s">
        <v>5812</v>
      </c>
      <c r="C821" s="41" t="s">
        <v>6498</v>
      </c>
      <c r="D821" s="41" t="s">
        <v>6499</v>
      </c>
      <c r="E821" s="42" t="s">
        <v>39</v>
      </c>
      <c r="F821" s="19">
        <v>1</v>
      </c>
      <c r="G821" s="43"/>
      <c r="H821" s="43"/>
      <c r="I821" s="245" t="s">
        <v>6500</v>
      </c>
      <c r="J821" s="45">
        <v>45</v>
      </c>
      <c r="K821" s="46" t="s">
        <v>6501</v>
      </c>
      <c r="L821" s="47" t="s">
        <v>63</v>
      </c>
      <c r="M821" s="73" t="s">
        <v>42</v>
      </c>
      <c r="N821" s="515" t="s">
        <v>6502</v>
      </c>
      <c r="O821" s="49" t="s">
        <v>6416</v>
      </c>
      <c r="P821" s="49" t="s">
        <v>6503</v>
      </c>
      <c r="Q821" s="49" t="s">
        <v>6504</v>
      </c>
      <c r="R821" s="50">
        <v>58</v>
      </c>
      <c r="S821" s="50">
        <v>181</v>
      </c>
      <c r="T821" s="51" t="s">
        <v>47</v>
      </c>
      <c r="U821" s="51">
        <v>43</v>
      </c>
      <c r="V821" s="75">
        <f t="shared" si="22"/>
        <v>1935</v>
      </c>
      <c r="W821" s="51" t="s">
        <v>350</v>
      </c>
      <c r="X821" s="198" t="s">
        <v>265</v>
      </c>
      <c r="Y821" s="199" t="s">
        <v>82</v>
      </c>
      <c r="Z821" s="269"/>
      <c r="AA821" s="170" t="s">
        <v>6237</v>
      </c>
      <c r="AB821" s="243" t="s">
        <v>6505</v>
      </c>
      <c r="AC821" s="172">
        <v>5106.6000000000004</v>
      </c>
      <c r="AE821" s="222" t="s">
        <v>5524</v>
      </c>
      <c r="AF821" s="222"/>
      <c r="AG821" s="431" t="s">
        <v>6506</v>
      </c>
      <c r="AH821" s="222" t="s">
        <v>56</v>
      </c>
      <c r="AI821" s="255" t="s">
        <v>6123</v>
      </c>
      <c r="AJ821" s="138" t="s">
        <v>56</v>
      </c>
      <c r="AK821" s="517" t="s">
        <v>1076</v>
      </c>
      <c r="AL821" s="138"/>
    </row>
    <row r="822" spans="1:38" s="200" customFormat="1" ht="76.5" customHeight="1" x14ac:dyDescent="0.25">
      <c r="A822" s="14">
        <v>45783</v>
      </c>
      <c r="B822" s="164" t="s">
        <v>6507</v>
      </c>
      <c r="C822" s="41" t="s">
        <v>6508</v>
      </c>
      <c r="D822" s="41"/>
      <c r="E822" s="42" t="s">
        <v>39</v>
      </c>
      <c r="F822" s="43"/>
      <c r="G822" s="43"/>
      <c r="H822" s="19">
        <v>1</v>
      </c>
      <c r="I822" s="245" t="s">
        <v>6509</v>
      </c>
      <c r="J822" s="45">
        <v>75</v>
      </c>
      <c r="K822" s="46" t="s">
        <v>6510</v>
      </c>
      <c r="L822" s="47" t="s">
        <v>63</v>
      </c>
      <c r="M822" s="73" t="s">
        <v>42</v>
      </c>
      <c r="N822" s="77" t="s">
        <v>6511</v>
      </c>
      <c r="O822" s="49" t="s">
        <v>6512</v>
      </c>
      <c r="P822" s="49" t="s">
        <v>6513</v>
      </c>
      <c r="Q822" s="49" t="s">
        <v>6416</v>
      </c>
      <c r="R822" s="50">
        <v>53</v>
      </c>
      <c r="S822" s="50">
        <v>205</v>
      </c>
      <c r="T822" s="51" t="s">
        <v>47</v>
      </c>
      <c r="U822" s="51">
        <v>2</v>
      </c>
      <c r="V822" s="52">
        <f t="shared" si="22"/>
        <v>150</v>
      </c>
      <c r="W822" s="51" t="s">
        <v>221</v>
      </c>
      <c r="X822" s="198" t="s">
        <v>3680</v>
      </c>
      <c r="Y822" s="199" t="s">
        <v>70</v>
      </c>
      <c r="Z822" s="169"/>
      <c r="AA822" s="170" t="s">
        <v>6356</v>
      </c>
      <c r="AB822" s="243" t="s">
        <v>6357</v>
      </c>
      <c r="AC822" s="172">
        <v>6273.75</v>
      </c>
      <c r="AE822" s="138" t="s">
        <v>6514</v>
      </c>
      <c r="AG822" s="138" t="s">
        <v>56</v>
      </c>
      <c r="AH822" s="138" t="s">
        <v>86</v>
      </c>
      <c r="AI822" s="138"/>
      <c r="AJ822" s="138" t="s">
        <v>56</v>
      </c>
      <c r="AK822" s="138" t="s">
        <v>1076</v>
      </c>
      <c r="AL822" s="222"/>
    </row>
    <row r="823" spans="1:38" s="200" customFormat="1" ht="120" x14ac:dyDescent="0.25">
      <c r="A823" s="14">
        <v>45783</v>
      </c>
      <c r="B823" s="174" t="s">
        <v>6515</v>
      </c>
      <c r="C823" s="95" t="s">
        <v>6516</v>
      </c>
      <c r="D823" s="379" t="s">
        <v>6517</v>
      </c>
      <c r="E823" s="96" t="s">
        <v>39</v>
      </c>
      <c r="F823" s="518"/>
      <c r="G823" s="97"/>
      <c r="H823" s="19">
        <v>1</v>
      </c>
      <c r="I823" s="245" t="s">
        <v>6518</v>
      </c>
      <c r="J823" s="98">
        <v>100</v>
      </c>
      <c r="K823" s="99" t="s">
        <v>6519</v>
      </c>
      <c r="L823" s="100" t="s">
        <v>63</v>
      </c>
      <c r="M823" s="100" t="s">
        <v>42</v>
      </c>
      <c r="N823" s="101" t="s">
        <v>6520</v>
      </c>
      <c r="O823" s="102"/>
      <c r="P823" s="102" t="s">
        <v>6521</v>
      </c>
      <c r="Q823" s="102" t="s">
        <v>6522</v>
      </c>
      <c r="R823" s="103">
        <v>2</v>
      </c>
      <c r="S823" s="103">
        <v>6</v>
      </c>
      <c r="T823" s="96" t="s">
        <v>96</v>
      </c>
      <c r="U823" s="96">
        <v>0</v>
      </c>
      <c r="V823" s="514">
        <f t="shared" si="22"/>
        <v>0</v>
      </c>
      <c r="W823" s="96" t="s">
        <v>142</v>
      </c>
      <c r="X823" s="198" t="s">
        <v>3937</v>
      </c>
      <c r="Y823" s="199" t="s">
        <v>50</v>
      </c>
      <c r="Z823" s="169"/>
      <c r="AA823" s="170" t="s">
        <v>83</v>
      </c>
      <c r="AB823" s="243" t="s">
        <v>3839</v>
      </c>
      <c r="AC823" s="172">
        <v>3397</v>
      </c>
      <c r="AE823" s="222" t="s">
        <v>6067</v>
      </c>
      <c r="AF823" s="138"/>
      <c r="AG823" s="138" t="s">
        <v>56</v>
      </c>
      <c r="AH823" s="138" t="s">
        <v>86</v>
      </c>
      <c r="AI823" s="138" t="s">
        <v>56</v>
      </c>
      <c r="AJ823" s="138"/>
      <c r="AK823" s="138"/>
      <c r="AL823" s="222"/>
    </row>
    <row r="824" spans="1:38" s="519" customFormat="1" ht="160.5" customHeight="1" x14ac:dyDescent="0.25">
      <c r="A824" s="14">
        <v>45782</v>
      </c>
      <c r="B824" s="164" t="s">
        <v>6523</v>
      </c>
      <c r="C824" s="41" t="s">
        <v>6524</v>
      </c>
      <c r="D824" s="41" t="s">
        <v>6525</v>
      </c>
      <c r="E824" s="42" t="s">
        <v>39</v>
      </c>
      <c r="F824" s="365" t="s">
        <v>51</v>
      </c>
      <c r="G824" s="365"/>
      <c r="H824" s="19">
        <v>1</v>
      </c>
      <c r="I824" s="245" t="s">
        <v>6526</v>
      </c>
      <c r="J824" s="45">
        <v>42</v>
      </c>
      <c r="K824" s="46" t="s">
        <v>6527</v>
      </c>
      <c r="L824" s="47" t="s">
        <v>63</v>
      </c>
      <c r="M824" s="73" t="s">
        <v>42</v>
      </c>
      <c r="N824" s="77" t="s">
        <v>6528</v>
      </c>
      <c r="O824" s="49" t="s">
        <v>6529</v>
      </c>
      <c r="P824" s="49" t="s">
        <v>6530</v>
      </c>
      <c r="Q824" s="49" t="s">
        <v>6531</v>
      </c>
      <c r="R824" s="50">
        <v>129</v>
      </c>
      <c r="S824" s="50">
        <v>801</v>
      </c>
      <c r="T824" s="51" t="s">
        <v>141</v>
      </c>
      <c r="U824" s="51">
        <v>4</v>
      </c>
      <c r="V824" s="52">
        <f t="shared" si="22"/>
        <v>168</v>
      </c>
      <c r="W824" s="51" t="s">
        <v>221</v>
      </c>
      <c r="X824" s="198" t="s">
        <v>6532</v>
      </c>
      <c r="Y824" s="360" t="s">
        <v>144</v>
      </c>
      <c r="Z824" s="169"/>
      <c r="AA824" s="170" t="s">
        <v>6533</v>
      </c>
      <c r="AB824" s="243" t="s">
        <v>6534</v>
      </c>
      <c r="AC824" s="172">
        <v>6728.4</v>
      </c>
      <c r="AE824" s="222" t="s">
        <v>4004</v>
      </c>
      <c r="AF824" s="222"/>
      <c r="AG824" s="222" t="s">
        <v>56</v>
      </c>
      <c r="AH824" s="222" t="s">
        <v>56</v>
      </c>
      <c r="AI824" s="222"/>
      <c r="AJ824" s="222" t="s">
        <v>6535</v>
      </c>
      <c r="AK824" s="222" t="s">
        <v>6536</v>
      </c>
      <c r="AL824" s="222"/>
    </row>
    <row r="825" spans="1:38" s="200" customFormat="1" ht="105" x14ac:dyDescent="0.25">
      <c r="A825" s="14">
        <v>45779</v>
      </c>
      <c r="B825" s="41" t="s">
        <v>5812</v>
      </c>
      <c r="C825" s="164" t="s">
        <v>6537</v>
      </c>
      <c r="D825" s="41" t="s">
        <v>6538</v>
      </c>
      <c r="E825" s="42" t="s">
        <v>39</v>
      </c>
      <c r="F825" s="19">
        <v>2</v>
      </c>
      <c r="G825" s="43"/>
      <c r="H825" s="43"/>
      <c r="I825" s="245" t="s">
        <v>6539</v>
      </c>
      <c r="J825" s="45">
        <v>60</v>
      </c>
      <c r="K825" s="46" t="s">
        <v>6540</v>
      </c>
      <c r="L825" s="47" t="s">
        <v>63</v>
      </c>
      <c r="M825" s="42" t="s">
        <v>42</v>
      </c>
      <c r="N825" s="77" t="s">
        <v>6541</v>
      </c>
      <c r="O825" s="49" t="s">
        <v>6409</v>
      </c>
      <c r="P825" s="49" t="s">
        <v>6542</v>
      </c>
      <c r="Q825" s="49" t="s">
        <v>6543</v>
      </c>
      <c r="R825" s="50">
        <v>13</v>
      </c>
      <c r="S825" s="50">
        <v>22</v>
      </c>
      <c r="T825" s="51" t="s">
        <v>47</v>
      </c>
      <c r="U825" s="51">
        <v>3</v>
      </c>
      <c r="V825" s="52">
        <f t="shared" si="22"/>
        <v>180</v>
      </c>
      <c r="W825" s="51" t="s">
        <v>97</v>
      </c>
      <c r="X825" s="198" t="s">
        <v>98</v>
      </c>
      <c r="Y825" s="199" t="s">
        <v>82</v>
      </c>
      <c r="Z825" s="169"/>
      <c r="AA825" s="170" t="s">
        <v>6237</v>
      </c>
      <c r="AB825" s="243" t="s">
        <v>6505</v>
      </c>
      <c r="AC825" s="172">
        <v>3385</v>
      </c>
      <c r="AE825" s="222" t="s">
        <v>5524</v>
      </c>
      <c r="AF825" s="138" t="s">
        <v>5394</v>
      </c>
      <c r="AG825" s="138" t="s">
        <v>6544</v>
      </c>
      <c r="AH825" s="138" t="s">
        <v>56</v>
      </c>
      <c r="AI825" s="138"/>
      <c r="AJ825" s="138"/>
      <c r="AK825" s="138"/>
      <c r="AL825" s="222"/>
    </row>
    <row r="826" spans="1:38" s="200" customFormat="1" ht="135" x14ac:dyDescent="0.25">
      <c r="A826" s="14">
        <v>45779</v>
      </c>
      <c r="B826" s="41" t="s">
        <v>6545</v>
      </c>
      <c r="C826" s="41" t="s">
        <v>6546</v>
      </c>
      <c r="D826" s="41" t="s">
        <v>6547</v>
      </c>
      <c r="E826" s="42" t="s">
        <v>39</v>
      </c>
      <c r="F826" s="19">
        <v>1</v>
      </c>
      <c r="G826" s="43"/>
      <c r="H826" s="43"/>
      <c r="I826" s="245" t="s">
        <v>6548</v>
      </c>
      <c r="J826" s="45">
        <v>60</v>
      </c>
      <c r="K826" s="46" t="s">
        <v>6540</v>
      </c>
      <c r="L826" s="47" t="s">
        <v>63</v>
      </c>
      <c r="M826" s="42" t="s">
        <v>42</v>
      </c>
      <c r="N826" s="77" t="s">
        <v>6541</v>
      </c>
      <c r="O826" s="49" t="s">
        <v>6549</v>
      </c>
      <c r="P826" s="49" t="s">
        <v>6550</v>
      </c>
      <c r="Q826" s="49" t="s">
        <v>6551</v>
      </c>
      <c r="R826" s="50">
        <v>31</v>
      </c>
      <c r="S826" s="50">
        <v>143</v>
      </c>
      <c r="T826" s="51" t="s">
        <v>47</v>
      </c>
      <c r="U826" s="51">
        <v>8</v>
      </c>
      <c r="V826" s="52">
        <f t="shared" si="22"/>
        <v>480</v>
      </c>
      <c r="W826" s="51" t="s">
        <v>97</v>
      </c>
      <c r="X826" s="198" t="s">
        <v>98</v>
      </c>
      <c r="Y826" s="199" t="s">
        <v>82</v>
      </c>
      <c r="Z826" s="169"/>
      <c r="AA826" s="170" t="s">
        <v>6237</v>
      </c>
      <c r="AB826" s="243" t="s">
        <v>6505</v>
      </c>
      <c r="AC826" s="35">
        <v>5356.2</v>
      </c>
      <c r="AE826" s="222" t="s">
        <v>5524</v>
      </c>
      <c r="AF826" s="138" t="s">
        <v>354</v>
      </c>
      <c r="AG826" s="138" t="s">
        <v>6544</v>
      </c>
      <c r="AH826" s="138" t="s">
        <v>56</v>
      </c>
      <c r="AI826" s="138"/>
      <c r="AJ826" s="138"/>
      <c r="AK826" s="138"/>
      <c r="AL826" s="222"/>
    </row>
    <row r="827" spans="1:38" s="200" customFormat="1" ht="78" customHeight="1" x14ac:dyDescent="0.25">
      <c r="A827" s="14">
        <v>45779</v>
      </c>
      <c r="B827" s="41" t="s">
        <v>5812</v>
      </c>
      <c r="C827" s="41" t="s">
        <v>6552</v>
      </c>
      <c r="D827" s="41" t="s">
        <v>6538</v>
      </c>
      <c r="E827" s="42" t="s">
        <v>39</v>
      </c>
      <c r="F827" s="19">
        <v>2</v>
      </c>
      <c r="G827" s="43"/>
      <c r="H827" s="43"/>
      <c r="I827" s="245" t="s">
        <v>6553</v>
      </c>
      <c r="J827" s="45">
        <v>60</v>
      </c>
      <c r="K827" s="46" t="s">
        <v>6540</v>
      </c>
      <c r="L827" s="47" t="s">
        <v>63</v>
      </c>
      <c r="M827" s="42" t="s">
        <v>42</v>
      </c>
      <c r="N827" s="77" t="s">
        <v>6554</v>
      </c>
      <c r="O827" s="49" t="s">
        <v>6555</v>
      </c>
      <c r="P827" s="49" t="s">
        <v>6556</v>
      </c>
      <c r="Q827" s="49" t="s">
        <v>6557</v>
      </c>
      <c r="R827" s="50">
        <v>106</v>
      </c>
      <c r="S827" s="50">
        <v>341</v>
      </c>
      <c r="T827" s="51" t="s">
        <v>180</v>
      </c>
      <c r="U827" s="51">
        <v>11</v>
      </c>
      <c r="V827" s="75">
        <f t="shared" si="22"/>
        <v>660</v>
      </c>
      <c r="W827" s="51" t="s">
        <v>97</v>
      </c>
      <c r="X827" s="198" t="s">
        <v>98</v>
      </c>
      <c r="Y827" s="199" t="s">
        <v>82</v>
      </c>
      <c r="Z827" s="169"/>
      <c r="AA827" s="170" t="s">
        <v>6237</v>
      </c>
      <c r="AB827" s="243" t="s">
        <v>6505</v>
      </c>
      <c r="AC827" s="172">
        <v>8274.6</v>
      </c>
      <c r="AE827" s="222" t="s">
        <v>5524</v>
      </c>
      <c r="AF827" s="138" t="s">
        <v>5394</v>
      </c>
      <c r="AG827" s="138" t="s">
        <v>6544</v>
      </c>
      <c r="AH827" s="138" t="s">
        <v>56</v>
      </c>
      <c r="AI827" s="138"/>
      <c r="AJ827" s="138" t="s">
        <v>56</v>
      </c>
      <c r="AK827" s="517" t="s">
        <v>1076</v>
      </c>
      <c r="AL827" s="222"/>
    </row>
    <row r="828" spans="1:38" s="200" customFormat="1" ht="75" x14ac:dyDescent="0.25">
      <c r="A828" s="14">
        <v>45779</v>
      </c>
      <c r="B828" s="164" t="s">
        <v>6558</v>
      </c>
      <c r="C828" s="41" t="s">
        <v>6559</v>
      </c>
      <c r="D828" s="41"/>
      <c r="E828" s="42" t="s">
        <v>39</v>
      </c>
      <c r="F828" s="19">
        <v>1</v>
      </c>
      <c r="G828" s="43"/>
      <c r="H828" s="43"/>
      <c r="I828" s="245" t="s">
        <v>6560</v>
      </c>
      <c r="J828" s="45">
        <v>10</v>
      </c>
      <c r="K828" s="46" t="s">
        <v>6561</v>
      </c>
      <c r="L828" s="47" t="s">
        <v>63</v>
      </c>
      <c r="M828" s="42" t="s">
        <v>42</v>
      </c>
      <c r="N828" s="77" t="s">
        <v>240</v>
      </c>
      <c r="O828" s="49"/>
      <c r="P828" s="49" t="s">
        <v>6504</v>
      </c>
      <c r="Q828" s="49" t="s">
        <v>6377</v>
      </c>
      <c r="R828" s="50">
        <v>33</v>
      </c>
      <c r="S828" s="50">
        <v>103</v>
      </c>
      <c r="T828" s="51" t="s">
        <v>96</v>
      </c>
      <c r="U828" s="51">
        <v>11</v>
      </c>
      <c r="V828" s="52">
        <f t="shared" si="22"/>
        <v>110</v>
      </c>
      <c r="W828" s="51" t="s">
        <v>350</v>
      </c>
      <c r="X828" s="202" t="s">
        <v>765</v>
      </c>
      <c r="Y828" s="199" t="s">
        <v>50</v>
      </c>
      <c r="Z828" s="169"/>
      <c r="AA828" s="170" t="s">
        <v>6076</v>
      </c>
      <c r="AB828" s="243" t="s">
        <v>5747</v>
      </c>
      <c r="AC828" s="172">
        <v>6352</v>
      </c>
      <c r="AE828" s="138" t="s">
        <v>4867</v>
      </c>
      <c r="AF828" s="138"/>
      <c r="AG828" s="138" t="s">
        <v>56</v>
      </c>
      <c r="AH828" s="138" t="s">
        <v>86</v>
      </c>
      <c r="AI828" s="138"/>
      <c r="AJ828" s="138"/>
      <c r="AK828" s="137"/>
      <c r="AL828" s="222"/>
    </row>
    <row r="829" spans="1:38" ht="255" x14ac:dyDescent="0.25">
      <c r="A829" s="14">
        <v>45779</v>
      </c>
      <c r="B829" s="164" t="s">
        <v>6562</v>
      </c>
      <c r="C829" s="164" t="s">
        <v>6563</v>
      </c>
      <c r="D829" s="41"/>
      <c r="E829" s="42" t="s">
        <v>39</v>
      </c>
      <c r="F829" s="43"/>
      <c r="G829" s="43"/>
      <c r="H829" s="19">
        <v>1</v>
      </c>
      <c r="I829" s="245" t="s">
        <v>6564</v>
      </c>
      <c r="J829" s="45">
        <v>2</v>
      </c>
      <c r="K829" s="46" t="s">
        <v>6565</v>
      </c>
      <c r="L829" s="47" t="s">
        <v>63</v>
      </c>
      <c r="M829" s="73" t="s">
        <v>42</v>
      </c>
      <c r="N829" s="77" t="s">
        <v>6566</v>
      </c>
      <c r="O829" s="49" t="s">
        <v>6416</v>
      </c>
      <c r="P829" s="49" t="s">
        <v>6551</v>
      </c>
      <c r="Q829" s="49" t="s">
        <v>6567</v>
      </c>
      <c r="R829" s="50">
        <v>65</v>
      </c>
      <c r="S829" s="50">
        <v>184</v>
      </c>
      <c r="T829" s="51" t="s">
        <v>47</v>
      </c>
      <c r="U829" s="51">
        <v>13</v>
      </c>
      <c r="V829" s="52">
        <f t="shared" si="22"/>
        <v>26</v>
      </c>
      <c r="W829" s="51" t="s">
        <v>5543</v>
      </c>
      <c r="X829" s="198" t="s">
        <v>5544</v>
      </c>
      <c r="Y829" s="168" t="s">
        <v>50</v>
      </c>
      <c r="Z829" s="169" t="s">
        <v>6568</v>
      </c>
      <c r="AA829" s="170" t="s">
        <v>6418</v>
      </c>
      <c r="AB829" s="243" t="s">
        <v>6419</v>
      </c>
      <c r="AC829" s="172">
        <f>2877+1000</f>
        <v>3877</v>
      </c>
      <c r="AE829" s="222" t="s">
        <v>5524</v>
      </c>
      <c r="AF829" s="138"/>
      <c r="AG829" s="138" t="s">
        <v>6569</v>
      </c>
      <c r="AH829" s="255" t="s">
        <v>6570</v>
      </c>
      <c r="AI829" s="138"/>
      <c r="AJ829" s="138"/>
      <c r="AK829" s="138"/>
      <c r="AL829" s="222"/>
    </row>
    <row r="830" spans="1:38" s="200" customFormat="1" ht="75" x14ac:dyDescent="0.25">
      <c r="A830" s="14">
        <v>45778</v>
      </c>
      <c r="B830" s="164" t="s">
        <v>6571</v>
      </c>
      <c r="C830" s="41" t="s">
        <v>6572</v>
      </c>
      <c r="D830" s="41"/>
      <c r="E830" s="42" t="s">
        <v>39</v>
      </c>
      <c r="F830" s="19">
        <v>1</v>
      </c>
      <c r="G830" s="43"/>
      <c r="H830" s="43"/>
      <c r="I830" s="245" t="s">
        <v>6573</v>
      </c>
      <c r="J830" s="45">
        <v>50</v>
      </c>
      <c r="K830" s="46" t="s">
        <v>6574</v>
      </c>
      <c r="L830" s="47" t="s">
        <v>63</v>
      </c>
      <c r="M830" s="73" t="s">
        <v>42</v>
      </c>
      <c r="N830" s="77" t="s">
        <v>6575</v>
      </c>
      <c r="O830" s="49" t="s">
        <v>6576</v>
      </c>
      <c r="P830" s="49"/>
      <c r="Q830" s="49" t="s">
        <v>6577</v>
      </c>
      <c r="R830" s="50">
        <v>2</v>
      </c>
      <c r="S830" s="50">
        <v>4</v>
      </c>
      <c r="T830" s="51" t="s">
        <v>393</v>
      </c>
      <c r="U830" s="51">
        <v>11</v>
      </c>
      <c r="V830" s="52">
        <f t="shared" si="22"/>
        <v>550</v>
      </c>
      <c r="W830" s="51" t="s">
        <v>350</v>
      </c>
      <c r="X830" s="202" t="s">
        <v>765</v>
      </c>
      <c r="Y830" s="199" t="s">
        <v>50</v>
      </c>
      <c r="Z830" s="169" t="s">
        <v>6578</v>
      </c>
      <c r="AA830" s="170" t="s">
        <v>6237</v>
      </c>
      <c r="AB830" s="243" t="s">
        <v>6238</v>
      </c>
      <c r="AC830" s="172">
        <v>6580</v>
      </c>
      <c r="AE830" s="138" t="s">
        <v>4867</v>
      </c>
      <c r="AF830" s="138"/>
      <c r="AG830" s="138" t="s">
        <v>56</v>
      </c>
      <c r="AH830" s="138" t="s">
        <v>56</v>
      </c>
      <c r="AI830" s="138" t="s">
        <v>6382</v>
      </c>
      <c r="AJ830" s="138" t="s">
        <v>56</v>
      </c>
      <c r="AK830" s="138" t="s">
        <v>6383</v>
      </c>
      <c r="AL830" s="222"/>
    </row>
    <row r="831" spans="1:38" ht="293.25" customHeight="1" x14ac:dyDescent="0.25">
      <c r="A831" s="14">
        <v>45778</v>
      </c>
      <c r="B831" s="174" t="s">
        <v>6579</v>
      </c>
      <c r="C831" s="174" t="s">
        <v>6580</v>
      </c>
      <c r="D831" s="272">
        <v>45778</v>
      </c>
      <c r="E831" s="96" t="s">
        <v>39</v>
      </c>
      <c r="F831" s="97"/>
      <c r="G831" s="97"/>
      <c r="H831" s="19">
        <v>1</v>
      </c>
      <c r="I831" s="245" t="s">
        <v>6581</v>
      </c>
      <c r="J831" s="98">
        <v>6</v>
      </c>
      <c r="K831" s="165" t="s">
        <v>6582</v>
      </c>
      <c r="L831" s="100" t="s">
        <v>63</v>
      </c>
      <c r="M831" s="520" t="s">
        <v>42</v>
      </c>
      <c r="N831" s="521" t="s">
        <v>6583</v>
      </c>
      <c r="O831" s="102" t="s">
        <v>6584</v>
      </c>
      <c r="P831" s="102" t="s">
        <v>6585</v>
      </c>
      <c r="Q831" s="102" t="s">
        <v>6586</v>
      </c>
      <c r="R831" s="103">
        <v>110</v>
      </c>
      <c r="S831" s="103">
        <v>1384</v>
      </c>
      <c r="T831" s="96" t="s">
        <v>549</v>
      </c>
      <c r="U831" s="96">
        <v>7</v>
      </c>
      <c r="V831" s="104">
        <f t="shared" si="22"/>
        <v>42</v>
      </c>
      <c r="W831" s="96" t="s">
        <v>350</v>
      </c>
      <c r="X831" s="198" t="s">
        <v>6587</v>
      </c>
      <c r="Y831" s="168" t="s">
        <v>50</v>
      </c>
      <c r="Z831" s="169" t="s">
        <v>6588</v>
      </c>
      <c r="AA831" s="170" t="s">
        <v>6589</v>
      </c>
      <c r="AB831" s="243" t="s">
        <v>551</v>
      </c>
      <c r="AC831" s="172">
        <v>9598.4</v>
      </c>
      <c r="AE831" s="138" t="s">
        <v>4867</v>
      </c>
      <c r="AF831" s="222" t="s">
        <v>354</v>
      </c>
      <c r="AG831" s="222" t="s">
        <v>56</v>
      </c>
      <c r="AH831" s="222" t="s">
        <v>56</v>
      </c>
      <c r="AI831" s="222"/>
      <c r="AJ831" s="222"/>
      <c r="AK831" s="222"/>
      <c r="AL831" s="222" t="s">
        <v>6590</v>
      </c>
    </row>
    <row r="832" spans="1:38" s="200" customFormat="1" ht="60.75" customHeight="1" x14ac:dyDescent="0.25">
      <c r="A832" s="14">
        <v>45778</v>
      </c>
      <c r="B832" s="164" t="s">
        <v>6591</v>
      </c>
      <c r="C832" s="164" t="s">
        <v>6592</v>
      </c>
      <c r="D832" s="415" t="s">
        <v>6593</v>
      </c>
      <c r="E832" s="42" t="s">
        <v>39</v>
      </c>
      <c r="F832" s="43"/>
      <c r="G832" s="43"/>
      <c r="H832" s="19">
        <v>1</v>
      </c>
      <c r="I832" s="245" t="s">
        <v>6594</v>
      </c>
      <c r="J832" s="45">
        <v>3</v>
      </c>
      <c r="K832" s="46" t="s">
        <v>6595</v>
      </c>
      <c r="L832" s="47" t="s">
        <v>63</v>
      </c>
      <c r="M832" s="42" t="s">
        <v>42</v>
      </c>
      <c r="N832" s="370" t="s">
        <v>6596</v>
      </c>
      <c r="O832" s="49" t="s">
        <v>6542</v>
      </c>
      <c r="P832" s="49" t="s">
        <v>6512</v>
      </c>
      <c r="Q832" s="49" t="s">
        <v>6597</v>
      </c>
      <c r="R832" s="50">
        <v>68</v>
      </c>
      <c r="S832" s="50">
        <v>464</v>
      </c>
      <c r="T832" s="51" t="s">
        <v>180</v>
      </c>
      <c r="U832" s="51">
        <v>8</v>
      </c>
      <c r="V832" s="52">
        <f t="shared" si="22"/>
        <v>24</v>
      </c>
      <c r="W832" s="51" t="s">
        <v>221</v>
      </c>
      <c r="X832" s="202" t="s">
        <v>1189</v>
      </c>
      <c r="Y832" s="263" t="s">
        <v>144</v>
      </c>
      <c r="Z832" s="169" t="s">
        <v>6598</v>
      </c>
      <c r="AA832" s="170" t="s">
        <v>5699</v>
      </c>
      <c r="AB832" s="243" t="s">
        <v>6599</v>
      </c>
      <c r="AC832" s="172">
        <f>1568.01+1760</f>
        <v>3328.01</v>
      </c>
      <c r="AE832" s="222" t="s">
        <v>6600</v>
      </c>
      <c r="AF832" s="138"/>
      <c r="AG832" s="138" t="s">
        <v>56</v>
      </c>
      <c r="AH832" s="138" t="s">
        <v>86</v>
      </c>
      <c r="AI832" s="138" t="s">
        <v>56</v>
      </c>
      <c r="AJ832" s="138"/>
      <c r="AK832" s="138"/>
      <c r="AL832" s="222"/>
    </row>
    <row r="833" spans="1:38" s="200" customFormat="1" ht="240" x14ac:dyDescent="0.25">
      <c r="A833" s="14">
        <v>45777</v>
      </c>
      <c r="B833" s="522" t="s">
        <v>6601</v>
      </c>
      <c r="C833" s="144" t="s">
        <v>6602</v>
      </c>
      <c r="D833" s="144" t="s">
        <v>6603</v>
      </c>
      <c r="E833" s="145" t="s">
        <v>39</v>
      </c>
      <c r="F833" s="19">
        <v>1</v>
      </c>
      <c r="G833" s="146"/>
      <c r="H833" s="146"/>
      <c r="I833" s="523" t="s">
        <v>6604</v>
      </c>
      <c r="J833" s="149">
        <v>20</v>
      </c>
      <c r="K833" s="150" t="s">
        <v>6605</v>
      </c>
      <c r="L833" s="151" t="s">
        <v>63</v>
      </c>
      <c r="M833" s="193" t="s">
        <v>42</v>
      </c>
      <c r="N833" s="152" t="s">
        <v>6606</v>
      </c>
      <c r="O833" s="153" t="s">
        <v>6512</v>
      </c>
      <c r="P833" s="524">
        <v>45772</v>
      </c>
      <c r="Q833" s="153" t="s">
        <v>6549</v>
      </c>
      <c r="R833" s="154">
        <v>82</v>
      </c>
      <c r="S833" s="154">
        <v>321</v>
      </c>
      <c r="T833" s="155" t="s">
        <v>180</v>
      </c>
      <c r="U833" s="155">
        <v>47</v>
      </c>
      <c r="V833" s="525">
        <f t="shared" si="22"/>
        <v>940</v>
      </c>
      <c r="W833" s="155" t="s">
        <v>5543</v>
      </c>
      <c r="X833" s="526" t="s">
        <v>6607</v>
      </c>
      <c r="Y833" s="527" t="s">
        <v>82</v>
      </c>
      <c r="Z833" s="528"/>
      <c r="AA833" s="529" t="s">
        <v>6380</v>
      </c>
      <c r="AB833" s="530" t="s">
        <v>6381</v>
      </c>
      <c r="AC833" s="531">
        <v>6645</v>
      </c>
      <c r="AE833" s="138" t="s">
        <v>4867</v>
      </c>
      <c r="AF833" s="138"/>
      <c r="AG833" s="138" t="s">
        <v>6608</v>
      </c>
      <c r="AH833" s="138" t="s">
        <v>56</v>
      </c>
      <c r="AI833" s="138" t="s">
        <v>6382</v>
      </c>
      <c r="AJ833" s="138"/>
      <c r="AK833" s="138"/>
      <c r="AL833" s="138"/>
    </row>
    <row r="834" spans="1:38" ht="102.75" customHeight="1" x14ac:dyDescent="0.25">
      <c r="A834" s="14">
        <v>45776</v>
      </c>
      <c r="B834" s="41" t="s">
        <v>5812</v>
      </c>
      <c r="C834" s="41" t="s">
        <v>6609</v>
      </c>
      <c r="D834" s="41" t="s">
        <v>6610</v>
      </c>
      <c r="E834" s="42" t="s">
        <v>39</v>
      </c>
      <c r="F834" s="19">
        <v>1</v>
      </c>
      <c r="G834" s="43"/>
      <c r="H834" s="43"/>
      <c r="I834" s="245" t="s">
        <v>6611</v>
      </c>
      <c r="J834" s="45">
        <v>140</v>
      </c>
      <c r="K834" s="46" t="s">
        <v>6612</v>
      </c>
      <c r="L834" s="47" t="s">
        <v>63</v>
      </c>
      <c r="M834" s="42" t="s">
        <v>42</v>
      </c>
      <c r="N834" s="532" t="s">
        <v>6613</v>
      </c>
      <c r="O834" s="533" t="s">
        <v>6614</v>
      </c>
      <c r="P834" s="49" t="s">
        <v>6615</v>
      </c>
      <c r="Q834" s="49" t="s">
        <v>6616</v>
      </c>
      <c r="R834" s="217">
        <v>117</v>
      </c>
      <c r="S834" s="217">
        <v>282</v>
      </c>
      <c r="T834" s="130" t="s">
        <v>141</v>
      </c>
      <c r="U834" s="130">
        <v>13</v>
      </c>
      <c r="V834" s="219">
        <f t="shared" si="22"/>
        <v>1820</v>
      </c>
      <c r="W834" s="51" t="s">
        <v>3973</v>
      </c>
      <c r="X834" s="198" t="s">
        <v>312</v>
      </c>
      <c r="Y834" s="168" t="s">
        <v>2880</v>
      </c>
      <c r="Z834" s="169"/>
      <c r="AA834" s="170" t="s">
        <v>5977</v>
      </c>
      <c r="AB834" s="243" t="s">
        <v>182</v>
      </c>
      <c r="AC834" s="172">
        <v>11862.2</v>
      </c>
      <c r="AE834" s="222" t="s">
        <v>4867</v>
      </c>
      <c r="AF834" s="222"/>
      <c r="AG834" s="222" t="s">
        <v>56</v>
      </c>
      <c r="AH834" s="222" t="s">
        <v>56</v>
      </c>
      <c r="AI834" s="222"/>
      <c r="AJ834" s="222" t="s">
        <v>6617</v>
      </c>
      <c r="AK834" s="222" t="s">
        <v>1076</v>
      </c>
      <c r="AL834" s="222"/>
    </row>
    <row r="835" spans="1:38" s="200" customFormat="1" ht="124.5" customHeight="1" x14ac:dyDescent="0.25">
      <c r="A835" s="14">
        <v>45776</v>
      </c>
      <c r="B835" s="164" t="s">
        <v>6618</v>
      </c>
      <c r="C835" s="41" t="s">
        <v>6619</v>
      </c>
      <c r="D835" s="71"/>
      <c r="E835" s="42" t="s">
        <v>39</v>
      </c>
      <c r="F835" s="43"/>
      <c r="G835" s="43"/>
      <c r="H835" s="19">
        <v>2</v>
      </c>
      <c r="I835" s="245" t="s">
        <v>6620</v>
      </c>
      <c r="J835" s="45">
        <v>15</v>
      </c>
      <c r="K835" s="46" t="s">
        <v>6621</v>
      </c>
      <c r="L835" s="47" t="s">
        <v>63</v>
      </c>
      <c r="M835" s="73" t="s">
        <v>42</v>
      </c>
      <c r="N835" s="534" t="s">
        <v>6622</v>
      </c>
      <c r="O835" s="49" t="s">
        <v>6447</v>
      </c>
      <c r="P835" s="49" t="s">
        <v>6623</v>
      </c>
      <c r="Q835" s="49" t="s">
        <v>6557</v>
      </c>
      <c r="R835" s="50">
        <v>91</v>
      </c>
      <c r="S835" s="50">
        <v>748</v>
      </c>
      <c r="T835" s="51" t="s">
        <v>47</v>
      </c>
      <c r="U835" s="51">
        <v>28</v>
      </c>
      <c r="V835" s="52">
        <f t="shared" si="22"/>
        <v>420</v>
      </c>
      <c r="W835" s="51" t="s">
        <v>510</v>
      </c>
      <c r="X835" s="202" t="s">
        <v>6337</v>
      </c>
      <c r="Y835" s="199" t="s">
        <v>82</v>
      </c>
      <c r="Z835" s="169"/>
      <c r="AA835" s="170" t="s">
        <v>6237</v>
      </c>
      <c r="AB835" s="243" t="s">
        <v>6238</v>
      </c>
      <c r="AC835" s="172">
        <v>6240</v>
      </c>
      <c r="AE835" s="222" t="s">
        <v>5524</v>
      </c>
      <c r="AF835" s="138" t="s">
        <v>6624</v>
      </c>
      <c r="AG835" s="138" t="s">
        <v>6625</v>
      </c>
      <c r="AH835" s="138" t="s">
        <v>56</v>
      </c>
      <c r="AI835" s="138"/>
      <c r="AJ835" s="138" t="s">
        <v>56</v>
      </c>
      <c r="AK835" s="138" t="s">
        <v>6383</v>
      </c>
      <c r="AL835" s="222"/>
    </row>
    <row r="836" spans="1:38" s="200" customFormat="1" ht="75" x14ac:dyDescent="0.25">
      <c r="A836" s="14">
        <v>45775</v>
      </c>
      <c r="B836" s="164" t="s">
        <v>6626</v>
      </c>
      <c r="C836" s="41" t="s">
        <v>6627</v>
      </c>
      <c r="D836" s="71"/>
      <c r="E836" s="42" t="s">
        <v>39</v>
      </c>
      <c r="F836" s="19">
        <v>1</v>
      </c>
      <c r="G836" s="43"/>
      <c r="H836" s="43"/>
      <c r="I836" s="245" t="s">
        <v>6628</v>
      </c>
      <c r="J836" s="45">
        <v>2</v>
      </c>
      <c r="K836" s="46" t="s">
        <v>6629</v>
      </c>
      <c r="L836" s="47" t="s">
        <v>63</v>
      </c>
      <c r="M836" s="73" t="s">
        <v>42</v>
      </c>
      <c r="N836" s="77" t="s">
        <v>5809</v>
      </c>
      <c r="O836" s="49" t="s">
        <v>6630</v>
      </c>
      <c r="P836" s="197" t="s">
        <v>6631</v>
      </c>
      <c r="Q836" s="49" t="s">
        <v>6632</v>
      </c>
      <c r="R836" s="50">
        <v>57</v>
      </c>
      <c r="S836" s="50">
        <v>96</v>
      </c>
      <c r="T836" s="51" t="s">
        <v>47</v>
      </c>
      <c r="U836" s="51">
        <v>5</v>
      </c>
      <c r="V836" s="52">
        <f t="shared" si="22"/>
        <v>10</v>
      </c>
      <c r="W836" s="51" t="s">
        <v>5543</v>
      </c>
      <c r="X836" s="198" t="s">
        <v>5544</v>
      </c>
      <c r="Y836" s="199" t="s">
        <v>50</v>
      </c>
      <c r="Z836" s="169"/>
      <c r="AA836" s="170" t="s">
        <v>6237</v>
      </c>
      <c r="AB836" s="243" t="s">
        <v>6238</v>
      </c>
      <c r="AC836" s="35">
        <f>1627+1000</f>
        <v>2627</v>
      </c>
      <c r="AE836" s="222" t="s">
        <v>4004</v>
      </c>
      <c r="AF836" s="138"/>
      <c r="AG836" s="138" t="s">
        <v>56</v>
      </c>
      <c r="AH836" s="138" t="s">
        <v>56</v>
      </c>
      <c r="AI836" s="138" t="s">
        <v>6382</v>
      </c>
      <c r="AJ836" s="138"/>
      <c r="AK836" s="138"/>
      <c r="AL836" s="222"/>
    </row>
    <row r="837" spans="1:38" s="200" customFormat="1" ht="75" x14ac:dyDescent="0.25">
      <c r="A837" s="14">
        <v>45775</v>
      </c>
      <c r="B837" s="164" t="s">
        <v>6115</v>
      </c>
      <c r="C837" s="41" t="s">
        <v>6627</v>
      </c>
      <c r="D837" s="41"/>
      <c r="E837" s="42" t="s">
        <v>39</v>
      </c>
      <c r="F837" s="19">
        <v>1</v>
      </c>
      <c r="G837" s="43"/>
      <c r="H837" s="43"/>
      <c r="I837" s="245" t="s">
        <v>6633</v>
      </c>
      <c r="J837" s="45">
        <v>2</v>
      </c>
      <c r="K837" s="46" t="s">
        <v>6629</v>
      </c>
      <c r="L837" s="47" t="s">
        <v>63</v>
      </c>
      <c r="M837" s="73" t="s">
        <v>42</v>
      </c>
      <c r="N837" s="77" t="s">
        <v>240</v>
      </c>
      <c r="O837" s="49"/>
      <c r="P837" s="49" t="s">
        <v>6631</v>
      </c>
      <c r="Q837" s="49" t="s">
        <v>6634</v>
      </c>
      <c r="R837" s="50">
        <v>52</v>
      </c>
      <c r="S837" s="50">
        <v>691</v>
      </c>
      <c r="T837" s="51" t="s">
        <v>96</v>
      </c>
      <c r="U837" s="51">
        <v>61</v>
      </c>
      <c r="V837" s="52">
        <f t="shared" si="22"/>
        <v>122</v>
      </c>
      <c r="W837" s="51" t="s">
        <v>350</v>
      </c>
      <c r="X837" s="198" t="s">
        <v>6635</v>
      </c>
      <c r="Y837" s="263" t="s">
        <v>144</v>
      </c>
      <c r="Z837" s="169"/>
      <c r="AA837" s="170" t="s">
        <v>6237</v>
      </c>
      <c r="AB837" s="243" t="s">
        <v>6238</v>
      </c>
      <c r="AC837" s="172">
        <v>5042.7</v>
      </c>
      <c r="AE837" s="222" t="s">
        <v>4867</v>
      </c>
      <c r="AF837" s="222"/>
      <c r="AG837" s="222" t="s">
        <v>56</v>
      </c>
      <c r="AH837" s="222" t="s">
        <v>56</v>
      </c>
      <c r="AI837" s="138"/>
      <c r="AJ837" s="138"/>
      <c r="AK837" s="138"/>
      <c r="AL837" s="138"/>
    </row>
    <row r="838" spans="1:38" s="200" customFormat="1" ht="90" x14ac:dyDescent="0.25">
      <c r="A838" s="14">
        <v>45775</v>
      </c>
      <c r="B838" s="164" t="s">
        <v>6626</v>
      </c>
      <c r="C838" s="41" t="s">
        <v>6636</v>
      </c>
      <c r="D838" s="41"/>
      <c r="E838" s="42" t="s">
        <v>39</v>
      </c>
      <c r="F838" s="19">
        <v>1</v>
      </c>
      <c r="G838" s="43"/>
      <c r="H838" s="43"/>
      <c r="I838" s="245" t="s">
        <v>6637</v>
      </c>
      <c r="J838" s="45">
        <v>30</v>
      </c>
      <c r="K838" s="46" t="s">
        <v>6629</v>
      </c>
      <c r="L838" s="47" t="s">
        <v>63</v>
      </c>
      <c r="M838" s="73" t="s">
        <v>42</v>
      </c>
      <c r="N838" s="77" t="s">
        <v>6638</v>
      </c>
      <c r="O838" s="49" t="s">
        <v>6639</v>
      </c>
      <c r="P838" s="49" t="s">
        <v>6640</v>
      </c>
      <c r="Q838" s="49" t="s">
        <v>6641</v>
      </c>
      <c r="R838" s="50">
        <v>87</v>
      </c>
      <c r="S838" s="50">
        <v>350</v>
      </c>
      <c r="T838" s="51" t="s">
        <v>47</v>
      </c>
      <c r="U838" s="51">
        <v>14</v>
      </c>
      <c r="V838" s="52">
        <f t="shared" si="22"/>
        <v>420</v>
      </c>
      <c r="W838" s="51" t="s">
        <v>5543</v>
      </c>
      <c r="X838" s="202" t="s">
        <v>765</v>
      </c>
      <c r="Y838" s="199" t="s">
        <v>50</v>
      </c>
      <c r="Z838" s="169"/>
      <c r="AA838" s="170" t="s">
        <v>6210</v>
      </c>
      <c r="AB838" s="243" t="s">
        <v>112</v>
      </c>
      <c r="AC838" s="172">
        <v>17382</v>
      </c>
      <c r="AE838" s="222" t="s">
        <v>4004</v>
      </c>
      <c r="AF838" s="138"/>
      <c r="AG838" s="138" t="s">
        <v>56</v>
      </c>
      <c r="AH838" s="138" t="s">
        <v>56</v>
      </c>
      <c r="AI838" s="138"/>
      <c r="AJ838" s="138"/>
      <c r="AK838" s="138"/>
      <c r="AL838" s="222"/>
    </row>
    <row r="839" spans="1:38" s="200" customFormat="1" ht="120" x14ac:dyDescent="0.25">
      <c r="A839" s="14">
        <v>45775</v>
      </c>
      <c r="B839" s="164" t="s">
        <v>6642</v>
      </c>
      <c r="C839" s="41" t="s">
        <v>6643</v>
      </c>
      <c r="D839" s="535" t="s">
        <v>6644</v>
      </c>
      <c r="E839" s="536"/>
      <c r="F839" s="537"/>
      <c r="G839" s="537"/>
      <c r="H839" s="537"/>
      <c r="I839" s="245" t="s">
        <v>6645</v>
      </c>
      <c r="J839" s="45">
        <v>10</v>
      </c>
      <c r="K839" s="46" t="s">
        <v>6646</v>
      </c>
      <c r="L839" s="47" t="s">
        <v>2399</v>
      </c>
      <c r="M839" s="42"/>
      <c r="N839" s="77" t="s">
        <v>6647</v>
      </c>
      <c r="O839" s="49"/>
      <c r="P839" s="49"/>
      <c r="Q839" s="49"/>
      <c r="R839" s="50">
        <v>0</v>
      </c>
      <c r="S839" s="50">
        <v>0</v>
      </c>
      <c r="T839" s="51">
        <v>0</v>
      </c>
      <c r="U839" s="51">
        <v>53</v>
      </c>
      <c r="V839" s="52">
        <f t="shared" si="22"/>
        <v>530</v>
      </c>
      <c r="W839" s="51" t="s">
        <v>5543</v>
      </c>
      <c r="X839" s="198" t="s">
        <v>1124</v>
      </c>
      <c r="Y839" s="199" t="s">
        <v>50</v>
      </c>
      <c r="Z839" s="169"/>
      <c r="AA839" s="170" t="s">
        <v>6092</v>
      </c>
      <c r="AB839" s="538" t="s">
        <v>132</v>
      </c>
      <c r="AC839" s="172">
        <v>1563.5</v>
      </c>
      <c r="AE839" s="138" t="s">
        <v>4867</v>
      </c>
      <c r="AF839" s="222"/>
      <c r="AG839" s="222" t="s">
        <v>56</v>
      </c>
      <c r="AH839" s="222" t="s">
        <v>86</v>
      </c>
      <c r="AI839" s="222"/>
      <c r="AJ839" s="222" t="s">
        <v>56</v>
      </c>
      <c r="AK839" s="222"/>
      <c r="AL839" s="222"/>
    </row>
    <row r="840" spans="1:38" s="200" customFormat="1" ht="54.75" customHeight="1" x14ac:dyDescent="0.25">
      <c r="A840" s="14">
        <v>45772</v>
      </c>
      <c r="B840" s="164" t="s">
        <v>6648</v>
      </c>
      <c r="C840" s="164" t="s">
        <v>6649</v>
      </c>
      <c r="D840" s="41"/>
      <c r="E840" s="42" t="s">
        <v>39</v>
      </c>
      <c r="F840" s="19">
        <v>1</v>
      </c>
      <c r="G840" s="43"/>
      <c r="H840" s="43"/>
      <c r="I840" s="245" t="s">
        <v>6650</v>
      </c>
      <c r="J840" s="45">
        <v>100</v>
      </c>
      <c r="K840" s="46" t="s">
        <v>6651</v>
      </c>
      <c r="L840" s="47" t="s">
        <v>63</v>
      </c>
      <c r="M840" s="73" t="s">
        <v>42</v>
      </c>
      <c r="N840" s="77" t="s">
        <v>240</v>
      </c>
      <c r="O840" s="49" t="s">
        <v>6652</v>
      </c>
      <c r="P840" s="49" t="s">
        <v>6653</v>
      </c>
      <c r="Q840" s="49" t="s">
        <v>6654</v>
      </c>
      <c r="R840" s="50">
        <v>29</v>
      </c>
      <c r="S840" s="50">
        <v>41</v>
      </c>
      <c r="T840" s="51" t="s">
        <v>47</v>
      </c>
      <c r="U840" s="51">
        <v>3</v>
      </c>
      <c r="V840" s="52">
        <f t="shared" si="22"/>
        <v>300</v>
      </c>
      <c r="W840" s="51" t="s">
        <v>5543</v>
      </c>
      <c r="X840" s="198" t="s">
        <v>6055</v>
      </c>
      <c r="Y840" s="199" t="s">
        <v>50</v>
      </c>
      <c r="Z840" s="169"/>
      <c r="AA840" s="170" t="s">
        <v>5699</v>
      </c>
      <c r="AB840" s="243" t="s">
        <v>6599</v>
      </c>
      <c r="AC840" s="172">
        <v>2790</v>
      </c>
      <c r="AE840" s="222" t="s">
        <v>5524</v>
      </c>
      <c r="AF840" s="138"/>
      <c r="AG840" s="138" t="s">
        <v>56</v>
      </c>
      <c r="AH840" s="138" t="s">
        <v>86</v>
      </c>
      <c r="AI840" s="138" t="s">
        <v>6655</v>
      </c>
      <c r="AJ840" s="138" t="s">
        <v>56</v>
      </c>
      <c r="AK840" s="138" t="s">
        <v>1076</v>
      </c>
      <c r="AL840" s="222"/>
    </row>
    <row r="841" spans="1:38" s="200" customFormat="1" ht="165" x14ac:dyDescent="0.25">
      <c r="A841" s="14">
        <v>45772</v>
      </c>
      <c r="B841" s="164" t="s">
        <v>6656</v>
      </c>
      <c r="C841" s="41" t="s">
        <v>6657</v>
      </c>
      <c r="D841" s="41"/>
      <c r="E841" s="42" t="s">
        <v>39</v>
      </c>
      <c r="F841" s="43"/>
      <c r="G841" s="43"/>
      <c r="H841" s="19">
        <v>1</v>
      </c>
      <c r="I841" s="245" t="s">
        <v>6658</v>
      </c>
      <c r="J841" s="45">
        <v>5</v>
      </c>
      <c r="K841" s="46" t="s">
        <v>6659</v>
      </c>
      <c r="L841" s="47" t="s">
        <v>63</v>
      </c>
      <c r="M841" s="73" t="s">
        <v>42</v>
      </c>
      <c r="N841" s="77" t="s">
        <v>6660</v>
      </c>
      <c r="O841" s="49" t="s">
        <v>6661</v>
      </c>
      <c r="P841" s="49" t="s">
        <v>6662</v>
      </c>
      <c r="Q841" s="49" t="s">
        <v>6663</v>
      </c>
      <c r="R841" s="50">
        <v>35</v>
      </c>
      <c r="S841" s="50">
        <v>528</v>
      </c>
      <c r="T841" s="51" t="s">
        <v>47</v>
      </c>
      <c r="U841" s="51">
        <v>3</v>
      </c>
      <c r="V841" s="52">
        <f t="shared" si="22"/>
        <v>15</v>
      </c>
      <c r="W841" s="51" t="s">
        <v>221</v>
      </c>
      <c r="X841" s="202" t="s">
        <v>1189</v>
      </c>
      <c r="Y841" s="263" t="s">
        <v>144</v>
      </c>
      <c r="Z841" s="169"/>
      <c r="AA841" s="170" t="s">
        <v>6664</v>
      </c>
      <c r="AB841" s="243" t="s">
        <v>254</v>
      </c>
      <c r="AC841" s="172">
        <f>1848+1650</f>
        <v>3498</v>
      </c>
      <c r="AE841" s="222" t="s">
        <v>5524</v>
      </c>
      <c r="AF841" s="138"/>
      <c r="AG841" s="138" t="s">
        <v>56</v>
      </c>
      <c r="AH841" s="138" t="s">
        <v>86</v>
      </c>
      <c r="AI841" s="138" t="s">
        <v>6665</v>
      </c>
      <c r="AJ841" s="138"/>
      <c r="AK841" s="138"/>
      <c r="AL841" s="222"/>
    </row>
    <row r="842" spans="1:38" s="200" customFormat="1" ht="75" x14ac:dyDescent="0.25">
      <c r="A842" s="14">
        <v>45772</v>
      </c>
      <c r="B842" s="539" t="s">
        <v>6642</v>
      </c>
      <c r="C842" s="540" t="s">
        <v>6666</v>
      </c>
      <c r="D842" s="541"/>
      <c r="E842" s="542" t="s">
        <v>39</v>
      </c>
      <c r="F842" s="19">
        <v>1</v>
      </c>
      <c r="G842" s="543"/>
      <c r="H842" s="543"/>
      <c r="I842" s="245" t="s">
        <v>6667</v>
      </c>
      <c r="J842" s="544">
        <v>6</v>
      </c>
      <c r="K842" s="545" t="s">
        <v>6668</v>
      </c>
      <c r="L842" s="546" t="s">
        <v>63</v>
      </c>
      <c r="M842" s="546" t="s">
        <v>42</v>
      </c>
      <c r="N842" s="547" t="s">
        <v>6669</v>
      </c>
      <c r="O842" s="548"/>
      <c r="P842" s="548" t="s">
        <v>6670</v>
      </c>
      <c r="Q842" s="548" t="s">
        <v>6671</v>
      </c>
      <c r="R842" s="549">
        <v>25</v>
      </c>
      <c r="S842" s="549">
        <v>53</v>
      </c>
      <c r="T842" s="542" t="s">
        <v>96</v>
      </c>
      <c r="U842" s="542">
        <v>7</v>
      </c>
      <c r="V842" s="550">
        <f t="shared" si="22"/>
        <v>42</v>
      </c>
      <c r="W842" s="542" t="s">
        <v>350</v>
      </c>
      <c r="X842" s="202" t="s">
        <v>765</v>
      </c>
      <c r="Y842" s="199" t="s">
        <v>50</v>
      </c>
      <c r="Z842" s="169"/>
      <c r="AA842" s="170" t="s">
        <v>6672</v>
      </c>
      <c r="AB842" s="243" t="s">
        <v>6673</v>
      </c>
      <c r="AC842" s="172">
        <v>7617.5</v>
      </c>
      <c r="AE842" s="137" t="s">
        <v>5524</v>
      </c>
      <c r="AG842" s="138" t="s">
        <v>56</v>
      </c>
      <c r="AH842" s="138" t="s">
        <v>56</v>
      </c>
      <c r="AI842" s="138"/>
      <c r="AJ842" s="138"/>
      <c r="AK842" s="138"/>
      <c r="AL842" s="222"/>
    </row>
    <row r="843" spans="1:38" s="200" customFormat="1" ht="181.5" customHeight="1" x14ac:dyDescent="0.25">
      <c r="A843" s="14">
        <v>45771</v>
      </c>
      <c r="B843" s="41" t="s">
        <v>6674</v>
      </c>
      <c r="C843" s="41" t="s">
        <v>6675</v>
      </c>
      <c r="D843" s="71"/>
      <c r="E843" s="42" t="s">
        <v>39</v>
      </c>
      <c r="F843" s="365"/>
      <c r="G843" s="43"/>
      <c r="H843" s="19">
        <v>1</v>
      </c>
      <c r="I843" s="245" t="s">
        <v>6676</v>
      </c>
      <c r="J843" s="45">
        <v>4</v>
      </c>
      <c r="K843" s="46" t="s">
        <v>6677</v>
      </c>
      <c r="L843" s="47" t="s">
        <v>63</v>
      </c>
      <c r="M843" s="73" t="s">
        <v>42</v>
      </c>
      <c r="N843" s="77" t="s">
        <v>6678</v>
      </c>
      <c r="O843" s="49"/>
      <c r="P843" s="197" t="s">
        <v>6679</v>
      </c>
      <c r="Q843" s="49" t="s">
        <v>110</v>
      </c>
      <c r="R843" s="50">
        <v>77</v>
      </c>
      <c r="S843" s="50">
        <v>523</v>
      </c>
      <c r="T843" s="51" t="s">
        <v>67</v>
      </c>
      <c r="U843" s="51">
        <v>57</v>
      </c>
      <c r="V843" s="52">
        <f t="shared" si="22"/>
        <v>228</v>
      </c>
      <c r="W843" s="51" t="s">
        <v>221</v>
      </c>
      <c r="X843" s="198" t="s">
        <v>1046</v>
      </c>
      <c r="Y843" s="199" t="s">
        <v>70</v>
      </c>
      <c r="Z843" s="169"/>
      <c r="AA843" s="170" t="s">
        <v>6680</v>
      </c>
      <c r="AB843" s="243" t="s">
        <v>6681</v>
      </c>
      <c r="AC843" s="172">
        <v>5510.6</v>
      </c>
      <c r="AE843" s="138" t="s">
        <v>4867</v>
      </c>
      <c r="AF843" s="138"/>
      <c r="AG843" s="138" t="s">
        <v>56</v>
      </c>
      <c r="AH843" s="138" t="s">
        <v>56</v>
      </c>
      <c r="AI843" s="138"/>
      <c r="AJ843" s="138"/>
      <c r="AK843" s="138"/>
    </row>
    <row r="844" spans="1:38" s="200" customFormat="1" ht="121.5" customHeight="1" x14ac:dyDescent="0.25">
      <c r="A844" s="14">
        <v>45771</v>
      </c>
      <c r="B844" s="41" t="s">
        <v>5812</v>
      </c>
      <c r="C844" s="41" t="s">
        <v>6682</v>
      </c>
      <c r="D844" s="433" t="s">
        <v>6683</v>
      </c>
      <c r="E844" s="42" t="s">
        <v>39</v>
      </c>
      <c r="F844" s="43"/>
      <c r="G844" s="43"/>
      <c r="H844" s="19">
        <v>1</v>
      </c>
      <c r="I844" s="245" t="s">
        <v>6684</v>
      </c>
      <c r="J844" s="45">
        <v>100</v>
      </c>
      <c r="K844" s="46" t="s">
        <v>6685</v>
      </c>
      <c r="L844" s="47" t="s">
        <v>63</v>
      </c>
      <c r="M844" s="73" t="s">
        <v>42</v>
      </c>
      <c r="N844" s="370" t="s">
        <v>6686</v>
      </c>
      <c r="O844" s="49" t="s">
        <v>6687</v>
      </c>
      <c r="P844" s="49" t="s">
        <v>6688</v>
      </c>
      <c r="Q844" s="49" t="s">
        <v>6689</v>
      </c>
      <c r="R844" s="50">
        <v>75</v>
      </c>
      <c r="S844" s="50">
        <v>539</v>
      </c>
      <c r="T844" s="51" t="s">
        <v>47</v>
      </c>
      <c r="U844" s="51">
        <v>7</v>
      </c>
      <c r="V844" s="75">
        <f t="shared" si="22"/>
        <v>700</v>
      </c>
      <c r="W844" s="51" t="s">
        <v>142</v>
      </c>
      <c r="X844" s="198" t="s">
        <v>331</v>
      </c>
      <c r="Y844" s="199" t="s">
        <v>82</v>
      </c>
      <c r="Z844" s="169" t="s">
        <v>6690</v>
      </c>
      <c r="AA844" s="170" t="s">
        <v>6380</v>
      </c>
      <c r="AB844" s="243" t="s">
        <v>6381</v>
      </c>
      <c r="AC844" s="172">
        <v>14500</v>
      </c>
      <c r="AE844" s="222" t="s">
        <v>4867</v>
      </c>
      <c r="AF844"/>
      <c r="AG844" s="138" t="s">
        <v>6691</v>
      </c>
      <c r="AH844" s="138" t="s">
        <v>86</v>
      </c>
      <c r="AI844"/>
      <c r="AJ844"/>
      <c r="AK844"/>
      <c r="AL844" s="138" t="s">
        <v>6692</v>
      </c>
    </row>
    <row r="845" spans="1:38" ht="150" x14ac:dyDescent="0.25">
      <c r="A845" s="14">
        <v>45771</v>
      </c>
      <c r="B845" s="164" t="s">
        <v>6626</v>
      </c>
      <c r="C845" s="41" t="s">
        <v>6693</v>
      </c>
      <c r="D845" s="273" t="s">
        <v>6694</v>
      </c>
      <c r="E845" s="42" t="s">
        <v>39</v>
      </c>
      <c r="F845" s="19">
        <v>1</v>
      </c>
      <c r="G845" s="43"/>
      <c r="H845" s="43"/>
      <c r="I845" s="245" t="s">
        <v>6695</v>
      </c>
      <c r="J845" s="45">
        <v>20</v>
      </c>
      <c r="K845" s="46" t="s">
        <v>6696</v>
      </c>
      <c r="L845" s="47" t="s">
        <v>63</v>
      </c>
      <c r="M845" s="73" t="s">
        <v>42</v>
      </c>
      <c r="N845" s="77" t="s">
        <v>6697</v>
      </c>
      <c r="O845" s="49" t="s">
        <v>6698</v>
      </c>
      <c r="P845" s="49" t="s">
        <v>6663</v>
      </c>
      <c r="Q845" s="49" t="s">
        <v>6699</v>
      </c>
      <c r="R845" s="50">
        <v>45</v>
      </c>
      <c r="S845" s="50">
        <v>220</v>
      </c>
      <c r="T845" s="51" t="s">
        <v>47</v>
      </c>
      <c r="U845" s="51">
        <v>30</v>
      </c>
      <c r="V845" s="75">
        <f t="shared" si="22"/>
        <v>600</v>
      </c>
      <c r="W845" s="51" t="s">
        <v>5543</v>
      </c>
      <c r="X845" s="202" t="s">
        <v>765</v>
      </c>
      <c r="Y845" s="168" t="s">
        <v>50</v>
      </c>
      <c r="Z845" s="169" t="s">
        <v>6700</v>
      </c>
      <c r="AA845" s="170" t="s">
        <v>6210</v>
      </c>
      <c r="AB845" s="243" t="s">
        <v>112</v>
      </c>
      <c r="AC845" s="172">
        <v>10352</v>
      </c>
      <c r="AE845" s="222" t="s">
        <v>4867</v>
      </c>
      <c r="AF845" s="222"/>
      <c r="AG845" s="222" t="s">
        <v>56</v>
      </c>
      <c r="AH845" s="222" t="s">
        <v>56</v>
      </c>
      <c r="AI845" s="222"/>
      <c r="AJ845" s="222"/>
      <c r="AK845" s="222"/>
      <c r="AL845" s="222"/>
    </row>
    <row r="846" spans="1:38" s="200" customFormat="1" ht="51" x14ac:dyDescent="0.25">
      <c r="A846" s="14">
        <v>45770</v>
      </c>
      <c r="B846" s="95"/>
      <c r="C846" s="95" t="s">
        <v>6701</v>
      </c>
      <c r="D846" s="95"/>
      <c r="E846" s="96" t="s">
        <v>195</v>
      </c>
      <c r="F846" s="97"/>
      <c r="G846" s="97"/>
      <c r="H846" s="97"/>
      <c r="I846" s="245" t="s">
        <v>9853</v>
      </c>
      <c r="J846" s="98">
        <v>25</v>
      </c>
      <c r="K846" s="99" t="s">
        <v>6702</v>
      </c>
      <c r="L846" s="99" t="s">
        <v>2399</v>
      </c>
      <c r="M846" s="96"/>
      <c r="N846" s="101" t="s">
        <v>6703</v>
      </c>
      <c r="O846" s="102"/>
      <c r="P846" s="102"/>
      <c r="Q846" s="102"/>
      <c r="R846" s="103" t="s">
        <v>2399</v>
      </c>
      <c r="S846" s="103" t="s">
        <v>2399</v>
      </c>
      <c r="T846" s="96" t="s">
        <v>2399</v>
      </c>
      <c r="U846" s="96"/>
      <c r="V846" s="104">
        <f t="shared" si="22"/>
        <v>0</v>
      </c>
      <c r="W846" s="96" t="s">
        <v>142</v>
      </c>
      <c r="X846" s="198" t="s">
        <v>2148</v>
      </c>
      <c r="Y846" s="199" t="s">
        <v>3963</v>
      </c>
      <c r="Z846" s="169"/>
      <c r="AA846" s="170" t="s">
        <v>83</v>
      </c>
      <c r="AB846" s="243" t="s">
        <v>6673</v>
      </c>
      <c r="AC846" s="172">
        <v>3250</v>
      </c>
      <c r="AE846" s="138" t="s">
        <v>86</v>
      </c>
      <c r="AG846" s="138" t="s">
        <v>56</v>
      </c>
      <c r="AH846" s="138" t="s">
        <v>86</v>
      </c>
    </row>
    <row r="847" spans="1:38" ht="83.25" customHeight="1" x14ac:dyDescent="0.25">
      <c r="A847" s="14">
        <v>45770</v>
      </c>
      <c r="B847" s="41" t="s">
        <v>6704</v>
      </c>
      <c r="C847" s="164" t="s">
        <v>6705</v>
      </c>
      <c r="D847" s="41" t="s">
        <v>6706</v>
      </c>
      <c r="E847" s="42" t="s">
        <v>39</v>
      </c>
      <c r="F847" s="43"/>
      <c r="G847" s="43"/>
      <c r="H847" s="19">
        <v>1</v>
      </c>
      <c r="I847" s="245" t="s">
        <v>6707</v>
      </c>
      <c r="J847" s="45">
        <v>55</v>
      </c>
      <c r="K847" s="46" t="s">
        <v>6708</v>
      </c>
      <c r="L847" s="47" t="s">
        <v>63</v>
      </c>
      <c r="M847" s="42" t="s">
        <v>42</v>
      </c>
      <c r="N847" s="77" t="s">
        <v>6709</v>
      </c>
      <c r="O847" s="49" t="s">
        <v>6710</v>
      </c>
      <c r="P847" s="49" t="s">
        <v>6711</v>
      </c>
      <c r="Q847" s="49" t="s">
        <v>6712</v>
      </c>
      <c r="R847" s="50">
        <v>80</v>
      </c>
      <c r="S847" s="50">
        <v>502</v>
      </c>
      <c r="T847" s="51" t="s">
        <v>47</v>
      </c>
      <c r="U847" s="51">
        <v>6</v>
      </c>
      <c r="V847" s="52">
        <f t="shared" si="22"/>
        <v>330</v>
      </c>
      <c r="W847" s="51" t="s">
        <v>350</v>
      </c>
      <c r="X847" s="198" t="s">
        <v>6713</v>
      </c>
      <c r="Y847" s="168" t="s">
        <v>50</v>
      </c>
      <c r="Z847" s="169"/>
      <c r="AA847" s="170" t="s">
        <v>6418</v>
      </c>
      <c r="AB847" s="243" t="s">
        <v>112</v>
      </c>
      <c r="AC847" s="172">
        <v>9245.5</v>
      </c>
      <c r="AE847" s="222" t="s">
        <v>5524</v>
      </c>
      <c r="AF847" s="517"/>
      <c r="AG847" s="517" t="s">
        <v>56</v>
      </c>
      <c r="AH847" s="517" t="s">
        <v>56</v>
      </c>
      <c r="AI847" s="517"/>
      <c r="AJ847" s="517" t="s">
        <v>56</v>
      </c>
      <c r="AK847" s="222" t="s">
        <v>6714</v>
      </c>
      <c r="AL847" s="222" t="s">
        <v>6715</v>
      </c>
    </row>
    <row r="848" spans="1:38" ht="108.75" x14ac:dyDescent="0.25">
      <c r="A848" s="14">
        <v>45770</v>
      </c>
      <c r="B848" s="164" t="s">
        <v>6648</v>
      </c>
      <c r="C848" s="41" t="s">
        <v>6716</v>
      </c>
      <c r="D848" s="71"/>
      <c r="E848" s="42" t="s">
        <v>39</v>
      </c>
      <c r="F848" s="19">
        <v>1</v>
      </c>
      <c r="G848" s="43"/>
      <c r="H848" s="43"/>
      <c r="I848" s="245" t="s">
        <v>6717</v>
      </c>
      <c r="J848" s="45">
        <v>100</v>
      </c>
      <c r="K848" s="46" t="s">
        <v>6718</v>
      </c>
      <c r="L848" s="47" t="s">
        <v>63</v>
      </c>
      <c r="M848" s="73" t="s">
        <v>42</v>
      </c>
      <c r="N848" s="77" t="s">
        <v>6719</v>
      </c>
      <c r="O848" s="49"/>
      <c r="P848" s="49" t="s">
        <v>6720</v>
      </c>
      <c r="Q848" s="49" t="s">
        <v>6721</v>
      </c>
      <c r="R848" s="50">
        <v>5</v>
      </c>
      <c r="S848" s="50">
        <v>7</v>
      </c>
      <c r="T848" s="51" t="s">
        <v>96</v>
      </c>
      <c r="U848" s="51">
        <v>0</v>
      </c>
      <c r="V848" s="52">
        <f t="shared" si="22"/>
        <v>0</v>
      </c>
      <c r="W848" s="51" t="s">
        <v>5543</v>
      </c>
      <c r="X848" s="198" t="s">
        <v>6055</v>
      </c>
      <c r="Y848" s="168" t="s">
        <v>50</v>
      </c>
      <c r="Z848" s="169"/>
      <c r="AA848" s="170" t="s">
        <v>5699</v>
      </c>
      <c r="AB848" s="243" t="s">
        <v>5700</v>
      </c>
      <c r="AC848" s="172">
        <v>2170</v>
      </c>
      <c r="AE848" s="222" t="s">
        <v>6722</v>
      </c>
      <c r="AF848" s="222"/>
      <c r="AG848" s="222" t="s">
        <v>56</v>
      </c>
      <c r="AH848" s="222" t="s">
        <v>86</v>
      </c>
      <c r="AI848" s="222" t="s">
        <v>6723</v>
      </c>
      <c r="AJ848" s="222" t="s">
        <v>56</v>
      </c>
      <c r="AK848" s="222" t="s">
        <v>1076</v>
      </c>
      <c r="AL848" s="222"/>
    </row>
    <row r="849" spans="1:38" s="200" customFormat="1" ht="51.75" customHeight="1" x14ac:dyDescent="0.25">
      <c r="A849" s="14">
        <v>45770</v>
      </c>
      <c r="B849" s="164" t="s">
        <v>6724</v>
      </c>
      <c r="C849" s="41" t="s">
        <v>6725</v>
      </c>
      <c r="D849" s="41" t="s">
        <v>6726</v>
      </c>
      <c r="E849" s="42" t="s">
        <v>39</v>
      </c>
      <c r="F849" s="43"/>
      <c r="G849" s="43"/>
      <c r="H849" s="19">
        <v>1</v>
      </c>
      <c r="I849" s="245" t="s">
        <v>6727</v>
      </c>
      <c r="J849" s="45">
        <v>200</v>
      </c>
      <c r="K849" s="46" t="s">
        <v>6728</v>
      </c>
      <c r="L849" s="47" t="s">
        <v>63</v>
      </c>
      <c r="M849" s="73" t="s">
        <v>42</v>
      </c>
      <c r="N849" s="77" t="s">
        <v>6729</v>
      </c>
      <c r="O849" s="49" t="s">
        <v>6730</v>
      </c>
      <c r="P849" s="49" t="s">
        <v>272</v>
      </c>
      <c r="Q849" s="49" t="s">
        <v>6731</v>
      </c>
      <c r="R849" s="50">
        <v>40</v>
      </c>
      <c r="S849" s="50">
        <v>63</v>
      </c>
      <c r="T849" s="51" t="s">
        <v>47</v>
      </c>
      <c r="U849" s="51">
        <v>0</v>
      </c>
      <c r="V849" s="52">
        <f t="shared" si="22"/>
        <v>0</v>
      </c>
      <c r="W849" s="51" t="s">
        <v>221</v>
      </c>
      <c r="X849" s="198" t="s">
        <v>6732</v>
      </c>
      <c r="Y849" s="199" t="s">
        <v>82</v>
      </c>
      <c r="Z849" s="169"/>
      <c r="AA849" s="170" t="s">
        <v>326</v>
      </c>
      <c r="AB849" s="243" t="s">
        <v>6733</v>
      </c>
      <c r="AC849" s="172">
        <v>4500</v>
      </c>
      <c r="AE849" s="222" t="s">
        <v>6722</v>
      </c>
      <c r="AF849" s="138"/>
      <c r="AG849" s="138" t="s">
        <v>56</v>
      </c>
      <c r="AH849" s="138" t="s">
        <v>86</v>
      </c>
      <c r="AI849" s="138"/>
      <c r="AJ849" s="138"/>
      <c r="AK849" s="138"/>
    </row>
    <row r="850" spans="1:38" s="200" customFormat="1" ht="75.75" customHeight="1" x14ac:dyDescent="0.25">
      <c r="A850" s="14">
        <v>45769</v>
      </c>
      <c r="B850" s="164" t="s">
        <v>6734</v>
      </c>
      <c r="C850" s="164" t="s">
        <v>6735</v>
      </c>
      <c r="D850" s="71" t="s">
        <v>6736</v>
      </c>
      <c r="E850" s="42" t="s">
        <v>39</v>
      </c>
      <c r="F850" s="19">
        <v>1</v>
      </c>
      <c r="G850" s="43"/>
      <c r="H850" s="43"/>
      <c r="I850" s="245" t="s">
        <v>6737</v>
      </c>
      <c r="J850" s="45">
        <v>27</v>
      </c>
      <c r="K850" s="46" t="s">
        <v>6738</v>
      </c>
      <c r="L850" s="47" t="s">
        <v>63</v>
      </c>
      <c r="M850" s="42" t="s">
        <v>42</v>
      </c>
      <c r="N850" s="359" t="s">
        <v>6739</v>
      </c>
      <c r="O850" s="49" t="s">
        <v>6740</v>
      </c>
      <c r="P850" s="49" t="s">
        <v>6652</v>
      </c>
      <c r="Q850" s="49" t="s">
        <v>6653</v>
      </c>
      <c r="R850" s="50">
        <v>49</v>
      </c>
      <c r="S850" s="50">
        <v>120</v>
      </c>
      <c r="T850" s="51" t="s">
        <v>47</v>
      </c>
      <c r="U850" s="51">
        <v>11</v>
      </c>
      <c r="V850" s="52">
        <f t="shared" si="22"/>
        <v>297</v>
      </c>
      <c r="W850" s="51" t="s">
        <v>5543</v>
      </c>
      <c r="X850" s="198" t="s">
        <v>1420</v>
      </c>
      <c r="Y850" s="199" t="s">
        <v>82</v>
      </c>
      <c r="Z850" s="169"/>
      <c r="AA850" s="170" t="s">
        <v>5699</v>
      </c>
      <c r="AB850" s="243" t="s">
        <v>84</v>
      </c>
      <c r="AC850" s="35">
        <f>(3655*J850/100)</f>
        <v>986.85</v>
      </c>
      <c r="AE850" s="138" t="s">
        <v>4867</v>
      </c>
      <c r="AF850" s="138" t="s">
        <v>6741</v>
      </c>
      <c r="AG850" s="138" t="s">
        <v>56</v>
      </c>
      <c r="AH850" s="138" t="s">
        <v>86</v>
      </c>
      <c r="AI850" s="138" t="s">
        <v>86</v>
      </c>
      <c r="AJ850" s="138" t="s">
        <v>56</v>
      </c>
      <c r="AK850" s="138" t="s">
        <v>1076</v>
      </c>
    </row>
    <row r="851" spans="1:38" s="200" customFormat="1" ht="105" x14ac:dyDescent="0.25">
      <c r="A851" s="14">
        <v>45769</v>
      </c>
      <c r="B851" s="41" t="s">
        <v>5812</v>
      </c>
      <c r="C851" s="41" t="s">
        <v>6742</v>
      </c>
      <c r="D851" s="41"/>
      <c r="E851" s="42" t="s">
        <v>39</v>
      </c>
      <c r="F851" s="43"/>
      <c r="G851" s="43"/>
      <c r="H851" s="19">
        <v>2</v>
      </c>
      <c r="I851" s="245" t="s">
        <v>6743</v>
      </c>
      <c r="J851" s="45">
        <v>109</v>
      </c>
      <c r="K851" s="46" t="s">
        <v>6744</v>
      </c>
      <c r="L851" s="47" t="s">
        <v>63</v>
      </c>
      <c r="M851" s="42" t="s">
        <v>42</v>
      </c>
      <c r="N851" s="77" t="s">
        <v>6745</v>
      </c>
      <c r="O851" s="49"/>
      <c r="P851" s="49" t="s">
        <v>6746</v>
      </c>
      <c r="Q851" s="49" t="s">
        <v>6747</v>
      </c>
      <c r="R851" s="50">
        <v>21</v>
      </c>
      <c r="S851" s="50">
        <v>44</v>
      </c>
      <c r="T851" s="51" t="s">
        <v>96</v>
      </c>
      <c r="U851" s="51">
        <v>7</v>
      </c>
      <c r="V851" s="75">
        <f t="shared" si="22"/>
        <v>763</v>
      </c>
      <c r="W851" s="51" t="s">
        <v>6748</v>
      </c>
      <c r="X851" s="198" t="s">
        <v>6749</v>
      </c>
      <c r="Y851" s="263" t="s">
        <v>144</v>
      </c>
      <c r="Z851" s="169" t="s">
        <v>6750</v>
      </c>
      <c r="AA851" s="170" t="s">
        <v>6418</v>
      </c>
      <c r="AB851" s="243" t="s">
        <v>6419</v>
      </c>
      <c r="AC851" s="172">
        <v>4062.9</v>
      </c>
      <c r="AE851" s="460" t="s">
        <v>6751</v>
      </c>
      <c r="AF851" s="222" t="s">
        <v>6741</v>
      </c>
      <c r="AG851" s="222" t="s">
        <v>56</v>
      </c>
      <c r="AH851" s="222" t="s">
        <v>86</v>
      </c>
      <c r="AI851" s="222"/>
      <c r="AJ851" s="222"/>
      <c r="AK851" s="222"/>
      <c r="AL851" s="222"/>
    </row>
    <row r="852" spans="1:38" ht="60" x14ac:dyDescent="0.25">
      <c r="A852" s="14">
        <v>45769</v>
      </c>
      <c r="B852" s="41" t="s">
        <v>5812</v>
      </c>
      <c r="C852" s="41" t="s">
        <v>6742</v>
      </c>
      <c r="D852" s="41"/>
      <c r="E852" s="42" t="s">
        <v>39</v>
      </c>
      <c r="F852" s="43"/>
      <c r="G852" s="43"/>
      <c r="H852" s="19">
        <v>1</v>
      </c>
      <c r="I852" s="245" t="s">
        <v>6752</v>
      </c>
      <c r="J852" s="45">
        <v>22</v>
      </c>
      <c r="K852" s="46" t="s">
        <v>6744</v>
      </c>
      <c r="L852" s="47" t="s">
        <v>63</v>
      </c>
      <c r="M852" s="42" t="s">
        <v>42</v>
      </c>
      <c r="N852" s="359" t="s">
        <v>6753</v>
      </c>
      <c r="O852" s="49" t="s">
        <v>119</v>
      </c>
      <c r="P852" s="49" t="s">
        <v>6754</v>
      </c>
      <c r="Q852" s="49" t="s">
        <v>6746</v>
      </c>
      <c r="R852" s="50">
        <v>102</v>
      </c>
      <c r="S852" s="50">
        <v>769</v>
      </c>
      <c r="T852" s="51" t="s">
        <v>180</v>
      </c>
      <c r="U852" s="51">
        <v>55</v>
      </c>
      <c r="V852" s="75">
        <f t="shared" si="22"/>
        <v>1210</v>
      </c>
      <c r="W852" s="51" t="s">
        <v>142</v>
      </c>
      <c r="X852" s="198" t="s">
        <v>6755</v>
      </c>
      <c r="Y852" s="168" t="s">
        <v>82</v>
      </c>
      <c r="Z852" s="169"/>
      <c r="AA852" s="170" t="s">
        <v>6356</v>
      </c>
      <c r="AB852" s="243" t="s">
        <v>6419</v>
      </c>
      <c r="AC852" s="172">
        <v>6415.2</v>
      </c>
      <c r="AE852" s="460" t="s">
        <v>5524</v>
      </c>
      <c r="AF852" s="138"/>
      <c r="AG852" s="138" t="s">
        <v>56</v>
      </c>
      <c r="AH852" s="138" t="s">
        <v>56</v>
      </c>
      <c r="AI852" s="138"/>
      <c r="AJ852" s="138" t="s">
        <v>56</v>
      </c>
      <c r="AK852" s="138" t="s">
        <v>1076</v>
      </c>
      <c r="AL852" s="222"/>
    </row>
    <row r="853" spans="1:38" ht="51" customHeight="1" x14ac:dyDescent="0.25">
      <c r="A853" s="14">
        <v>45768</v>
      </c>
      <c r="B853" s="164" t="s">
        <v>6648</v>
      </c>
      <c r="C853" s="41" t="s">
        <v>6756</v>
      </c>
      <c r="D853" s="71"/>
      <c r="E853" s="42" t="s">
        <v>39</v>
      </c>
      <c r="F853" s="19">
        <v>2</v>
      </c>
      <c r="G853" s="365"/>
      <c r="H853" s="365"/>
      <c r="I853" s="245" t="s">
        <v>6757</v>
      </c>
      <c r="J853" s="45">
        <v>100</v>
      </c>
      <c r="K853" s="46" t="s">
        <v>6758</v>
      </c>
      <c r="L853" s="47" t="s">
        <v>63</v>
      </c>
      <c r="M853" s="73" t="s">
        <v>42</v>
      </c>
      <c r="N853" s="77" t="s">
        <v>6759</v>
      </c>
      <c r="O853" s="49" t="s">
        <v>6760</v>
      </c>
      <c r="P853" s="49" t="s">
        <v>128</v>
      </c>
      <c r="Q853" s="49" t="s">
        <v>6761</v>
      </c>
      <c r="R853" s="50">
        <v>3</v>
      </c>
      <c r="S853" s="50">
        <v>14</v>
      </c>
      <c r="T853" s="51" t="s">
        <v>47</v>
      </c>
      <c r="U853" s="51">
        <v>0</v>
      </c>
      <c r="V853" s="52">
        <f t="shared" si="22"/>
        <v>0</v>
      </c>
      <c r="W853" s="51" t="s">
        <v>5543</v>
      </c>
      <c r="X853" s="198" t="s">
        <v>6055</v>
      </c>
      <c r="Y853" s="168" t="s">
        <v>50</v>
      </c>
      <c r="Z853" s="169"/>
      <c r="AA853" s="170" t="s">
        <v>5699</v>
      </c>
      <c r="AB853" s="243" t="s">
        <v>5700</v>
      </c>
      <c r="AC853" s="172">
        <v>3570</v>
      </c>
      <c r="AE853" s="222" t="s">
        <v>4867</v>
      </c>
      <c r="AF853" s="222"/>
      <c r="AG853" s="222" t="s">
        <v>56</v>
      </c>
      <c r="AH853" s="222" t="s">
        <v>86</v>
      </c>
      <c r="AI853" s="222"/>
      <c r="AJ853" s="222" t="s">
        <v>56</v>
      </c>
      <c r="AK853" s="222" t="s">
        <v>1076</v>
      </c>
    </row>
    <row r="854" spans="1:38" s="200" customFormat="1" ht="98.25" customHeight="1" x14ac:dyDescent="0.25">
      <c r="A854" s="14">
        <v>45765</v>
      </c>
      <c r="B854" s="174" t="s">
        <v>6762</v>
      </c>
      <c r="C854" s="95" t="s">
        <v>6763</v>
      </c>
      <c r="D854" s="95" t="s">
        <v>6764</v>
      </c>
      <c r="E854" s="96" t="s">
        <v>39</v>
      </c>
      <c r="F854" s="19">
        <v>1</v>
      </c>
      <c r="G854" s="97"/>
      <c r="H854" s="97"/>
      <c r="I854" s="245" t="s">
        <v>6765</v>
      </c>
      <c r="J854" s="98">
        <f>148-132</f>
        <v>16</v>
      </c>
      <c r="K854" s="99" t="s">
        <v>6766</v>
      </c>
      <c r="L854" s="100" t="s">
        <v>63</v>
      </c>
      <c r="M854" s="520" t="s">
        <v>42</v>
      </c>
      <c r="N854" s="101" t="s">
        <v>6767</v>
      </c>
      <c r="O854" s="102" t="s">
        <v>6768</v>
      </c>
      <c r="P854" s="102" t="s">
        <v>6769</v>
      </c>
      <c r="Q854" s="102" t="s">
        <v>6770</v>
      </c>
      <c r="R854" s="103">
        <v>38</v>
      </c>
      <c r="S854" s="103">
        <v>114</v>
      </c>
      <c r="T854" s="96" t="s">
        <v>47</v>
      </c>
      <c r="U854" s="96">
        <v>0</v>
      </c>
      <c r="V854" s="104">
        <f t="shared" si="22"/>
        <v>0</v>
      </c>
      <c r="W854" s="96" t="s">
        <v>350</v>
      </c>
      <c r="X854" s="198" t="s">
        <v>6587</v>
      </c>
      <c r="Y854" s="199" t="s">
        <v>50</v>
      </c>
      <c r="Z854" s="269"/>
      <c r="AA854" s="170" t="s">
        <v>6680</v>
      </c>
      <c r="AB854" s="243" t="s">
        <v>84</v>
      </c>
      <c r="AC854" s="35">
        <f>(9060.56*J854/148)</f>
        <v>979.52</v>
      </c>
      <c r="AE854" s="460" t="s">
        <v>6751</v>
      </c>
      <c r="AF854" s="138" t="s">
        <v>6624</v>
      </c>
      <c r="AG854" s="138" t="s">
        <v>56</v>
      </c>
      <c r="AH854" s="138" t="s">
        <v>56</v>
      </c>
      <c r="AI854" s="138"/>
      <c r="AJ854" s="138"/>
      <c r="AK854" s="138"/>
    </row>
    <row r="855" spans="1:38" s="200" customFormat="1" ht="168" customHeight="1" x14ac:dyDescent="0.25">
      <c r="A855" s="14">
        <v>45765</v>
      </c>
      <c r="B855" s="174" t="s">
        <v>6762</v>
      </c>
      <c r="C855" s="95" t="s">
        <v>6771</v>
      </c>
      <c r="D855" s="379" t="s">
        <v>6772</v>
      </c>
      <c r="E855" s="96" t="s">
        <v>39</v>
      </c>
      <c r="F855" s="19">
        <v>1</v>
      </c>
      <c r="G855" s="97"/>
      <c r="H855" s="97"/>
      <c r="I855" s="245" t="s">
        <v>6773</v>
      </c>
      <c r="J855" s="98">
        <v>132</v>
      </c>
      <c r="K855" s="99" t="s">
        <v>6774</v>
      </c>
      <c r="L855" s="100" t="s">
        <v>63</v>
      </c>
      <c r="M855" s="96" t="s">
        <v>55</v>
      </c>
      <c r="N855" s="101" t="s">
        <v>6775</v>
      </c>
      <c r="O855" s="102" t="s">
        <v>6768</v>
      </c>
      <c r="P855" s="102" t="s">
        <v>130</v>
      </c>
      <c r="Q855" s="102" t="s">
        <v>6720</v>
      </c>
      <c r="R855" s="103">
        <v>38</v>
      </c>
      <c r="S855" s="103">
        <v>114</v>
      </c>
      <c r="T855" s="96" t="s">
        <v>47</v>
      </c>
      <c r="U855" s="96">
        <v>0</v>
      </c>
      <c r="V855" s="104">
        <f t="shared" si="22"/>
        <v>0</v>
      </c>
      <c r="W855" s="96" t="s">
        <v>350</v>
      </c>
      <c r="X855" s="198" t="s">
        <v>6587</v>
      </c>
      <c r="Y855" s="199" t="s">
        <v>50</v>
      </c>
      <c r="Z855" s="169"/>
      <c r="AA855" s="170" t="s">
        <v>6680</v>
      </c>
      <c r="AB855" s="243" t="s">
        <v>84</v>
      </c>
      <c r="AC855" s="35">
        <f>840+(9060.56*J855/148)</f>
        <v>8921.0399999999991</v>
      </c>
      <c r="AE855" s="460" t="s">
        <v>6751</v>
      </c>
      <c r="AF855" s="138" t="s">
        <v>6624</v>
      </c>
      <c r="AG855" s="138" t="s">
        <v>56</v>
      </c>
      <c r="AH855" s="138" t="s">
        <v>56</v>
      </c>
      <c r="AI855" s="138"/>
      <c r="AJ855" s="138"/>
      <c r="AK855" s="138"/>
    </row>
    <row r="856" spans="1:38" s="200" customFormat="1" ht="112.5" customHeight="1" x14ac:dyDescent="0.25">
      <c r="A856" s="14">
        <v>45765</v>
      </c>
      <c r="B856" s="164" t="s">
        <v>6776</v>
      </c>
      <c r="C856" s="41" t="s">
        <v>6777</v>
      </c>
      <c r="D856" s="41"/>
      <c r="E856" s="42" t="s">
        <v>39</v>
      </c>
      <c r="F856" s="43"/>
      <c r="G856" s="43"/>
      <c r="H856" s="19">
        <v>1</v>
      </c>
      <c r="I856" s="245" t="s">
        <v>6778</v>
      </c>
      <c r="J856" s="45">
        <v>5</v>
      </c>
      <c r="K856" s="46" t="s">
        <v>6779</v>
      </c>
      <c r="L856" s="47" t="s">
        <v>63</v>
      </c>
      <c r="M856" s="73" t="s">
        <v>42</v>
      </c>
      <c r="N856" s="77" t="s">
        <v>6780</v>
      </c>
      <c r="O856" s="49" t="s">
        <v>139</v>
      </c>
      <c r="P856" s="49" t="s">
        <v>6781</v>
      </c>
      <c r="Q856" s="49" t="s">
        <v>140</v>
      </c>
      <c r="R856" s="92">
        <v>177</v>
      </c>
      <c r="S856" s="92">
        <v>1118</v>
      </c>
      <c r="T856" s="51" t="s">
        <v>2482</v>
      </c>
      <c r="U856" s="51">
        <v>146</v>
      </c>
      <c r="V856" s="75">
        <f t="shared" si="22"/>
        <v>730</v>
      </c>
      <c r="W856" s="51" t="s">
        <v>4564</v>
      </c>
      <c r="X856" s="198" t="s">
        <v>6782</v>
      </c>
      <c r="Y856" s="199" t="s">
        <v>3963</v>
      </c>
      <c r="Z856" s="169"/>
      <c r="AA856" s="170" t="s">
        <v>5977</v>
      </c>
      <c r="AB856" s="243" t="s">
        <v>132</v>
      </c>
      <c r="AC856" s="172">
        <v>12860</v>
      </c>
      <c r="AE856" s="138" t="s">
        <v>5524</v>
      </c>
      <c r="AF856" s="138"/>
      <c r="AG856" s="138" t="s">
        <v>6783</v>
      </c>
      <c r="AH856" s="138" t="s">
        <v>56</v>
      </c>
      <c r="AI856" s="138" t="s">
        <v>6784</v>
      </c>
      <c r="AJ856" s="138"/>
      <c r="AK856" s="138"/>
    </row>
    <row r="857" spans="1:38" s="200" customFormat="1" ht="68.25" customHeight="1" x14ac:dyDescent="0.25">
      <c r="A857" s="14">
        <v>45765</v>
      </c>
      <c r="B857" s="41" t="s">
        <v>6785</v>
      </c>
      <c r="C857" s="164" t="s">
        <v>6786</v>
      </c>
      <c r="D857" s="41" t="s">
        <v>6787</v>
      </c>
      <c r="E857" s="42" t="s">
        <v>39</v>
      </c>
      <c r="F857" s="19">
        <v>1</v>
      </c>
      <c r="G857" s="365"/>
      <c r="H857" s="365"/>
      <c r="I857" s="367" t="s">
        <v>6788</v>
      </c>
      <c r="J857" s="45">
        <v>73</v>
      </c>
      <c r="K857" s="46" t="s">
        <v>6779</v>
      </c>
      <c r="L857" s="47" t="s">
        <v>63</v>
      </c>
      <c r="M857" s="42" t="s">
        <v>42</v>
      </c>
      <c r="N857" s="359" t="s">
        <v>6739</v>
      </c>
      <c r="O857" s="49" t="s">
        <v>6789</v>
      </c>
      <c r="P857" s="49" t="s">
        <v>6790</v>
      </c>
      <c r="Q857" s="49" t="s">
        <v>155</v>
      </c>
      <c r="R857" s="50">
        <v>49</v>
      </c>
      <c r="S857" s="50">
        <v>120</v>
      </c>
      <c r="T857" s="51" t="s">
        <v>47</v>
      </c>
      <c r="U857" s="51">
        <v>11</v>
      </c>
      <c r="V857" s="75">
        <f t="shared" si="22"/>
        <v>803</v>
      </c>
      <c r="W857" s="51" t="s">
        <v>5543</v>
      </c>
      <c r="X857" s="198" t="s">
        <v>1420</v>
      </c>
      <c r="Y857" s="199" t="s">
        <v>82</v>
      </c>
      <c r="Z857" s="169"/>
      <c r="AA857" s="170" t="s">
        <v>5699</v>
      </c>
      <c r="AB857" s="243" t="s">
        <v>84</v>
      </c>
      <c r="AC857" s="35">
        <f>(3655*J857/100)</f>
        <v>2668.15</v>
      </c>
      <c r="AE857" s="138" t="s">
        <v>6791</v>
      </c>
      <c r="AF857" s="138" t="s">
        <v>354</v>
      </c>
      <c r="AG857" s="138" t="s">
        <v>56</v>
      </c>
      <c r="AH857" s="138" t="s">
        <v>86</v>
      </c>
      <c r="AI857" s="138" t="s">
        <v>86</v>
      </c>
      <c r="AJ857" s="138" t="s">
        <v>56</v>
      </c>
      <c r="AK857" s="138" t="s">
        <v>1076</v>
      </c>
    </row>
    <row r="858" spans="1:38" s="200" customFormat="1" ht="45" customHeight="1" x14ac:dyDescent="0.25">
      <c r="A858" s="14">
        <v>45764</v>
      </c>
      <c r="B858" s="164" t="s">
        <v>6792</v>
      </c>
      <c r="C858" s="41" t="s">
        <v>6793</v>
      </c>
      <c r="D858" s="71"/>
      <c r="E858" s="42" t="s">
        <v>39</v>
      </c>
      <c r="F858" s="365"/>
      <c r="G858" s="365"/>
      <c r="H858" s="19">
        <v>1</v>
      </c>
      <c r="I858" s="245" t="s">
        <v>6794</v>
      </c>
      <c r="J858" s="45">
        <v>30</v>
      </c>
      <c r="K858" s="46" t="s">
        <v>6795</v>
      </c>
      <c r="L858" s="47" t="s">
        <v>63</v>
      </c>
      <c r="M858" s="73" t="s">
        <v>42</v>
      </c>
      <c r="N858" s="370" t="s">
        <v>6796</v>
      </c>
      <c r="O858" s="49" t="s">
        <v>6797</v>
      </c>
      <c r="P858" s="49" t="s">
        <v>6798</v>
      </c>
      <c r="Q858" s="49" t="s">
        <v>6799</v>
      </c>
      <c r="R858" s="50">
        <v>126</v>
      </c>
      <c r="S858" s="50">
        <v>453</v>
      </c>
      <c r="T858" s="51" t="s">
        <v>549</v>
      </c>
      <c r="U858" s="51">
        <v>5</v>
      </c>
      <c r="V858" s="52">
        <f t="shared" si="22"/>
        <v>150</v>
      </c>
      <c r="W858" s="51" t="s">
        <v>3973</v>
      </c>
      <c r="X858" s="198" t="s">
        <v>6401</v>
      </c>
      <c r="Y858" s="199" t="s">
        <v>82</v>
      </c>
      <c r="Z858" s="169"/>
      <c r="AA858" s="170" t="s">
        <v>6589</v>
      </c>
      <c r="AB858" s="243" t="s">
        <v>266</v>
      </c>
      <c r="AC858" s="172">
        <v>8935</v>
      </c>
      <c r="AE858" s="138" t="s">
        <v>4867</v>
      </c>
      <c r="AF858" s="138"/>
      <c r="AG858" s="138" t="s">
        <v>56</v>
      </c>
      <c r="AH858" s="138" t="s">
        <v>56</v>
      </c>
      <c r="AI858" s="138"/>
      <c r="AJ858" s="138"/>
      <c r="AK858" s="138"/>
    </row>
    <row r="859" spans="1:38" s="200" customFormat="1" ht="74.25" customHeight="1" x14ac:dyDescent="0.25">
      <c r="A859" s="14">
        <v>45764</v>
      </c>
      <c r="B859" s="164" t="s">
        <v>6800</v>
      </c>
      <c r="C859" s="41" t="s">
        <v>6801</v>
      </c>
      <c r="D859" s="41"/>
      <c r="E859" s="42" t="s">
        <v>39</v>
      </c>
      <c r="F859" s="43"/>
      <c r="G859" s="43"/>
      <c r="H859" s="19">
        <v>1</v>
      </c>
      <c r="I859" s="245" t="s">
        <v>6802</v>
      </c>
      <c r="J859" s="45">
        <v>300</v>
      </c>
      <c r="K859" s="46" t="s">
        <v>6803</v>
      </c>
      <c r="L859" s="47" t="s">
        <v>63</v>
      </c>
      <c r="M859" s="73" t="s">
        <v>42</v>
      </c>
      <c r="N859" s="370" t="s">
        <v>6804</v>
      </c>
      <c r="O859" s="49" t="s">
        <v>6799</v>
      </c>
      <c r="P859" s="49" t="s">
        <v>6805</v>
      </c>
      <c r="Q859" s="49" t="s">
        <v>6806</v>
      </c>
      <c r="R859" s="50">
        <v>36</v>
      </c>
      <c r="S859" s="50">
        <v>183</v>
      </c>
      <c r="T859" s="51" t="s">
        <v>6807</v>
      </c>
      <c r="U859" s="51">
        <v>9</v>
      </c>
      <c r="V859" s="75">
        <f t="shared" si="22"/>
        <v>2700</v>
      </c>
      <c r="W859" s="51" t="s">
        <v>350</v>
      </c>
      <c r="X859" s="198" t="s">
        <v>6055</v>
      </c>
      <c r="Y859" s="199" t="s">
        <v>50</v>
      </c>
      <c r="Z859" s="169"/>
      <c r="AA859" s="170" t="s">
        <v>6808</v>
      </c>
      <c r="AB859" s="243" t="s">
        <v>370</v>
      </c>
      <c r="AC859" s="172">
        <v>19292</v>
      </c>
      <c r="AE859" s="138" t="s">
        <v>4867</v>
      </c>
      <c r="AF859" s="138"/>
      <c r="AG859" s="138" t="s">
        <v>56</v>
      </c>
      <c r="AH859" s="138" t="s">
        <v>86</v>
      </c>
      <c r="AI859" s="138" t="s">
        <v>6809</v>
      </c>
      <c r="AJ859" s="138"/>
      <c r="AK859" s="138"/>
    </row>
    <row r="860" spans="1:38" s="200" customFormat="1" ht="113.25" customHeight="1" x14ac:dyDescent="0.25">
      <c r="A860" s="14">
        <v>45763</v>
      </c>
      <c r="B860" s="41" t="s">
        <v>6810</v>
      </c>
      <c r="C860" s="41" t="s">
        <v>6811</v>
      </c>
      <c r="D860" s="41"/>
      <c r="E860" s="42" t="s">
        <v>39</v>
      </c>
      <c r="F860" s="19">
        <v>1</v>
      </c>
      <c r="G860" s="43"/>
      <c r="H860" s="43"/>
      <c r="I860" s="245" t="s">
        <v>6812</v>
      </c>
      <c r="J860" s="45">
        <v>9</v>
      </c>
      <c r="K860" s="46" t="s">
        <v>6813</v>
      </c>
      <c r="L860" s="47" t="s">
        <v>63</v>
      </c>
      <c r="M860" s="73" t="s">
        <v>42</v>
      </c>
      <c r="N860" s="77" t="s">
        <v>6814</v>
      </c>
      <c r="O860" s="49" t="s">
        <v>243</v>
      </c>
      <c r="P860" s="49" t="s">
        <v>6815</v>
      </c>
      <c r="Q860" s="49" t="s">
        <v>274</v>
      </c>
      <c r="R860" s="50">
        <v>106</v>
      </c>
      <c r="S860" s="50">
        <v>941</v>
      </c>
      <c r="T860" s="51" t="s">
        <v>180</v>
      </c>
      <c r="U860" s="51">
        <v>7</v>
      </c>
      <c r="V860" s="52">
        <f t="shared" si="22"/>
        <v>63</v>
      </c>
      <c r="W860" s="51" t="s">
        <v>350</v>
      </c>
      <c r="X860" s="198" t="s">
        <v>6816</v>
      </c>
      <c r="Y860" s="199" t="s">
        <v>82</v>
      </c>
      <c r="Z860" s="169"/>
      <c r="AA860" s="170" t="s">
        <v>1567</v>
      </c>
      <c r="AB860" s="243" t="s">
        <v>6817</v>
      </c>
      <c r="AC860" s="35">
        <f>6442*(J860/20)</f>
        <v>2898.9</v>
      </c>
      <c r="AE860" s="138" t="s">
        <v>5524</v>
      </c>
      <c r="AF860" s="138" t="s">
        <v>6624</v>
      </c>
      <c r="AG860" s="138" t="s">
        <v>56</v>
      </c>
      <c r="AH860" s="138" t="s">
        <v>56</v>
      </c>
      <c r="AI860" s="138"/>
      <c r="AJ860" s="138" t="s">
        <v>56</v>
      </c>
      <c r="AK860" s="138" t="s">
        <v>1076</v>
      </c>
    </row>
    <row r="861" spans="1:38" ht="113.25" customHeight="1" x14ac:dyDescent="0.25">
      <c r="A861" s="14">
        <v>45763</v>
      </c>
      <c r="B861" s="41" t="s">
        <v>6818</v>
      </c>
      <c r="C861" s="41" t="s">
        <v>6819</v>
      </c>
      <c r="D861" s="273" t="s">
        <v>6820</v>
      </c>
      <c r="E861" s="42" t="s">
        <v>39</v>
      </c>
      <c r="F861" s="365"/>
      <c r="G861" s="365"/>
      <c r="H861" s="19">
        <v>1</v>
      </c>
      <c r="I861" s="245" t="s">
        <v>6821</v>
      </c>
      <c r="J861" s="45">
        <v>10</v>
      </c>
      <c r="K861" s="46" t="s">
        <v>6822</v>
      </c>
      <c r="L861" s="47" t="s">
        <v>63</v>
      </c>
      <c r="M861" s="73" t="s">
        <v>42</v>
      </c>
      <c r="N861" s="77" t="s">
        <v>6823</v>
      </c>
      <c r="O861" s="49" t="s">
        <v>6824</v>
      </c>
      <c r="P861" s="49" t="s">
        <v>6825</v>
      </c>
      <c r="Q861" s="49" t="s">
        <v>6826</v>
      </c>
      <c r="R861" s="50">
        <v>102</v>
      </c>
      <c r="S861" s="92">
        <v>1701</v>
      </c>
      <c r="T861" s="51" t="s">
        <v>180</v>
      </c>
      <c r="U861" s="51">
        <v>16</v>
      </c>
      <c r="V861" s="52">
        <f t="shared" si="22"/>
        <v>160</v>
      </c>
      <c r="W861" s="51" t="s">
        <v>510</v>
      </c>
      <c r="X861" s="198" t="s">
        <v>6827</v>
      </c>
      <c r="Y861" s="168" t="s">
        <v>82</v>
      </c>
      <c r="Z861" s="551"/>
      <c r="AA861" s="170" t="s">
        <v>6680</v>
      </c>
      <c r="AB861" s="243" t="s">
        <v>6828</v>
      </c>
      <c r="AC861" s="172">
        <v>7030.5</v>
      </c>
      <c r="AE861" s="222" t="s">
        <v>5524</v>
      </c>
      <c r="AF861" s="222"/>
      <c r="AG861" s="222" t="s">
        <v>6829</v>
      </c>
      <c r="AH861" s="222" t="s">
        <v>56</v>
      </c>
      <c r="AI861" s="222" t="s">
        <v>6830</v>
      </c>
      <c r="AJ861" s="222" t="s">
        <v>6831</v>
      </c>
      <c r="AK861" s="222" t="s">
        <v>1076</v>
      </c>
    </row>
    <row r="862" spans="1:38" s="200" customFormat="1" ht="58.5" customHeight="1" x14ac:dyDescent="0.25">
      <c r="A862" s="14">
        <v>45762</v>
      </c>
      <c r="B862" s="41" t="s">
        <v>5812</v>
      </c>
      <c r="C862" s="41" t="s">
        <v>6832</v>
      </c>
      <c r="D862" s="41" t="s">
        <v>6833</v>
      </c>
      <c r="E862" s="42" t="s">
        <v>39</v>
      </c>
      <c r="F862" s="19">
        <v>1</v>
      </c>
      <c r="G862" s="43"/>
      <c r="H862" s="43"/>
      <c r="I862" s="245" t="s">
        <v>6834</v>
      </c>
      <c r="J862" s="45">
        <v>70</v>
      </c>
      <c r="K862" s="46" t="s">
        <v>6835</v>
      </c>
      <c r="L862" s="47" t="s">
        <v>63</v>
      </c>
      <c r="M862" s="42" t="s">
        <v>55</v>
      </c>
      <c r="N862" s="77" t="s">
        <v>6836</v>
      </c>
      <c r="O862" s="49" t="s">
        <v>6797</v>
      </c>
      <c r="P862" s="49" t="s">
        <v>6837</v>
      </c>
      <c r="Q862" s="49" t="s">
        <v>6838</v>
      </c>
      <c r="R862" s="50">
        <v>82</v>
      </c>
      <c r="S862" s="50">
        <v>247</v>
      </c>
      <c r="T862" s="51" t="s">
        <v>180</v>
      </c>
      <c r="U862" s="51">
        <v>8</v>
      </c>
      <c r="V862" s="52">
        <f t="shared" si="22"/>
        <v>560</v>
      </c>
      <c r="W862" s="51" t="s">
        <v>350</v>
      </c>
      <c r="X862" s="198" t="s">
        <v>6839</v>
      </c>
      <c r="Y862" s="199" t="s">
        <v>82</v>
      </c>
      <c r="Z862" s="169" t="s">
        <v>6840</v>
      </c>
      <c r="AA862" s="170" t="s">
        <v>6841</v>
      </c>
      <c r="AB862" s="243" t="s">
        <v>132</v>
      </c>
      <c r="AC862" s="172">
        <v>5862.5</v>
      </c>
      <c r="AE862" s="138"/>
      <c r="AF862" s="138"/>
      <c r="AG862" s="138"/>
      <c r="AH862" s="138"/>
      <c r="AI862" s="138"/>
      <c r="AJ862" s="138"/>
      <c r="AK862" s="138"/>
    </row>
    <row r="863" spans="1:38" ht="189.75" customHeight="1" x14ac:dyDescent="0.25">
      <c r="A863" s="14">
        <v>45762</v>
      </c>
      <c r="B863" s="41"/>
      <c r="C863" s="41" t="s">
        <v>6842</v>
      </c>
      <c r="D863" s="41" t="s">
        <v>6843</v>
      </c>
      <c r="E863" s="42" t="s">
        <v>39</v>
      </c>
      <c r="F863" s="19">
        <v>1</v>
      </c>
      <c r="G863" s="43"/>
      <c r="H863" s="43"/>
      <c r="I863" s="245" t="s">
        <v>9905</v>
      </c>
      <c r="J863" s="45">
        <v>50</v>
      </c>
      <c r="K863" s="46" t="s">
        <v>6844</v>
      </c>
      <c r="L863" s="47" t="s">
        <v>63</v>
      </c>
      <c r="M863" s="73" t="s">
        <v>42</v>
      </c>
      <c r="N863" s="77" t="s">
        <v>6845</v>
      </c>
      <c r="O863" s="49" t="s">
        <v>6846</v>
      </c>
      <c r="P863" s="49" t="s">
        <v>6847</v>
      </c>
      <c r="Q863" s="49" t="s">
        <v>6848</v>
      </c>
      <c r="R863" s="50">
        <v>55</v>
      </c>
      <c r="S863" s="50">
        <v>317</v>
      </c>
      <c r="T863" s="51" t="s">
        <v>549</v>
      </c>
      <c r="U863" s="51">
        <v>37</v>
      </c>
      <c r="V863" s="75">
        <f t="shared" si="22"/>
        <v>1850</v>
      </c>
      <c r="W863" s="51" t="s">
        <v>3973</v>
      </c>
      <c r="X863" s="198" t="s">
        <v>6849</v>
      </c>
      <c r="Y863" s="263" t="s">
        <v>144</v>
      </c>
      <c r="Z863" s="169" t="s">
        <v>6850</v>
      </c>
      <c r="AA863" s="170" t="s">
        <v>1567</v>
      </c>
      <c r="AB863" s="243" t="s">
        <v>6817</v>
      </c>
      <c r="AC863" s="35">
        <f>12122/2</f>
        <v>6061</v>
      </c>
      <c r="AE863" s="222"/>
      <c r="AF863" s="222"/>
      <c r="AG863" s="222"/>
      <c r="AH863" s="222"/>
      <c r="AI863" s="222"/>
      <c r="AJ863" s="222"/>
      <c r="AK863" s="222"/>
    </row>
    <row r="864" spans="1:38" ht="190.5" customHeight="1" x14ac:dyDescent="0.25">
      <c r="A864" s="14">
        <v>45762</v>
      </c>
      <c r="B864" s="71"/>
      <c r="C864" s="281" t="s">
        <v>6851</v>
      </c>
      <c r="D864" s="552" t="s">
        <v>6852</v>
      </c>
      <c r="E864" s="42" t="s">
        <v>39</v>
      </c>
      <c r="F864" s="19">
        <v>1</v>
      </c>
      <c r="G864" s="467"/>
      <c r="H864" s="467"/>
      <c r="I864" s="245" t="s">
        <v>9906</v>
      </c>
      <c r="J864" s="45">
        <v>50</v>
      </c>
      <c r="K864" s="46" t="s">
        <v>6844</v>
      </c>
      <c r="L864" s="47" t="s">
        <v>63</v>
      </c>
      <c r="M864" s="73" t="s">
        <v>42</v>
      </c>
      <c r="N864" s="216" t="s">
        <v>6845</v>
      </c>
      <c r="O864" s="49" t="s">
        <v>6853</v>
      </c>
      <c r="P864" s="49" t="s">
        <v>6854</v>
      </c>
      <c r="Q864" s="49" t="s">
        <v>6855</v>
      </c>
      <c r="R864" s="50">
        <v>47</v>
      </c>
      <c r="S864" s="50">
        <v>222</v>
      </c>
      <c r="T864" s="51" t="s">
        <v>549</v>
      </c>
      <c r="U864" s="51">
        <v>41</v>
      </c>
      <c r="V864" s="75">
        <f t="shared" si="22"/>
        <v>2050</v>
      </c>
      <c r="W864" s="51" t="s">
        <v>3973</v>
      </c>
      <c r="X864" s="198" t="s">
        <v>6849</v>
      </c>
      <c r="Y864" s="360" t="s">
        <v>144</v>
      </c>
      <c r="Z864" s="169" t="s">
        <v>6850</v>
      </c>
      <c r="AA864" s="170" t="s">
        <v>1567</v>
      </c>
      <c r="AB864" s="243" t="s">
        <v>6817</v>
      </c>
      <c r="AC864" s="35">
        <f>10264/2</f>
        <v>5132</v>
      </c>
      <c r="AE864" s="222"/>
      <c r="AF864" s="222"/>
      <c r="AG864" s="222"/>
      <c r="AH864" s="222"/>
      <c r="AI864" s="222"/>
      <c r="AJ864" s="222"/>
      <c r="AK864" s="222"/>
    </row>
    <row r="865" spans="1:29" s="200" customFormat="1" ht="55.5" customHeight="1" x14ac:dyDescent="0.25">
      <c r="A865" s="14">
        <v>45761</v>
      </c>
      <c r="B865" s="41" t="s">
        <v>6856</v>
      </c>
      <c r="C865" s="41" t="s">
        <v>6857</v>
      </c>
      <c r="D865" s="41"/>
      <c r="E865" s="42" t="s">
        <v>39</v>
      </c>
      <c r="F865" s="19">
        <v>1</v>
      </c>
      <c r="G865" s="43"/>
      <c r="H865" s="43"/>
      <c r="I865" s="245" t="s">
        <v>6858</v>
      </c>
      <c r="J865" s="45">
        <v>70</v>
      </c>
      <c r="K865" s="46" t="s">
        <v>6859</v>
      </c>
      <c r="L865" s="47" t="s">
        <v>63</v>
      </c>
      <c r="M865" s="73" t="s">
        <v>42</v>
      </c>
      <c r="N865" s="77" t="s">
        <v>6860</v>
      </c>
      <c r="O865" s="49"/>
      <c r="P865" s="49" t="s">
        <v>6861</v>
      </c>
      <c r="Q865" s="49" t="s">
        <v>6862</v>
      </c>
      <c r="R865" s="50">
        <v>34</v>
      </c>
      <c r="S865" s="50">
        <v>257</v>
      </c>
      <c r="T865" s="51" t="s">
        <v>96</v>
      </c>
      <c r="U865" s="51">
        <v>13</v>
      </c>
      <c r="V865" s="75">
        <f t="shared" si="22"/>
        <v>910</v>
      </c>
      <c r="W865" s="51" t="s">
        <v>350</v>
      </c>
      <c r="X865" s="198" t="s">
        <v>6839</v>
      </c>
      <c r="Y865" s="199" t="s">
        <v>82</v>
      </c>
      <c r="Z865" s="169" t="s">
        <v>6840</v>
      </c>
      <c r="AA865" s="170" t="s">
        <v>6841</v>
      </c>
      <c r="AB865" s="243" t="s">
        <v>182</v>
      </c>
      <c r="AC865" s="172">
        <v>6894.3</v>
      </c>
    </row>
    <row r="866" spans="1:29" s="200" customFormat="1" ht="138" customHeight="1" x14ac:dyDescent="0.25">
      <c r="A866" s="14">
        <v>45761</v>
      </c>
      <c r="B866" s="41" t="s">
        <v>6863</v>
      </c>
      <c r="C866" s="41" t="s">
        <v>6864</v>
      </c>
      <c r="D866" s="41"/>
      <c r="E866" s="42" t="s">
        <v>39</v>
      </c>
      <c r="F866" s="43"/>
      <c r="G866" s="43"/>
      <c r="H866" s="19">
        <v>1</v>
      </c>
      <c r="I866" s="245" t="s">
        <v>6865</v>
      </c>
      <c r="J866" s="45">
        <v>100</v>
      </c>
      <c r="K866" s="46" t="s">
        <v>6866</v>
      </c>
      <c r="L866" s="47" t="s">
        <v>63</v>
      </c>
      <c r="M866" s="553" t="s">
        <v>42</v>
      </c>
      <c r="N866" s="232" t="s">
        <v>6867</v>
      </c>
      <c r="O866" s="448" t="s">
        <v>6868</v>
      </c>
      <c r="P866" s="49" t="s">
        <v>6869</v>
      </c>
      <c r="Q866" s="49" t="s">
        <v>6870</v>
      </c>
      <c r="R866" s="50">
        <v>41</v>
      </c>
      <c r="S866" s="50">
        <v>128</v>
      </c>
      <c r="T866" s="51" t="s">
        <v>47</v>
      </c>
      <c r="U866" s="51">
        <v>14</v>
      </c>
      <c r="V866" s="75">
        <f t="shared" si="22"/>
        <v>1400</v>
      </c>
      <c r="W866" s="51" t="s">
        <v>350</v>
      </c>
      <c r="X866" s="198" t="s">
        <v>2816</v>
      </c>
      <c r="Y866" s="199" t="s">
        <v>50</v>
      </c>
      <c r="Z866" s="169" t="s">
        <v>6871</v>
      </c>
      <c r="AA866" s="170" t="s">
        <v>6841</v>
      </c>
      <c r="AB866" s="243" t="s">
        <v>6828</v>
      </c>
      <c r="AC866" s="172">
        <v>7460</v>
      </c>
    </row>
    <row r="867" spans="1:29" s="200" customFormat="1" ht="171.75" customHeight="1" x14ac:dyDescent="0.25">
      <c r="A867" s="14">
        <v>45758</v>
      </c>
      <c r="B867" s="164" t="s">
        <v>6872</v>
      </c>
      <c r="C867" s="41" t="s">
        <v>6873</v>
      </c>
      <c r="D867" s="41" t="s">
        <v>6874</v>
      </c>
      <c r="E867" s="42" t="s">
        <v>39</v>
      </c>
      <c r="F867" s="19">
        <v>1</v>
      </c>
      <c r="G867" s="43"/>
      <c r="H867" s="43"/>
      <c r="I867" s="367" t="s">
        <v>6875</v>
      </c>
      <c r="J867" s="45">
        <v>40</v>
      </c>
      <c r="K867" s="46" t="s">
        <v>6876</v>
      </c>
      <c r="L867" s="47" t="s">
        <v>63</v>
      </c>
      <c r="M867" s="73" t="s">
        <v>42</v>
      </c>
      <c r="N867" s="152" t="s">
        <v>6877</v>
      </c>
      <c r="O867" s="49" t="s">
        <v>6878</v>
      </c>
      <c r="P867" s="49" t="s">
        <v>6879</v>
      </c>
      <c r="Q867" s="49" t="s">
        <v>6825</v>
      </c>
      <c r="R867" s="50">
        <v>44</v>
      </c>
      <c r="S867" s="50">
        <v>131</v>
      </c>
      <c r="T867" s="51" t="s">
        <v>47</v>
      </c>
      <c r="U867" s="51">
        <v>61</v>
      </c>
      <c r="V867" s="75">
        <f t="shared" si="22"/>
        <v>2440</v>
      </c>
      <c r="W867" s="51" t="s">
        <v>350</v>
      </c>
      <c r="X867" s="198" t="s">
        <v>6880</v>
      </c>
      <c r="Y867" s="199" t="s">
        <v>82</v>
      </c>
      <c r="Z867" s="169" t="s">
        <v>6881</v>
      </c>
      <c r="AA867" s="170" t="s">
        <v>612</v>
      </c>
      <c r="AB867" s="243" t="s">
        <v>6882</v>
      </c>
      <c r="AC867" s="172">
        <v>7270</v>
      </c>
    </row>
    <row r="868" spans="1:29" s="200" customFormat="1" ht="44.25" customHeight="1" x14ac:dyDescent="0.25">
      <c r="A868" s="14">
        <v>45758</v>
      </c>
      <c r="B868" s="164" t="s">
        <v>6883</v>
      </c>
      <c r="C868" s="41" t="s">
        <v>6884</v>
      </c>
      <c r="D868" s="71"/>
      <c r="E868" s="42" t="s">
        <v>39</v>
      </c>
      <c r="F868" s="19">
        <v>1</v>
      </c>
      <c r="G868" s="43"/>
      <c r="H868" s="43"/>
      <c r="I868" s="245" t="s">
        <v>6885</v>
      </c>
      <c r="J868" s="45">
        <v>25</v>
      </c>
      <c r="K868" s="46" t="s">
        <v>6886</v>
      </c>
      <c r="L868" s="47" t="s">
        <v>63</v>
      </c>
      <c r="M868" s="73" t="s">
        <v>42</v>
      </c>
      <c r="N868" s="77" t="s">
        <v>240</v>
      </c>
      <c r="O868" s="49" t="s">
        <v>321</v>
      </c>
      <c r="P868" s="49" t="s">
        <v>6887</v>
      </c>
      <c r="Q868" s="49" t="s">
        <v>272</v>
      </c>
      <c r="R868" s="50">
        <v>72</v>
      </c>
      <c r="S868" s="50">
        <v>639</v>
      </c>
      <c r="T868" s="51" t="s">
        <v>47</v>
      </c>
      <c r="U868" s="51">
        <v>3</v>
      </c>
      <c r="V868" s="52">
        <f t="shared" si="22"/>
        <v>75</v>
      </c>
      <c r="W868" s="51" t="s">
        <v>3973</v>
      </c>
      <c r="X868" s="198" t="s">
        <v>732</v>
      </c>
      <c r="Y868" s="199" t="s">
        <v>2880</v>
      </c>
      <c r="Z868" s="169" t="s">
        <v>6888</v>
      </c>
      <c r="AA868" s="170" t="s">
        <v>6889</v>
      </c>
      <c r="AB868" s="243" t="s">
        <v>6890</v>
      </c>
      <c r="AC868" s="172">
        <v>6344.5</v>
      </c>
    </row>
    <row r="869" spans="1:29" s="200" customFormat="1" ht="50.25" customHeight="1" x14ac:dyDescent="0.25">
      <c r="A869" s="14">
        <v>45758</v>
      </c>
      <c r="B869" s="164" t="s">
        <v>6891</v>
      </c>
      <c r="C869" s="164" t="s">
        <v>6892</v>
      </c>
      <c r="D869" s="71"/>
      <c r="E869" s="42" t="s">
        <v>39</v>
      </c>
      <c r="F869" s="365"/>
      <c r="G869" s="365"/>
      <c r="H869" s="19">
        <v>1</v>
      </c>
      <c r="I869" s="245" t="s">
        <v>6893</v>
      </c>
      <c r="J869" s="45">
        <v>15</v>
      </c>
      <c r="K869" s="46" t="s">
        <v>6894</v>
      </c>
      <c r="L869" s="47" t="s">
        <v>63</v>
      </c>
      <c r="M869" s="73" t="s">
        <v>42</v>
      </c>
      <c r="N869" s="77" t="s">
        <v>6895</v>
      </c>
      <c r="O869" s="49" t="s">
        <v>6896</v>
      </c>
      <c r="P869" s="49" t="s">
        <v>6897</v>
      </c>
      <c r="Q869" s="49" t="s">
        <v>6730</v>
      </c>
      <c r="R869" s="50">
        <v>116</v>
      </c>
      <c r="S869" s="50">
        <v>464</v>
      </c>
      <c r="T869" s="51" t="s">
        <v>549</v>
      </c>
      <c r="U869" s="51">
        <v>8</v>
      </c>
      <c r="V869" s="52">
        <f t="shared" si="22"/>
        <v>120</v>
      </c>
      <c r="W869" s="51" t="s">
        <v>3973</v>
      </c>
      <c r="X869" s="198" t="s">
        <v>6401</v>
      </c>
      <c r="Y869" s="199" t="s">
        <v>82</v>
      </c>
      <c r="Z869" s="169" t="s">
        <v>6898</v>
      </c>
      <c r="AA869" s="170" t="s">
        <v>6589</v>
      </c>
      <c r="AB869" s="243" t="s">
        <v>266</v>
      </c>
      <c r="AC869" s="172">
        <v>6288</v>
      </c>
    </row>
    <row r="870" spans="1:29" ht="44.25" customHeight="1" x14ac:dyDescent="0.25">
      <c r="A870" s="14">
        <v>45758</v>
      </c>
      <c r="B870" s="164" t="s">
        <v>6899</v>
      </c>
      <c r="C870" s="41" t="s">
        <v>6900</v>
      </c>
      <c r="D870" s="71"/>
      <c r="E870" s="42" t="s">
        <v>39</v>
      </c>
      <c r="F870" s="19">
        <v>1</v>
      </c>
      <c r="G870" s="365"/>
      <c r="H870" s="365"/>
      <c r="I870" s="245" t="s">
        <v>6901</v>
      </c>
      <c r="J870" s="45">
        <v>5</v>
      </c>
      <c r="K870" s="46" t="s">
        <v>6886</v>
      </c>
      <c r="L870" s="47" t="s">
        <v>63</v>
      </c>
      <c r="M870" s="73" t="s">
        <v>42</v>
      </c>
      <c r="N870" s="77" t="s">
        <v>6902</v>
      </c>
      <c r="O870" s="49"/>
      <c r="P870" s="49" t="s">
        <v>6896</v>
      </c>
      <c r="Q870" s="49" t="s">
        <v>321</v>
      </c>
      <c r="R870" s="50">
        <v>22</v>
      </c>
      <c r="S870" s="50">
        <v>132</v>
      </c>
      <c r="T870" s="51" t="s">
        <v>96</v>
      </c>
      <c r="U870" s="51">
        <v>78</v>
      </c>
      <c r="V870" s="52">
        <f t="shared" si="22"/>
        <v>390</v>
      </c>
      <c r="W870" s="51" t="s">
        <v>221</v>
      </c>
      <c r="X870" s="198" t="s">
        <v>6903</v>
      </c>
      <c r="Y870" s="168" t="s">
        <v>82</v>
      </c>
      <c r="Z870" s="169" t="s">
        <v>6904</v>
      </c>
      <c r="AA870" s="170" t="s">
        <v>6533</v>
      </c>
      <c r="AB870" s="243" t="s">
        <v>6905</v>
      </c>
      <c r="AC870" s="172">
        <v>4047.5</v>
      </c>
    </row>
    <row r="871" spans="1:29" s="200" customFormat="1" ht="63" customHeight="1" x14ac:dyDescent="0.25">
      <c r="A871" s="14">
        <v>45758</v>
      </c>
      <c r="B871" s="41" t="s">
        <v>6906</v>
      </c>
      <c r="C871" s="41" t="s">
        <v>6907</v>
      </c>
      <c r="D871" s="41" t="s">
        <v>6908</v>
      </c>
      <c r="E871" s="42" t="s">
        <v>39</v>
      </c>
      <c r="F871" s="19">
        <v>1</v>
      </c>
      <c r="G871" s="43"/>
      <c r="H871" s="43"/>
      <c r="I871" s="245" t="s">
        <v>6909</v>
      </c>
      <c r="J871" s="45">
        <v>50</v>
      </c>
      <c r="K871" s="46" t="s">
        <v>6910</v>
      </c>
      <c r="L871" s="47" t="s">
        <v>63</v>
      </c>
      <c r="M871" s="73" t="s">
        <v>42</v>
      </c>
      <c r="N871" s="77" t="s">
        <v>6911</v>
      </c>
      <c r="O871" s="49" t="s">
        <v>6912</v>
      </c>
      <c r="P871" s="49" t="s">
        <v>6913</v>
      </c>
      <c r="Q871" s="49" t="s">
        <v>6914</v>
      </c>
      <c r="R871" s="50">
        <v>63</v>
      </c>
      <c r="S871" s="50">
        <v>171</v>
      </c>
      <c r="T871" s="51" t="s">
        <v>47</v>
      </c>
      <c r="U871" s="51">
        <v>6</v>
      </c>
      <c r="V871" s="52">
        <f t="shared" si="22"/>
        <v>300</v>
      </c>
      <c r="W871" s="51" t="s">
        <v>3973</v>
      </c>
      <c r="X871" s="198" t="s">
        <v>4347</v>
      </c>
      <c r="Y871" s="199" t="s">
        <v>82</v>
      </c>
      <c r="Z871" s="169" t="s">
        <v>6915</v>
      </c>
      <c r="AA871" s="170" t="s">
        <v>1084</v>
      </c>
      <c r="AB871" s="243" t="s">
        <v>6916</v>
      </c>
      <c r="AC871" s="172">
        <v>4726.5</v>
      </c>
    </row>
    <row r="872" spans="1:29" s="200" customFormat="1" ht="212.25" customHeight="1" x14ac:dyDescent="0.25">
      <c r="A872" s="14">
        <v>45757</v>
      </c>
      <c r="B872" s="41" t="s">
        <v>6917</v>
      </c>
      <c r="C872" s="41" t="s">
        <v>6918</v>
      </c>
      <c r="D872" s="82" t="s">
        <v>6919</v>
      </c>
      <c r="E872" s="42" t="s">
        <v>39</v>
      </c>
      <c r="F872" s="19">
        <v>1</v>
      </c>
      <c r="G872" s="43"/>
      <c r="H872" s="43"/>
      <c r="I872" s="245" t="s">
        <v>6920</v>
      </c>
      <c r="J872" s="45">
        <v>279</v>
      </c>
      <c r="K872" s="46" t="s">
        <v>6921</v>
      </c>
      <c r="L872" s="47" t="s">
        <v>63</v>
      </c>
      <c r="M872" s="73" t="s">
        <v>42</v>
      </c>
      <c r="N872" s="77" t="s">
        <v>6922</v>
      </c>
      <c r="O872" s="49" t="s">
        <v>6923</v>
      </c>
      <c r="P872" s="49" t="s">
        <v>6924</v>
      </c>
      <c r="Q872" s="49" t="s">
        <v>6925</v>
      </c>
      <c r="R872" s="50">
        <v>120</v>
      </c>
      <c r="S872" s="50">
        <v>562</v>
      </c>
      <c r="T872" s="51" t="s">
        <v>141</v>
      </c>
      <c r="U872" s="51">
        <v>18</v>
      </c>
      <c r="V872" s="75">
        <f>J872*U872</f>
        <v>5022</v>
      </c>
      <c r="W872" s="51" t="s">
        <v>97</v>
      </c>
      <c r="X872" s="198" t="s">
        <v>98</v>
      </c>
      <c r="Y872" s="199" t="s">
        <v>82</v>
      </c>
      <c r="Z872" s="169" t="s">
        <v>6926</v>
      </c>
      <c r="AA872" s="170" t="s">
        <v>6927</v>
      </c>
      <c r="AB872" s="243" t="s">
        <v>6928</v>
      </c>
      <c r="AC872" s="35">
        <f>31215.6*J872/290</f>
        <v>30031.56</v>
      </c>
    </row>
    <row r="873" spans="1:29" s="200" customFormat="1" ht="52.5" customHeight="1" x14ac:dyDescent="0.25">
      <c r="A873" s="14">
        <v>45756</v>
      </c>
      <c r="B873" s="164" t="s">
        <v>6929</v>
      </c>
      <c r="C873" s="41" t="s">
        <v>6930</v>
      </c>
      <c r="D873" s="71" t="s">
        <v>6931</v>
      </c>
      <c r="E873" s="42" t="s">
        <v>39</v>
      </c>
      <c r="F873" s="19">
        <v>3</v>
      </c>
      <c r="G873" s="43"/>
      <c r="H873" s="43"/>
      <c r="I873" s="245" t="s">
        <v>6932</v>
      </c>
      <c r="J873" s="45">
        <v>10</v>
      </c>
      <c r="K873" s="46" t="s">
        <v>6933</v>
      </c>
      <c r="L873" s="47" t="s">
        <v>63</v>
      </c>
      <c r="M873" s="73" t="s">
        <v>42</v>
      </c>
      <c r="N873" s="77" t="s">
        <v>6934</v>
      </c>
      <c r="O873" s="49"/>
      <c r="P873" s="49" t="s">
        <v>6935</v>
      </c>
      <c r="Q873" s="49" t="s">
        <v>6936</v>
      </c>
      <c r="R873" s="50">
        <v>75</v>
      </c>
      <c r="S873" s="50">
        <v>517</v>
      </c>
      <c r="T873" s="51" t="s">
        <v>67</v>
      </c>
      <c r="U873" s="51">
        <v>57</v>
      </c>
      <c r="V873" s="52">
        <f t="shared" ref="V873:V886" si="23">U873*J873</f>
        <v>570</v>
      </c>
      <c r="W873" s="51" t="s">
        <v>221</v>
      </c>
      <c r="X873" s="198" t="s">
        <v>1046</v>
      </c>
      <c r="Y873" s="199" t="s">
        <v>2880</v>
      </c>
      <c r="Z873" s="169" t="s">
        <v>6937</v>
      </c>
      <c r="AA873" s="170" t="s">
        <v>6808</v>
      </c>
      <c r="AB873" s="243" t="s">
        <v>6890</v>
      </c>
      <c r="AC873" s="172">
        <v>3793.5</v>
      </c>
    </row>
    <row r="874" spans="1:29" s="200" customFormat="1" ht="45" customHeight="1" x14ac:dyDescent="0.25">
      <c r="A874" s="14">
        <v>45756</v>
      </c>
      <c r="B874" s="164" t="s">
        <v>6891</v>
      </c>
      <c r="C874" s="41" t="s">
        <v>6938</v>
      </c>
      <c r="D874" s="71"/>
      <c r="E874" s="42" t="s">
        <v>39</v>
      </c>
      <c r="F874" s="43"/>
      <c r="G874" s="43"/>
      <c r="H874" s="19">
        <v>2</v>
      </c>
      <c r="I874" s="245" t="s">
        <v>6939</v>
      </c>
      <c r="J874" s="45">
        <v>30</v>
      </c>
      <c r="K874" s="46" t="s">
        <v>6940</v>
      </c>
      <c r="L874" s="47" t="s">
        <v>63</v>
      </c>
      <c r="M874" s="73" t="s">
        <v>42</v>
      </c>
      <c r="N874" s="77" t="s">
        <v>6941</v>
      </c>
      <c r="O874" s="49"/>
      <c r="P874" s="49" t="s">
        <v>6942</v>
      </c>
      <c r="Q874" s="49" t="s">
        <v>6943</v>
      </c>
      <c r="R874" s="50">
        <v>4</v>
      </c>
      <c r="S874" s="50">
        <v>4</v>
      </c>
      <c r="T874" s="51" t="s">
        <v>96</v>
      </c>
      <c r="U874" s="51">
        <v>0</v>
      </c>
      <c r="V874" s="52">
        <f t="shared" si="23"/>
        <v>0</v>
      </c>
      <c r="W874" s="51" t="s">
        <v>3973</v>
      </c>
      <c r="X874" s="198" t="s">
        <v>6401</v>
      </c>
      <c r="Y874" s="199" t="s">
        <v>82</v>
      </c>
      <c r="Z874" s="169" t="s">
        <v>6944</v>
      </c>
      <c r="AA874" s="170" t="s">
        <v>6589</v>
      </c>
      <c r="AB874" s="243" t="s">
        <v>266</v>
      </c>
      <c r="AC874" s="172">
        <v>2715</v>
      </c>
    </row>
    <row r="875" spans="1:29" s="200" customFormat="1" ht="44.25" customHeight="1" x14ac:dyDescent="0.25">
      <c r="A875" s="14">
        <v>45756</v>
      </c>
      <c r="B875" s="164" t="s">
        <v>6891</v>
      </c>
      <c r="C875" s="41" t="s">
        <v>6945</v>
      </c>
      <c r="D875" s="41"/>
      <c r="E875" s="42" t="s">
        <v>39</v>
      </c>
      <c r="F875" s="19">
        <v>1</v>
      </c>
      <c r="G875" s="43"/>
      <c r="H875" s="43"/>
      <c r="I875" s="245" t="s">
        <v>6946</v>
      </c>
      <c r="J875" s="45">
        <v>30</v>
      </c>
      <c r="K875" s="46" t="s">
        <v>6940</v>
      </c>
      <c r="L875" s="47" t="s">
        <v>63</v>
      </c>
      <c r="M875" s="73" t="s">
        <v>42</v>
      </c>
      <c r="N875" s="216" t="s">
        <v>240</v>
      </c>
      <c r="O875" s="49"/>
      <c r="P875" s="49" t="s">
        <v>6947</v>
      </c>
      <c r="Q875" s="49" t="s">
        <v>6878</v>
      </c>
      <c r="R875" s="50">
        <v>35</v>
      </c>
      <c r="S875" s="50">
        <v>73</v>
      </c>
      <c r="T875" s="51" t="s">
        <v>96</v>
      </c>
      <c r="U875" s="51">
        <v>5</v>
      </c>
      <c r="V875" s="52">
        <f t="shared" si="23"/>
        <v>150</v>
      </c>
      <c r="W875" s="51" t="s">
        <v>3973</v>
      </c>
      <c r="X875" s="198" t="s">
        <v>6401</v>
      </c>
      <c r="Y875" s="199" t="s">
        <v>82</v>
      </c>
      <c r="Z875" s="169" t="s">
        <v>6944</v>
      </c>
      <c r="AA875" s="170" t="s">
        <v>6589</v>
      </c>
      <c r="AB875" s="243" t="s">
        <v>121</v>
      </c>
      <c r="AC875" s="172">
        <v>3151.9</v>
      </c>
    </row>
    <row r="876" spans="1:29" s="200" customFormat="1" ht="78" customHeight="1" x14ac:dyDescent="0.25">
      <c r="A876" s="14">
        <v>45755</v>
      </c>
      <c r="B876" s="174" t="s">
        <v>6948</v>
      </c>
      <c r="C876" s="508" t="s">
        <v>6949</v>
      </c>
      <c r="D876" s="95"/>
      <c r="E876" s="96" t="s">
        <v>39</v>
      </c>
      <c r="F876" s="97"/>
      <c r="G876" s="97"/>
      <c r="H876" s="19">
        <v>1</v>
      </c>
      <c r="I876" s="367" t="s">
        <v>6950</v>
      </c>
      <c r="J876" s="511">
        <v>30</v>
      </c>
      <c r="K876" s="482" t="s">
        <v>6951</v>
      </c>
      <c r="L876" s="100" t="s">
        <v>63</v>
      </c>
      <c r="M876" s="520" t="s">
        <v>42</v>
      </c>
      <c r="N876" s="509" t="s">
        <v>6952</v>
      </c>
      <c r="O876" s="554"/>
      <c r="P876" s="102" t="s">
        <v>6953</v>
      </c>
      <c r="Q876" s="102" t="s">
        <v>6954</v>
      </c>
      <c r="R876" s="103">
        <v>80</v>
      </c>
      <c r="S876" s="103">
        <v>275</v>
      </c>
      <c r="T876" s="96" t="s">
        <v>67</v>
      </c>
      <c r="U876" s="96">
        <v>28</v>
      </c>
      <c r="V876" s="104">
        <f t="shared" si="23"/>
        <v>840</v>
      </c>
      <c r="W876" s="96" t="s">
        <v>142</v>
      </c>
      <c r="X876" s="198" t="s">
        <v>2148</v>
      </c>
      <c r="Y876" s="199" t="s">
        <v>3963</v>
      </c>
      <c r="Z876" s="169" t="s">
        <v>6898</v>
      </c>
      <c r="AA876" s="170" t="s">
        <v>6889</v>
      </c>
      <c r="AB876" s="243" t="s">
        <v>6890</v>
      </c>
      <c r="AC876" s="172">
        <v>7988.5</v>
      </c>
    </row>
    <row r="877" spans="1:29" ht="210" x14ac:dyDescent="0.25">
      <c r="A877" s="14">
        <v>45755</v>
      </c>
      <c r="B877" s="71"/>
      <c r="C877" s="71" t="s">
        <v>6955</v>
      </c>
      <c r="D877" s="71"/>
      <c r="E877" s="42" t="s">
        <v>195</v>
      </c>
      <c r="F877" s="43"/>
      <c r="G877" s="43"/>
      <c r="H877" s="43"/>
      <c r="I877" s="245" t="s">
        <v>9851</v>
      </c>
      <c r="J877" s="45" t="s">
        <v>6956</v>
      </c>
      <c r="K877" s="46" t="s">
        <v>6886</v>
      </c>
      <c r="L877" s="47" t="s">
        <v>2399</v>
      </c>
      <c r="M877" s="42"/>
      <c r="N877" s="152" t="s">
        <v>6957</v>
      </c>
      <c r="O877" s="49"/>
      <c r="P877" s="49"/>
      <c r="Q877" s="49"/>
      <c r="R877" s="50"/>
      <c r="S877" s="50"/>
      <c r="T877" s="51"/>
      <c r="U877" s="51"/>
      <c r="V877" s="52" t="e">
        <f t="shared" si="23"/>
        <v>#VALUE!</v>
      </c>
      <c r="W877" s="51" t="s">
        <v>3973</v>
      </c>
      <c r="X877" s="198" t="s">
        <v>6958</v>
      </c>
      <c r="Y877" s="168" t="s">
        <v>70</v>
      </c>
      <c r="Z877" s="169" t="s">
        <v>6959</v>
      </c>
      <c r="AA877" s="170" t="s">
        <v>83</v>
      </c>
      <c r="AB877" s="243" t="s">
        <v>6681</v>
      </c>
      <c r="AC877" s="172">
        <v>4080</v>
      </c>
    </row>
    <row r="878" spans="1:29" s="200" customFormat="1" ht="45" customHeight="1" x14ac:dyDescent="0.25">
      <c r="A878" s="14">
        <v>45754</v>
      </c>
      <c r="B878" s="164" t="s">
        <v>6960</v>
      </c>
      <c r="C878" s="41" t="s">
        <v>6961</v>
      </c>
      <c r="D878" s="273" t="s">
        <v>6962</v>
      </c>
      <c r="E878" s="42" t="s">
        <v>39</v>
      </c>
      <c r="F878" s="43"/>
      <c r="G878" s="43"/>
      <c r="H878" s="19">
        <v>1</v>
      </c>
      <c r="I878" s="245" t="s">
        <v>6963</v>
      </c>
      <c r="J878" s="45">
        <v>3</v>
      </c>
      <c r="K878" s="46" t="s">
        <v>6964</v>
      </c>
      <c r="L878" s="47" t="s">
        <v>63</v>
      </c>
      <c r="M878" s="73" t="s">
        <v>42</v>
      </c>
      <c r="N878" s="77" t="s">
        <v>240</v>
      </c>
      <c r="O878" s="49"/>
      <c r="P878" s="49" t="s">
        <v>6965</v>
      </c>
      <c r="Q878" s="49" t="s">
        <v>6966</v>
      </c>
      <c r="R878" s="50">
        <v>44</v>
      </c>
      <c r="S878" s="50">
        <v>1222</v>
      </c>
      <c r="T878" s="51" t="s">
        <v>96</v>
      </c>
      <c r="U878" s="51">
        <v>14</v>
      </c>
      <c r="V878" s="52">
        <f t="shared" si="23"/>
        <v>42</v>
      </c>
      <c r="W878" s="51" t="s">
        <v>142</v>
      </c>
      <c r="X878" s="198" t="s">
        <v>3633</v>
      </c>
      <c r="Y878" s="199" t="s">
        <v>3963</v>
      </c>
      <c r="Z878" s="169" t="s">
        <v>6967</v>
      </c>
      <c r="AA878" s="170" t="s">
        <v>190</v>
      </c>
      <c r="AB878" s="243" t="s">
        <v>212</v>
      </c>
      <c r="AC878" s="172">
        <v>5413</v>
      </c>
    </row>
    <row r="879" spans="1:29" s="200" customFormat="1" ht="215.25" customHeight="1" x14ac:dyDescent="0.25">
      <c r="A879" s="14">
        <v>45754</v>
      </c>
      <c r="B879" s="164" t="s">
        <v>6968</v>
      </c>
      <c r="C879" s="41" t="s">
        <v>6969</v>
      </c>
      <c r="D879" s="273" t="s">
        <v>6970</v>
      </c>
      <c r="E879" s="42" t="s">
        <v>39</v>
      </c>
      <c r="F879" s="19">
        <v>1</v>
      </c>
      <c r="G879" s="43"/>
      <c r="H879" s="43"/>
      <c r="I879" s="245" t="s">
        <v>6971</v>
      </c>
      <c r="J879" s="45">
        <v>30</v>
      </c>
      <c r="K879" s="46" t="s">
        <v>6972</v>
      </c>
      <c r="L879" s="47" t="s">
        <v>63</v>
      </c>
      <c r="M879" s="73" t="s">
        <v>42</v>
      </c>
      <c r="N879" s="359" t="s">
        <v>6973</v>
      </c>
      <c r="O879" s="49" t="s">
        <v>6974</v>
      </c>
      <c r="P879" s="49" t="s">
        <v>6975</v>
      </c>
      <c r="Q879" s="49" t="s">
        <v>6976</v>
      </c>
      <c r="R879" s="50">
        <v>108</v>
      </c>
      <c r="S879" s="50">
        <v>605</v>
      </c>
      <c r="T879" s="51" t="s">
        <v>180</v>
      </c>
      <c r="U879" s="51">
        <v>33</v>
      </c>
      <c r="V879" s="555">
        <f t="shared" si="23"/>
        <v>990</v>
      </c>
      <c r="W879" s="556" t="s">
        <v>6977</v>
      </c>
      <c r="X879" s="198" t="s">
        <v>6978</v>
      </c>
      <c r="Y879" s="199" t="s">
        <v>3963</v>
      </c>
      <c r="Z879" s="169" t="s">
        <v>6979</v>
      </c>
      <c r="AA879" s="170" t="s">
        <v>6980</v>
      </c>
      <c r="AB879" s="243" t="s">
        <v>907</v>
      </c>
      <c r="AC879" s="172">
        <v>7999.8</v>
      </c>
    </row>
    <row r="880" spans="1:29" s="200" customFormat="1" ht="138" customHeight="1" x14ac:dyDescent="0.25">
      <c r="A880" s="14">
        <v>45751</v>
      </c>
      <c r="B880" s="164" t="s">
        <v>6981</v>
      </c>
      <c r="C880" s="41" t="s">
        <v>6982</v>
      </c>
      <c r="D880" s="557" t="s">
        <v>6983</v>
      </c>
      <c r="E880" s="42" t="s">
        <v>39</v>
      </c>
      <c r="F880" s="19">
        <v>2</v>
      </c>
      <c r="G880" s="43"/>
      <c r="H880" s="43"/>
      <c r="I880" s="245" t="s">
        <v>6984</v>
      </c>
      <c r="J880" s="45">
        <v>250</v>
      </c>
      <c r="K880" s="46" t="s">
        <v>6985</v>
      </c>
      <c r="L880" s="47" t="s">
        <v>63</v>
      </c>
      <c r="M880" s="73" t="s">
        <v>42</v>
      </c>
      <c r="N880" s="370" t="s">
        <v>6986</v>
      </c>
      <c r="O880" s="49"/>
      <c r="P880" s="49" t="s">
        <v>6987</v>
      </c>
      <c r="Q880" s="49" t="s">
        <v>6988</v>
      </c>
      <c r="R880" s="50">
        <v>79</v>
      </c>
      <c r="S880" s="50">
        <v>190</v>
      </c>
      <c r="T880" s="51" t="s">
        <v>67</v>
      </c>
      <c r="U880" s="51">
        <v>3</v>
      </c>
      <c r="V880" s="75">
        <f t="shared" si="23"/>
        <v>750</v>
      </c>
      <c r="W880" s="51" t="s">
        <v>142</v>
      </c>
      <c r="X880" s="198" t="s">
        <v>2504</v>
      </c>
      <c r="Y880" s="199" t="s">
        <v>82</v>
      </c>
      <c r="Z880" s="169" t="s">
        <v>6989</v>
      </c>
      <c r="AA880" s="170" t="s">
        <v>384</v>
      </c>
      <c r="AB880" s="243" t="s">
        <v>710</v>
      </c>
      <c r="AC880" s="172">
        <v>14287.5</v>
      </c>
    </row>
    <row r="881" spans="1:29" s="200" customFormat="1" ht="217.5" customHeight="1" x14ac:dyDescent="0.25">
      <c r="A881" s="14">
        <v>45751</v>
      </c>
      <c r="B881" s="164" t="s">
        <v>6990</v>
      </c>
      <c r="C881" s="41" t="s">
        <v>6991</v>
      </c>
      <c r="D881" s="558" t="s">
        <v>6992</v>
      </c>
      <c r="E881" s="42" t="s">
        <v>39</v>
      </c>
      <c r="F881" s="43"/>
      <c r="G881" s="43"/>
      <c r="H881" s="19">
        <v>1</v>
      </c>
      <c r="I881" s="245" t="s">
        <v>6993</v>
      </c>
      <c r="J881" s="45">
        <v>100</v>
      </c>
      <c r="K881" s="46" t="s">
        <v>6972</v>
      </c>
      <c r="L881" s="47" t="s">
        <v>63</v>
      </c>
      <c r="M881" s="73" t="s">
        <v>42</v>
      </c>
      <c r="N881" s="388" t="s">
        <v>6994</v>
      </c>
      <c r="O881" s="49" t="s">
        <v>6974</v>
      </c>
      <c r="P881" s="49" t="s">
        <v>6995</v>
      </c>
      <c r="Q881" s="49" t="s">
        <v>6996</v>
      </c>
      <c r="R881" s="50">
        <v>65</v>
      </c>
      <c r="S881" s="50">
        <v>171</v>
      </c>
      <c r="T881" s="51" t="s">
        <v>47</v>
      </c>
      <c r="U881" s="51">
        <v>20</v>
      </c>
      <c r="V881" s="75">
        <f t="shared" si="23"/>
        <v>2000</v>
      </c>
      <c r="W881" s="51" t="s">
        <v>350</v>
      </c>
      <c r="X881" s="198" t="s">
        <v>5544</v>
      </c>
      <c r="Y881" s="199" t="s">
        <v>2880</v>
      </c>
      <c r="Z881" s="169" t="s">
        <v>6997</v>
      </c>
      <c r="AA881" s="170" t="s">
        <v>6589</v>
      </c>
      <c r="AB881" s="243" t="s">
        <v>266</v>
      </c>
      <c r="AC881" s="172">
        <v>8940</v>
      </c>
    </row>
    <row r="882" spans="1:29" s="200" customFormat="1" ht="113.25" customHeight="1" x14ac:dyDescent="0.25">
      <c r="A882" s="559" t="s">
        <v>6998</v>
      </c>
      <c r="B882" s="560" t="s">
        <v>6999</v>
      </c>
      <c r="C882" s="415" t="s">
        <v>7000</v>
      </c>
      <c r="D882" s="561" t="s">
        <v>7001</v>
      </c>
      <c r="E882" s="364" t="s">
        <v>195</v>
      </c>
      <c r="F882" s="365"/>
      <c r="G882" s="365"/>
      <c r="H882" s="19" t="s">
        <v>1877</v>
      </c>
      <c r="I882" s="367" t="s">
        <v>7002</v>
      </c>
      <c r="J882" s="368">
        <v>50</v>
      </c>
      <c r="K882" s="369" t="s">
        <v>2461</v>
      </c>
      <c r="L882" s="47" t="s">
        <v>63</v>
      </c>
      <c r="M882" s="73" t="s">
        <v>42</v>
      </c>
      <c r="N882" s="77" t="s">
        <v>7003</v>
      </c>
      <c r="O882" s="49"/>
      <c r="P882" s="49"/>
      <c r="Q882" s="49"/>
      <c r="R882" s="424">
        <v>6</v>
      </c>
      <c r="S882" s="424">
        <v>14</v>
      </c>
      <c r="T882" s="425" t="s">
        <v>47</v>
      </c>
      <c r="U882" s="425">
        <v>0</v>
      </c>
      <c r="V882" s="426">
        <f t="shared" si="23"/>
        <v>0</v>
      </c>
      <c r="W882" s="425" t="s">
        <v>142</v>
      </c>
      <c r="X882" s="198" t="s">
        <v>1243</v>
      </c>
      <c r="Y882" s="199" t="s">
        <v>7004</v>
      </c>
      <c r="Z882" s="169" t="s">
        <v>7005</v>
      </c>
      <c r="AA882" s="170" t="s">
        <v>1212</v>
      </c>
      <c r="AB882" s="243" t="s">
        <v>435</v>
      </c>
      <c r="AC882" s="35"/>
    </row>
    <row r="883" spans="1:29" s="200" customFormat="1" ht="113.25" customHeight="1" x14ac:dyDescent="0.25">
      <c r="A883" s="562">
        <v>45749</v>
      </c>
      <c r="B883" s="41" t="s">
        <v>7006</v>
      </c>
      <c r="C883" s="41" t="s">
        <v>7007</v>
      </c>
      <c r="D883" s="41" t="s">
        <v>7008</v>
      </c>
      <c r="E883" s="42" t="s">
        <v>39</v>
      </c>
      <c r="F883" s="43"/>
      <c r="G883" s="43"/>
      <c r="H883" s="563" t="s">
        <v>1586</v>
      </c>
      <c r="I883" s="245" t="s">
        <v>7009</v>
      </c>
      <c r="J883" s="45">
        <v>1</v>
      </c>
      <c r="K883" s="564" t="s">
        <v>9989</v>
      </c>
      <c r="L883" s="47" t="s">
        <v>63</v>
      </c>
      <c r="M883" s="42" t="s">
        <v>42</v>
      </c>
      <c r="N883" s="77" t="s">
        <v>5418</v>
      </c>
      <c r="O883" s="49" t="s">
        <v>7010</v>
      </c>
      <c r="P883" s="49"/>
      <c r="Q883" s="49" t="s">
        <v>7011</v>
      </c>
      <c r="R883" s="50">
        <v>7</v>
      </c>
      <c r="S883" s="50">
        <v>37</v>
      </c>
      <c r="T883" s="51" t="s">
        <v>96</v>
      </c>
      <c r="U883" s="51">
        <v>69</v>
      </c>
      <c r="V883" s="52">
        <f t="shared" si="23"/>
        <v>69</v>
      </c>
      <c r="W883" s="51" t="s">
        <v>7012</v>
      </c>
      <c r="X883" s="198" t="s">
        <v>7013</v>
      </c>
      <c r="Y883" s="199" t="s">
        <v>50</v>
      </c>
      <c r="Z883" s="565"/>
      <c r="AA883" s="170" t="s">
        <v>2215</v>
      </c>
      <c r="AB883" s="243" t="s">
        <v>6109</v>
      </c>
      <c r="AC883" s="35">
        <v>2256.5</v>
      </c>
    </row>
    <row r="884" spans="1:29" ht="54.75" customHeight="1" x14ac:dyDescent="0.25">
      <c r="A884" s="566">
        <v>45748</v>
      </c>
      <c r="B884" s="41" t="s">
        <v>7014</v>
      </c>
      <c r="C884" s="41" t="s">
        <v>7015</v>
      </c>
      <c r="D884" s="273" t="s">
        <v>7016</v>
      </c>
      <c r="E884" s="42" t="s">
        <v>39</v>
      </c>
      <c r="F884" s="43"/>
      <c r="G884" s="43"/>
      <c r="H884" s="19">
        <v>1</v>
      </c>
      <c r="I884" s="245" t="s">
        <v>7017</v>
      </c>
      <c r="J884" s="45">
        <v>4</v>
      </c>
      <c r="K884" s="46" t="s">
        <v>7018</v>
      </c>
      <c r="L884" s="47" t="s">
        <v>63</v>
      </c>
      <c r="M884" s="42" t="s">
        <v>42</v>
      </c>
      <c r="N884" s="567" t="s">
        <v>7019</v>
      </c>
      <c r="O884" s="49" t="s">
        <v>7020</v>
      </c>
      <c r="P884" s="49" t="s">
        <v>7021</v>
      </c>
      <c r="Q884" s="49" t="s">
        <v>7022</v>
      </c>
      <c r="R884" s="92">
        <v>189</v>
      </c>
      <c r="S884" s="50">
        <v>622</v>
      </c>
      <c r="T884" s="51" t="s">
        <v>2482</v>
      </c>
      <c r="U884" s="51">
        <v>51</v>
      </c>
      <c r="V884" s="52">
        <f t="shared" si="23"/>
        <v>204</v>
      </c>
      <c r="W884" s="51" t="s">
        <v>7023</v>
      </c>
      <c r="X884" s="198" t="s">
        <v>98</v>
      </c>
      <c r="Y884" s="168" t="s">
        <v>82</v>
      </c>
      <c r="Z884" s="169" t="s">
        <v>7024</v>
      </c>
      <c r="AA884" s="170" t="s">
        <v>417</v>
      </c>
      <c r="AB884" s="243" t="s">
        <v>147</v>
      </c>
      <c r="AC884" s="172">
        <v>9430.0400000000009</v>
      </c>
    </row>
    <row r="885" spans="1:29" ht="54.75" customHeight="1" x14ac:dyDescent="0.25">
      <c r="A885" s="566">
        <v>45748</v>
      </c>
      <c r="B885" s="41" t="s">
        <v>7025</v>
      </c>
      <c r="C885" s="41" t="s">
        <v>7026</v>
      </c>
      <c r="D885" s="273" t="s">
        <v>7027</v>
      </c>
      <c r="E885" s="42" t="s">
        <v>1379</v>
      </c>
      <c r="F885" s="19">
        <v>1</v>
      </c>
      <c r="G885" s="43"/>
      <c r="H885" s="43"/>
      <c r="I885" s="245" t="s">
        <v>7028</v>
      </c>
      <c r="J885" s="45">
        <v>4</v>
      </c>
      <c r="K885" s="46" t="s">
        <v>7018</v>
      </c>
      <c r="L885" s="47" t="s">
        <v>63</v>
      </c>
      <c r="M885" s="42" t="s">
        <v>42</v>
      </c>
      <c r="N885" s="567" t="s">
        <v>7029</v>
      </c>
      <c r="O885" s="49" t="s">
        <v>7030</v>
      </c>
      <c r="P885" s="49" t="s">
        <v>7031</v>
      </c>
      <c r="Q885" s="49" t="s">
        <v>7032</v>
      </c>
      <c r="R885" s="92">
        <v>165</v>
      </c>
      <c r="S885" s="50">
        <v>486</v>
      </c>
      <c r="T885" s="51" t="s">
        <v>180</v>
      </c>
      <c r="U885" s="51">
        <v>33</v>
      </c>
      <c r="V885" s="52">
        <f t="shared" si="23"/>
        <v>132</v>
      </c>
      <c r="W885" s="51" t="s">
        <v>7023</v>
      </c>
      <c r="X885" s="198" t="s">
        <v>98</v>
      </c>
      <c r="Y885" s="168" t="s">
        <v>82</v>
      </c>
      <c r="Z885" s="169" t="s">
        <v>7024</v>
      </c>
      <c r="AA885" s="170" t="s">
        <v>417</v>
      </c>
      <c r="AB885" s="243" t="s">
        <v>147</v>
      </c>
      <c r="AC885" s="172">
        <v>4729</v>
      </c>
    </row>
    <row r="886" spans="1:29" ht="54" customHeight="1" x14ac:dyDescent="0.25">
      <c r="A886" s="566">
        <v>45748</v>
      </c>
      <c r="B886" s="41" t="s">
        <v>7033</v>
      </c>
      <c r="C886" s="41" t="s">
        <v>7034</v>
      </c>
      <c r="D886" s="41"/>
      <c r="E886" s="42" t="s">
        <v>39</v>
      </c>
      <c r="F886" s="43"/>
      <c r="G886" s="43"/>
      <c r="H886" s="19">
        <v>1</v>
      </c>
      <c r="I886" s="245" t="s">
        <v>7035</v>
      </c>
      <c r="J886" s="45">
        <v>4</v>
      </c>
      <c r="K886" s="46" t="s">
        <v>7036</v>
      </c>
      <c r="L886" s="47" t="s">
        <v>63</v>
      </c>
      <c r="M886" s="42" t="s">
        <v>42</v>
      </c>
      <c r="N886" s="567" t="s">
        <v>7029</v>
      </c>
      <c r="O886" s="49" t="s">
        <v>7037</v>
      </c>
      <c r="P886" s="49" t="s">
        <v>7038</v>
      </c>
      <c r="Q886" s="49" t="s">
        <v>7039</v>
      </c>
      <c r="R886" s="92">
        <v>150</v>
      </c>
      <c r="S886" s="50">
        <v>478</v>
      </c>
      <c r="T886" s="51" t="s">
        <v>180</v>
      </c>
      <c r="U886" s="51">
        <v>38</v>
      </c>
      <c r="V886" s="52">
        <f t="shared" si="23"/>
        <v>152</v>
      </c>
      <c r="W886" s="51" t="s">
        <v>7023</v>
      </c>
      <c r="X886" s="198" t="s">
        <v>98</v>
      </c>
      <c r="Y886" s="168" t="s">
        <v>82</v>
      </c>
      <c r="Z886" s="169" t="s">
        <v>7040</v>
      </c>
      <c r="AA886" s="170" t="s">
        <v>417</v>
      </c>
      <c r="AB886" s="243" t="s">
        <v>147</v>
      </c>
      <c r="AC886" s="172">
        <v>7216.4</v>
      </c>
    </row>
    <row r="887" spans="1:29" s="200" customFormat="1" ht="168" customHeight="1" x14ac:dyDescent="0.25">
      <c r="A887" s="566">
        <v>45748</v>
      </c>
      <c r="B887" s="41" t="s">
        <v>7041</v>
      </c>
      <c r="C887" s="41" t="s">
        <v>7042</v>
      </c>
      <c r="D887" s="41" t="s">
        <v>7043</v>
      </c>
      <c r="E887" s="42" t="s">
        <v>39</v>
      </c>
      <c r="F887" s="19">
        <v>1</v>
      </c>
      <c r="G887" s="43"/>
      <c r="H887" s="43"/>
      <c r="I887" s="245" t="s">
        <v>7044</v>
      </c>
      <c r="J887" s="45">
        <f>103-32</f>
        <v>71</v>
      </c>
      <c r="K887" s="46" t="s">
        <v>7045</v>
      </c>
      <c r="L887" s="47" t="s">
        <v>63</v>
      </c>
      <c r="M887" s="42" t="s">
        <v>42</v>
      </c>
      <c r="N887" s="77" t="s">
        <v>7046</v>
      </c>
      <c r="O887" s="49" t="s">
        <v>7047</v>
      </c>
      <c r="P887" s="49" t="s">
        <v>7048</v>
      </c>
      <c r="Q887" s="49" t="s">
        <v>7049</v>
      </c>
      <c r="R887" s="50">
        <v>55</v>
      </c>
      <c r="S887" s="50">
        <v>156</v>
      </c>
      <c r="T887" s="51" t="s">
        <v>180</v>
      </c>
      <c r="U887" s="51">
        <v>7</v>
      </c>
      <c r="V887" s="31">
        <f>7*J887</f>
        <v>497</v>
      </c>
      <c r="W887" s="51" t="s">
        <v>3973</v>
      </c>
      <c r="X887" s="198" t="s">
        <v>1935</v>
      </c>
      <c r="Y887" s="199" t="s">
        <v>2880</v>
      </c>
      <c r="Z887" s="169" t="s">
        <v>7050</v>
      </c>
      <c r="AA887" s="170" t="s">
        <v>7051</v>
      </c>
      <c r="AB887" s="243" t="s">
        <v>7052</v>
      </c>
      <c r="AC887" s="35">
        <f>(J887/200*9880)</f>
        <v>3507.3999999999996</v>
      </c>
    </row>
    <row r="888" spans="1:29" ht="105" x14ac:dyDescent="0.25">
      <c r="A888" s="566">
        <v>45748</v>
      </c>
      <c r="B888" s="41" t="s">
        <v>7053</v>
      </c>
      <c r="C888" s="41" t="s">
        <v>7054</v>
      </c>
      <c r="D888" s="41"/>
      <c r="E888" s="42" t="s">
        <v>195</v>
      </c>
      <c r="F888" s="43"/>
      <c r="G888" s="43"/>
      <c r="H888" s="43"/>
      <c r="I888" s="245" t="s">
        <v>7055</v>
      </c>
      <c r="J888" s="45">
        <v>19</v>
      </c>
      <c r="K888" s="46" t="s">
        <v>7056</v>
      </c>
      <c r="L888" s="47" t="s">
        <v>2399</v>
      </c>
      <c r="M888" s="42"/>
      <c r="N888" s="567" t="s">
        <v>7057</v>
      </c>
      <c r="O888" s="49" t="s">
        <v>7058</v>
      </c>
      <c r="P888" s="49"/>
      <c r="Q888" s="49"/>
      <c r="R888" s="50">
        <v>0</v>
      </c>
      <c r="S888" s="50">
        <v>0</v>
      </c>
      <c r="T888" s="51">
        <v>0</v>
      </c>
      <c r="U888" s="51">
        <v>59</v>
      </c>
      <c r="V888" s="75">
        <f>U888*J888</f>
        <v>1121</v>
      </c>
      <c r="W888" s="51" t="s">
        <v>350</v>
      </c>
      <c r="X888" s="198" t="s">
        <v>7059</v>
      </c>
      <c r="Y888" s="168" t="s">
        <v>82</v>
      </c>
      <c r="Z888" s="169" t="s">
        <v>7060</v>
      </c>
      <c r="AA888" s="170" t="s">
        <v>6808</v>
      </c>
      <c r="AB888" s="243" t="s">
        <v>121</v>
      </c>
      <c r="AC888" s="172">
        <v>3081.99</v>
      </c>
    </row>
    <row r="889" spans="1:29" s="200" customFormat="1" ht="54" customHeight="1" x14ac:dyDescent="0.25">
      <c r="A889" s="566">
        <v>45744</v>
      </c>
      <c r="B889" s="41" t="s">
        <v>7033</v>
      </c>
      <c r="C889" s="41" t="s">
        <v>7061</v>
      </c>
      <c r="D889" s="41" t="s">
        <v>7062</v>
      </c>
      <c r="E889" s="42" t="s">
        <v>39</v>
      </c>
      <c r="F889" s="19">
        <v>2</v>
      </c>
      <c r="G889" s="43"/>
      <c r="H889" s="43"/>
      <c r="I889" s="245" t="s">
        <v>7063</v>
      </c>
      <c r="J889" s="45">
        <v>170</v>
      </c>
      <c r="K889" s="46" t="s">
        <v>7064</v>
      </c>
      <c r="L889" s="47" t="s">
        <v>63</v>
      </c>
      <c r="M889" s="42" t="s">
        <v>42</v>
      </c>
      <c r="N889" s="77" t="s">
        <v>7065</v>
      </c>
      <c r="O889" s="49" t="s">
        <v>7066</v>
      </c>
      <c r="P889" s="49"/>
      <c r="Q889" s="49" t="s">
        <v>7067</v>
      </c>
      <c r="R889" s="50">
        <v>20</v>
      </c>
      <c r="S889" s="50">
        <v>183</v>
      </c>
      <c r="T889" s="51" t="s">
        <v>158</v>
      </c>
      <c r="U889" s="51">
        <v>30</v>
      </c>
      <c r="V889" s="75">
        <f>U889*J889</f>
        <v>5100</v>
      </c>
      <c r="W889" s="51" t="s">
        <v>350</v>
      </c>
      <c r="X889" s="198" t="s">
        <v>2816</v>
      </c>
      <c r="Y889" s="199" t="s">
        <v>50</v>
      </c>
      <c r="Z889" s="169" t="s">
        <v>7068</v>
      </c>
      <c r="AA889" s="170" t="s">
        <v>83</v>
      </c>
      <c r="AB889" s="243" t="s">
        <v>147</v>
      </c>
      <c r="AC889" s="172">
        <v>18448.400000000001</v>
      </c>
    </row>
    <row r="890" spans="1:29" s="200" customFormat="1" ht="45.75" customHeight="1" x14ac:dyDescent="0.25">
      <c r="A890" s="566">
        <v>45743</v>
      </c>
      <c r="B890" s="164" t="s">
        <v>7069</v>
      </c>
      <c r="C890" s="41" t="s">
        <v>7070</v>
      </c>
      <c r="D890" s="71"/>
      <c r="E890" s="42" t="s">
        <v>39</v>
      </c>
      <c r="F890" s="19">
        <v>2</v>
      </c>
      <c r="G890" s="43"/>
      <c r="H890" s="43"/>
      <c r="I890" s="245" t="s">
        <v>7071</v>
      </c>
      <c r="J890" s="45">
        <v>20</v>
      </c>
      <c r="K890" s="46" t="s">
        <v>7072</v>
      </c>
      <c r="L890" s="47" t="s">
        <v>63</v>
      </c>
      <c r="M890" s="42" t="s">
        <v>42</v>
      </c>
      <c r="N890" s="370" t="s">
        <v>7073</v>
      </c>
      <c r="O890" s="49" t="s">
        <v>7074</v>
      </c>
      <c r="P890" s="49"/>
      <c r="Q890" s="49" t="s">
        <v>7075</v>
      </c>
      <c r="R890" s="50">
        <v>10</v>
      </c>
      <c r="S890" s="50">
        <v>61</v>
      </c>
      <c r="T890" s="51" t="s">
        <v>96</v>
      </c>
      <c r="U890" s="51">
        <v>25</v>
      </c>
      <c r="V890" s="52">
        <f>U890*J890</f>
        <v>500</v>
      </c>
      <c r="W890" s="51" t="s">
        <v>142</v>
      </c>
      <c r="X890" s="198" t="s">
        <v>654</v>
      </c>
      <c r="Y890" s="199" t="s">
        <v>3963</v>
      </c>
      <c r="Z890" s="169" t="s">
        <v>7076</v>
      </c>
      <c r="AA890" s="170" t="s">
        <v>1158</v>
      </c>
      <c r="AB890" s="243" t="s">
        <v>7077</v>
      </c>
      <c r="AC890" s="172">
        <v>3700.6</v>
      </c>
    </row>
    <row r="891" spans="1:29" s="200" customFormat="1" ht="286.5" customHeight="1" x14ac:dyDescent="0.25">
      <c r="A891" s="566">
        <v>45743</v>
      </c>
      <c r="B891" s="41" t="s">
        <v>7041</v>
      </c>
      <c r="C891" s="41" t="s">
        <v>7078</v>
      </c>
      <c r="D891" s="41" t="s">
        <v>7043</v>
      </c>
      <c r="E891" s="42" t="s">
        <v>39</v>
      </c>
      <c r="F891" s="19">
        <v>1</v>
      </c>
      <c r="G891" s="43"/>
      <c r="H891" s="43"/>
      <c r="I891" s="245" t="s">
        <v>7079</v>
      </c>
      <c r="J891" s="45">
        <v>32</v>
      </c>
      <c r="K891" s="46" t="s">
        <v>7080</v>
      </c>
      <c r="L891" s="47" t="s">
        <v>63</v>
      </c>
      <c r="M891" s="42" t="s">
        <v>42</v>
      </c>
      <c r="N891" s="77" t="s">
        <v>7046</v>
      </c>
      <c r="O891" s="49" t="s">
        <v>7047</v>
      </c>
      <c r="P891" s="49" t="s">
        <v>7048</v>
      </c>
      <c r="Q891" s="49" t="s">
        <v>7049</v>
      </c>
      <c r="R891" s="50">
        <v>55</v>
      </c>
      <c r="S891" s="50">
        <v>156</v>
      </c>
      <c r="T891" s="51" t="s">
        <v>180</v>
      </c>
      <c r="U891" s="51">
        <v>7</v>
      </c>
      <c r="V891" s="75">
        <f>7*J891</f>
        <v>224</v>
      </c>
      <c r="W891" s="51" t="s">
        <v>3973</v>
      </c>
      <c r="X891" s="198" t="s">
        <v>1935</v>
      </c>
      <c r="Y891" s="199" t="s">
        <v>2880</v>
      </c>
      <c r="Z891" s="169" t="s">
        <v>7076</v>
      </c>
      <c r="AA891" s="170" t="s">
        <v>7051</v>
      </c>
      <c r="AB891" s="243" t="s">
        <v>7052</v>
      </c>
      <c r="AC891" s="35">
        <f>(J891/200*9880)</f>
        <v>1580.8</v>
      </c>
    </row>
    <row r="892" spans="1:29" s="200" customFormat="1" ht="63.75" customHeight="1" x14ac:dyDescent="0.25">
      <c r="A892" s="566">
        <v>45743</v>
      </c>
      <c r="B892" s="41" t="s">
        <v>5812</v>
      </c>
      <c r="C892" s="41" t="s">
        <v>7081</v>
      </c>
      <c r="D892" s="41"/>
      <c r="E892" s="42" t="s">
        <v>39</v>
      </c>
      <c r="F892" s="19">
        <v>1</v>
      </c>
      <c r="G892" s="43"/>
      <c r="H892" s="43"/>
      <c r="I892" s="245" t="s">
        <v>7082</v>
      </c>
      <c r="J892" s="45">
        <v>35</v>
      </c>
      <c r="K892" s="46" t="s">
        <v>7083</v>
      </c>
      <c r="L892" s="47" t="s">
        <v>63</v>
      </c>
      <c r="M892" s="42" t="s">
        <v>42</v>
      </c>
      <c r="N892" s="77" t="s">
        <v>7084</v>
      </c>
      <c r="O892" s="49" t="s">
        <v>7085</v>
      </c>
      <c r="P892" s="49" t="s">
        <v>7086</v>
      </c>
      <c r="Q892" s="49" t="s">
        <v>7087</v>
      </c>
      <c r="R892" s="50">
        <v>82</v>
      </c>
      <c r="S892" s="50">
        <v>391</v>
      </c>
      <c r="T892" s="51" t="s">
        <v>47</v>
      </c>
      <c r="U892" s="51">
        <v>23</v>
      </c>
      <c r="V892" s="52">
        <f>U892*J892</f>
        <v>805</v>
      </c>
      <c r="W892" s="51" t="s">
        <v>350</v>
      </c>
      <c r="X892" s="198" t="s">
        <v>6713</v>
      </c>
      <c r="Y892" s="199" t="s">
        <v>50</v>
      </c>
      <c r="Z892" s="169" t="s">
        <v>7088</v>
      </c>
      <c r="AA892" s="170" t="s">
        <v>286</v>
      </c>
      <c r="AB892" s="243" t="s">
        <v>191</v>
      </c>
      <c r="AC892" s="172">
        <v>5701.5</v>
      </c>
    </row>
    <row r="893" spans="1:29" ht="75.75" customHeight="1" x14ac:dyDescent="0.25">
      <c r="A893" s="566">
        <v>45743</v>
      </c>
      <c r="B893" s="164" t="s">
        <v>7089</v>
      </c>
      <c r="C893" s="41" t="s">
        <v>7090</v>
      </c>
      <c r="D893" s="41"/>
      <c r="E893" s="42" t="s">
        <v>39</v>
      </c>
      <c r="F893" s="19">
        <v>1</v>
      </c>
      <c r="G893" s="43"/>
      <c r="H893" s="43"/>
      <c r="I893" s="245" t="s">
        <v>7091</v>
      </c>
      <c r="J893" s="45">
        <v>4</v>
      </c>
      <c r="K893" s="46" t="s">
        <v>7083</v>
      </c>
      <c r="L893" s="47" t="s">
        <v>63</v>
      </c>
      <c r="M893" s="42" t="s">
        <v>42</v>
      </c>
      <c r="N893" s="77" t="s">
        <v>7092</v>
      </c>
      <c r="O893" s="49" t="s">
        <v>7093</v>
      </c>
      <c r="P893" s="49"/>
      <c r="Q893" s="49" t="s">
        <v>7094</v>
      </c>
      <c r="R893" s="50">
        <v>11</v>
      </c>
      <c r="S893" s="50">
        <v>21</v>
      </c>
      <c r="T893" s="51" t="s">
        <v>96</v>
      </c>
      <c r="U893" s="51">
        <v>76</v>
      </c>
      <c r="V893" s="52">
        <f>U893*J893</f>
        <v>304</v>
      </c>
      <c r="W893" s="51" t="s">
        <v>3973</v>
      </c>
      <c r="X893" s="198" t="s">
        <v>7095</v>
      </c>
      <c r="Y893" s="168" t="s">
        <v>2880</v>
      </c>
      <c r="Z893" s="169" t="s">
        <v>7096</v>
      </c>
      <c r="AA893" s="170" t="s">
        <v>6980</v>
      </c>
      <c r="AB893" s="243" t="s">
        <v>6534</v>
      </c>
      <c r="AC893" s="172">
        <v>3653.4</v>
      </c>
    </row>
    <row r="894" spans="1:29" s="12" customFormat="1" ht="45" customHeight="1" x14ac:dyDescent="0.25">
      <c r="A894" s="201" t="s">
        <v>7097</v>
      </c>
      <c r="B894" s="568"/>
      <c r="C894" s="569" t="s">
        <v>7098</v>
      </c>
      <c r="D894" s="570" t="s">
        <v>7099</v>
      </c>
      <c r="E894" s="571" t="s">
        <v>7100</v>
      </c>
      <c r="F894" s="572"/>
      <c r="G894" s="572"/>
      <c r="H894" s="573"/>
      <c r="I894" s="574" t="s">
        <v>7101</v>
      </c>
      <c r="J894" s="575">
        <v>25</v>
      </c>
      <c r="K894" s="576" t="s">
        <v>7102</v>
      </c>
      <c r="L894" s="42" t="s">
        <v>63</v>
      </c>
      <c r="M894" s="42" t="s">
        <v>42</v>
      </c>
      <c r="N894" s="577" t="s">
        <v>7103</v>
      </c>
      <c r="O894" s="578"/>
      <c r="P894" s="578"/>
      <c r="Q894" s="579"/>
      <c r="R894" s="42">
        <v>9</v>
      </c>
      <c r="S894" s="42">
        <v>90</v>
      </c>
      <c r="T894" s="42" t="s">
        <v>47</v>
      </c>
      <c r="U894" s="42">
        <v>15</v>
      </c>
      <c r="V894" s="42">
        <v>375</v>
      </c>
      <c r="W894" s="31" t="s">
        <v>350</v>
      </c>
      <c r="X894" s="580" t="s">
        <v>7104</v>
      </c>
      <c r="Y894" s="581" t="s">
        <v>144</v>
      </c>
      <c r="Z894" s="169" t="s">
        <v>7105</v>
      </c>
      <c r="AA894" s="582" t="s">
        <v>4623</v>
      </c>
      <c r="AB894" s="583">
        <v>45428</v>
      </c>
      <c r="AC894" s="584">
        <v>5625</v>
      </c>
    </row>
    <row r="895" spans="1:29" s="200" customFormat="1" ht="110.25" customHeight="1" x14ac:dyDescent="0.25">
      <c r="A895" s="566">
        <v>45742</v>
      </c>
      <c r="B895" s="558" t="s">
        <v>7106</v>
      </c>
      <c r="C895" s="41" t="s">
        <v>7107</v>
      </c>
      <c r="D895" s="41" t="s">
        <v>7108</v>
      </c>
      <c r="E895" s="42" t="s">
        <v>39</v>
      </c>
      <c r="F895" s="43"/>
      <c r="G895" s="43"/>
      <c r="H895" s="19">
        <v>1</v>
      </c>
      <c r="I895" s="245" t="s">
        <v>7109</v>
      </c>
      <c r="J895" s="45">
        <f>500-171</f>
        <v>329</v>
      </c>
      <c r="K895" s="46" t="s">
        <v>7110</v>
      </c>
      <c r="L895" s="47" t="s">
        <v>63</v>
      </c>
      <c r="M895" s="42" t="s">
        <v>42</v>
      </c>
      <c r="N895" s="577" t="s">
        <v>7111</v>
      </c>
      <c r="O895" s="49" t="s">
        <v>7112</v>
      </c>
      <c r="P895" s="49" t="s">
        <v>7113</v>
      </c>
      <c r="Q895" s="49" t="s">
        <v>7114</v>
      </c>
      <c r="R895" s="50">
        <v>44</v>
      </c>
      <c r="S895" s="50">
        <v>92</v>
      </c>
      <c r="T895" s="51" t="s">
        <v>549</v>
      </c>
      <c r="U895" s="51">
        <v>0</v>
      </c>
      <c r="V895" s="52">
        <f t="shared" ref="V895:V904" si="24">U895*J895</f>
        <v>0</v>
      </c>
      <c r="W895" s="51" t="s">
        <v>350</v>
      </c>
      <c r="X895" s="198" t="s">
        <v>7115</v>
      </c>
      <c r="Y895" s="199" t="s">
        <v>82</v>
      </c>
      <c r="Z895" s="169" t="s">
        <v>7116</v>
      </c>
      <c r="AA895" s="170" t="s">
        <v>71</v>
      </c>
      <c r="AB895" s="243" t="s">
        <v>1227</v>
      </c>
      <c r="AC895" s="35">
        <f>(J895/500*14965)</f>
        <v>9846.9700000000012</v>
      </c>
    </row>
    <row r="896" spans="1:29" ht="62.25" customHeight="1" x14ac:dyDescent="0.25">
      <c r="A896" s="566">
        <v>45742</v>
      </c>
      <c r="B896" s="585" t="s">
        <v>7117</v>
      </c>
      <c r="C896" s="585" t="s">
        <v>7118</v>
      </c>
      <c r="D896" s="586"/>
      <c r="E896" s="587" t="s">
        <v>39</v>
      </c>
      <c r="F896" s="588"/>
      <c r="G896" s="588"/>
      <c r="H896" s="19">
        <v>1</v>
      </c>
      <c r="I896" s="245" t="s">
        <v>7119</v>
      </c>
      <c r="J896" s="589">
        <v>25</v>
      </c>
      <c r="K896" s="590" t="s">
        <v>7120</v>
      </c>
      <c r="L896" s="591" t="s">
        <v>63</v>
      </c>
      <c r="M896" s="591" t="s">
        <v>55</v>
      </c>
      <c r="N896" s="592" t="s">
        <v>7121</v>
      </c>
      <c r="O896" s="593" t="s">
        <v>7122</v>
      </c>
      <c r="P896" s="593"/>
      <c r="Q896" s="593" t="s">
        <v>7123</v>
      </c>
      <c r="R896" s="594">
        <v>29</v>
      </c>
      <c r="S896" s="594">
        <v>59</v>
      </c>
      <c r="T896" s="587" t="s">
        <v>96</v>
      </c>
      <c r="U896" s="587">
        <v>35</v>
      </c>
      <c r="V896" s="75">
        <f t="shared" si="24"/>
        <v>875</v>
      </c>
      <c r="W896" s="587" t="s">
        <v>350</v>
      </c>
      <c r="X896" s="198" t="s">
        <v>5544</v>
      </c>
      <c r="Y896" s="168" t="s">
        <v>2880</v>
      </c>
      <c r="Z896" s="169" t="s">
        <v>7124</v>
      </c>
      <c r="AA896" s="170" t="s">
        <v>326</v>
      </c>
      <c r="AB896" s="243" t="s">
        <v>6393</v>
      </c>
      <c r="AC896" s="172">
        <v>2937.5</v>
      </c>
    </row>
    <row r="897" spans="1:29" s="200" customFormat="1" ht="255" x14ac:dyDescent="0.25">
      <c r="A897" s="566">
        <v>45742</v>
      </c>
      <c r="B897" s="164" t="s">
        <v>7125</v>
      </c>
      <c r="C897" s="41" t="s">
        <v>7126</v>
      </c>
      <c r="D897" s="41" t="s">
        <v>7127</v>
      </c>
      <c r="E897" s="319" t="s">
        <v>39</v>
      </c>
      <c r="F897" s="43"/>
      <c r="G897" s="43"/>
      <c r="H897" s="19">
        <v>1</v>
      </c>
      <c r="I897" s="245" t="s">
        <v>7128</v>
      </c>
      <c r="J897" s="45">
        <v>55</v>
      </c>
      <c r="K897" s="46" t="s">
        <v>7129</v>
      </c>
      <c r="L897" s="47" t="s">
        <v>63</v>
      </c>
      <c r="M897" s="42" t="s">
        <v>42</v>
      </c>
      <c r="N897" s="370" t="s">
        <v>7130</v>
      </c>
      <c r="O897" s="49" t="s">
        <v>7131</v>
      </c>
      <c r="P897" s="49" t="s">
        <v>7132</v>
      </c>
      <c r="Q897" s="49" t="s">
        <v>7133</v>
      </c>
      <c r="R897" s="92">
        <v>175</v>
      </c>
      <c r="S897" s="50">
        <v>607</v>
      </c>
      <c r="T897" s="51" t="s">
        <v>2482</v>
      </c>
      <c r="U897" s="51">
        <v>26</v>
      </c>
      <c r="V897" s="75">
        <f t="shared" si="24"/>
        <v>1430</v>
      </c>
      <c r="W897" s="51" t="s">
        <v>350</v>
      </c>
      <c r="X897" s="202" t="s">
        <v>765</v>
      </c>
      <c r="Y897" s="199" t="s">
        <v>50</v>
      </c>
      <c r="Z897" s="169" t="s">
        <v>7134</v>
      </c>
      <c r="AA897" s="170" t="s">
        <v>6980</v>
      </c>
      <c r="AB897" s="243" t="s">
        <v>6393</v>
      </c>
      <c r="AC897" s="172">
        <v>53736.25</v>
      </c>
    </row>
    <row r="898" spans="1:29" s="200" customFormat="1" ht="90" customHeight="1" x14ac:dyDescent="0.25">
      <c r="A898" s="566">
        <v>45742</v>
      </c>
      <c r="B898" s="595" t="s">
        <v>7135</v>
      </c>
      <c r="C898" s="596" t="s">
        <v>7136</v>
      </c>
      <c r="D898" s="597" t="s">
        <v>7137</v>
      </c>
      <c r="E898" s="42" t="s">
        <v>39</v>
      </c>
      <c r="F898" s="19">
        <v>1</v>
      </c>
      <c r="G898" s="598"/>
      <c r="H898" s="598"/>
      <c r="I898" s="599" t="s">
        <v>7138</v>
      </c>
      <c r="J898" s="45">
        <v>600</v>
      </c>
      <c r="K898" s="46" t="s">
        <v>7139</v>
      </c>
      <c r="L898" s="47" t="s">
        <v>63</v>
      </c>
      <c r="M898" s="42" t="s">
        <v>42</v>
      </c>
      <c r="N898" s="600" t="s">
        <v>7140</v>
      </c>
      <c r="O898" s="49" t="s">
        <v>7141</v>
      </c>
      <c r="P898" s="49" t="s">
        <v>7142</v>
      </c>
      <c r="Q898" s="51" t="s">
        <v>7143</v>
      </c>
      <c r="R898" s="50">
        <v>25</v>
      </c>
      <c r="S898" s="50">
        <v>42</v>
      </c>
      <c r="T898" s="51" t="s">
        <v>549</v>
      </c>
      <c r="U898" s="51">
        <v>2</v>
      </c>
      <c r="V898" s="75">
        <f t="shared" si="24"/>
        <v>1200</v>
      </c>
      <c r="W898" s="51" t="s">
        <v>350</v>
      </c>
      <c r="X898" s="198" t="s">
        <v>7144</v>
      </c>
      <c r="Y898" s="199" t="s">
        <v>82</v>
      </c>
      <c r="Z898" s="169" t="s">
        <v>7145</v>
      </c>
      <c r="AA898" s="529" t="s">
        <v>3047</v>
      </c>
      <c r="AB898" s="601" t="s">
        <v>2932</v>
      </c>
      <c r="AC898" s="602">
        <v>10368</v>
      </c>
    </row>
    <row r="899" spans="1:29" ht="197.25" customHeight="1" x14ac:dyDescent="0.25">
      <c r="A899" s="566">
        <v>45740</v>
      </c>
      <c r="B899" s="41" t="s">
        <v>7146</v>
      </c>
      <c r="C899" s="41" t="s">
        <v>7147</v>
      </c>
      <c r="D899" s="41" t="s">
        <v>7148</v>
      </c>
      <c r="E899" s="42" t="s">
        <v>39</v>
      </c>
      <c r="F899" s="43"/>
      <c r="G899" s="43"/>
      <c r="H899" s="19">
        <v>1</v>
      </c>
      <c r="I899" s="245" t="s">
        <v>7149</v>
      </c>
      <c r="J899" s="45">
        <v>10</v>
      </c>
      <c r="K899" s="46" t="s">
        <v>7150</v>
      </c>
      <c r="L899" s="47" t="s">
        <v>63</v>
      </c>
      <c r="M899" s="42" t="s">
        <v>42</v>
      </c>
      <c r="N899" s="603" t="s">
        <v>7151</v>
      </c>
      <c r="O899" s="49" t="s">
        <v>7152</v>
      </c>
      <c r="P899" s="49" t="s">
        <v>7153</v>
      </c>
      <c r="Q899" s="49" t="s">
        <v>7154</v>
      </c>
      <c r="R899" s="50">
        <v>133</v>
      </c>
      <c r="S899" s="50">
        <v>1000</v>
      </c>
      <c r="T899" s="51" t="s">
        <v>141</v>
      </c>
      <c r="U899" s="51">
        <v>10</v>
      </c>
      <c r="V899" s="52">
        <f t="shared" si="24"/>
        <v>100</v>
      </c>
      <c r="W899" s="51" t="s">
        <v>350</v>
      </c>
      <c r="X899" s="198" t="s">
        <v>6816</v>
      </c>
      <c r="Y899" s="168" t="s">
        <v>82</v>
      </c>
      <c r="Z899" s="169" t="s">
        <v>7155</v>
      </c>
      <c r="AA899" s="170" t="s">
        <v>6980</v>
      </c>
      <c r="AB899" s="243" t="s">
        <v>6393</v>
      </c>
      <c r="AC899" s="35">
        <v>23638.799999999999</v>
      </c>
    </row>
    <row r="900" spans="1:29" ht="50.25" customHeight="1" x14ac:dyDescent="0.25">
      <c r="A900" s="566">
        <v>45740</v>
      </c>
      <c r="B900" s="41" t="s">
        <v>7156</v>
      </c>
      <c r="C900" s="41" t="s">
        <v>7157</v>
      </c>
      <c r="D900" s="41"/>
      <c r="E900" s="42" t="s">
        <v>39</v>
      </c>
      <c r="F900" s="19">
        <v>1</v>
      </c>
      <c r="G900" s="43"/>
      <c r="H900" s="43"/>
      <c r="I900" s="245" t="s">
        <v>7158</v>
      </c>
      <c r="J900" s="45">
        <v>200</v>
      </c>
      <c r="K900" s="46" t="s">
        <v>7159</v>
      </c>
      <c r="L900" s="47" t="s">
        <v>63</v>
      </c>
      <c r="M900" s="42" t="s">
        <v>42</v>
      </c>
      <c r="N900" s="77" t="s">
        <v>7160</v>
      </c>
      <c r="O900" s="49" t="s">
        <v>7161</v>
      </c>
      <c r="P900" s="49" t="s">
        <v>7162</v>
      </c>
      <c r="Q900" s="49" t="s">
        <v>7163</v>
      </c>
      <c r="R900" s="50">
        <v>23</v>
      </c>
      <c r="S900" s="50">
        <v>34</v>
      </c>
      <c r="T900" s="51" t="s">
        <v>47</v>
      </c>
      <c r="U900" s="51">
        <v>3</v>
      </c>
      <c r="V900" s="52">
        <f t="shared" si="24"/>
        <v>600</v>
      </c>
      <c r="W900" s="51" t="s">
        <v>350</v>
      </c>
      <c r="X900" s="198" t="s">
        <v>2214</v>
      </c>
      <c r="Y900" s="168" t="s">
        <v>82</v>
      </c>
      <c r="Z900" s="169" t="s">
        <v>7164</v>
      </c>
      <c r="AA900" s="170" t="s">
        <v>326</v>
      </c>
      <c r="AB900" s="243" t="s">
        <v>6393</v>
      </c>
      <c r="AC900" s="172">
        <v>3878</v>
      </c>
    </row>
    <row r="901" spans="1:29" s="200" customFormat="1" ht="135" x14ac:dyDescent="0.25">
      <c r="A901" s="566">
        <v>45740</v>
      </c>
      <c r="B901" s="164" t="s">
        <v>7165</v>
      </c>
      <c r="C901" s="164" t="s">
        <v>7166</v>
      </c>
      <c r="D901" s="41"/>
      <c r="E901" s="42" t="s">
        <v>39</v>
      </c>
      <c r="F901" s="19">
        <v>1</v>
      </c>
      <c r="G901" s="43"/>
      <c r="H901" s="43"/>
      <c r="I901" s="245" t="s">
        <v>7167</v>
      </c>
      <c r="J901" s="45">
        <v>10</v>
      </c>
      <c r="K901" s="46" t="s">
        <v>7168</v>
      </c>
      <c r="L901" s="47" t="s">
        <v>63</v>
      </c>
      <c r="M901" s="42" t="s">
        <v>42</v>
      </c>
      <c r="N901" s="77" t="s">
        <v>7169</v>
      </c>
      <c r="O901" s="49" t="s">
        <v>7170</v>
      </c>
      <c r="P901" s="49" t="s">
        <v>7171</v>
      </c>
      <c r="Q901" s="49" t="s">
        <v>7172</v>
      </c>
      <c r="R901" s="50">
        <v>102</v>
      </c>
      <c r="S901" s="50">
        <v>769</v>
      </c>
      <c r="T901" s="51" t="s">
        <v>180</v>
      </c>
      <c r="U901" s="51">
        <v>55</v>
      </c>
      <c r="V901" s="52">
        <f t="shared" si="24"/>
        <v>550</v>
      </c>
      <c r="W901" s="51" t="s">
        <v>142</v>
      </c>
      <c r="X901" s="198" t="s">
        <v>6755</v>
      </c>
      <c r="Y901" s="199" t="s">
        <v>82</v>
      </c>
      <c r="Z901" s="169" t="s">
        <v>7076</v>
      </c>
      <c r="AA901" s="170" t="s">
        <v>326</v>
      </c>
      <c r="AB901" s="243" t="s">
        <v>6393</v>
      </c>
      <c r="AC901" s="172">
        <f>1350+4647</f>
        <v>5997</v>
      </c>
    </row>
    <row r="902" spans="1:29" s="200" customFormat="1" ht="63" customHeight="1" x14ac:dyDescent="0.25">
      <c r="A902" s="566">
        <v>45740</v>
      </c>
      <c r="B902" s="164" t="s">
        <v>7173</v>
      </c>
      <c r="C902" s="41" t="s">
        <v>7174</v>
      </c>
      <c r="D902" s="604" t="s">
        <v>7175</v>
      </c>
      <c r="E902" s="42" t="s">
        <v>39</v>
      </c>
      <c r="F902" s="43"/>
      <c r="G902" s="43"/>
      <c r="H902" s="19">
        <v>1</v>
      </c>
      <c r="I902" s="245" t="s">
        <v>7176</v>
      </c>
      <c r="J902" s="45">
        <v>5</v>
      </c>
      <c r="K902" s="46" t="s">
        <v>7159</v>
      </c>
      <c r="L902" s="47" t="s">
        <v>63</v>
      </c>
      <c r="M902" s="42" t="s">
        <v>42</v>
      </c>
      <c r="N902" s="77" t="s">
        <v>7177</v>
      </c>
      <c r="O902" s="49" t="s">
        <v>7178</v>
      </c>
      <c r="P902" s="49" t="s">
        <v>7179</v>
      </c>
      <c r="Q902" s="49" t="s">
        <v>7180</v>
      </c>
      <c r="R902" s="50">
        <v>68</v>
      </c>
      <c r="S902" s="50">
        <v>578</v>
      </c>
      <c r="T902" s="51" t="s">
        <v>47</v>
      </c>
      <c r="U902" s="51">
        <v>31</v>
      </c>
      <c r="V902" s="52">
        <f t="shared" si="24"/>
        <v>155</v>
      </c>
      <c r="W902" s="51" t="s">
        <v>3973</v>
      </c>
      <c r="X902" s="198" t="s">
        <v>4051</v>
      </c>
      <c r="Y902" s="199" t="s">
        <v>3963</v>
      </c>
      <c r="Z902" s="169" t="s">
        <v>7181</v>
      </c>
      <c r="AA902" s="170" t="s">
        <v>71</v>
      </c>
      <c r="AB902" s="243" t="s">
        <v>1032</v>
      </c>
      <c r="AC902" s="172">
        <v>4278.5</v>
      </c>
    </row>
    <row r="903" spans="1:29" ht="296.25" x14ac:dyDescent="0.25">
      <c r="A903" s="566">
        <v>45737</v>
      </c>
      <c r="B903" s="605"/>
      <c r="C903" s="606" t="s">
        <v>7182</v>
      </c>
      <c r="D903" s="596" t="s">
        <v>7183</v>
      </c>
      <c r="E903" s="607" t="s">
        <v>195</v>
      </c>
      <c r="F903" s="608"/>
      <c r="G903" s="608"/>
      <c r="H903" s="608"/>
      <c r="I903" s="245" t="s">
        <v>7184</v>
      </c>
      <c r="J903" s="609">
        <v>30</v>
      </c>
      <c r="K903" s="610" t="s">
        <v>7185</v>
      </c>
      <c r="L903" s="611" t="s">
        <v>42</v>
      </c>
      <c r="M903" s="42" t="s">
        <v>3155</v>
      </c>
      <c r="N903" s="612" t="s">
        <v>7186</v>
      </c>
      <c r="O903" s="51" t="s">
        <v>7187</v>
      </c>
      <c r="P903" s="51"/>
      <c r="Q903" s="51"/>
      <c r="R903" s="613">
        <v>0</v>
      </c>
      <c r="S903" s="613">
        <v>0</v>
      </c>
      <c r="T903" s="614"/>
      <c r="U903" s="614">
        <v>106</v>
      </c>
      <c r="V903" s="615">
        <f t="shared" si="24"/>
        <v>3180</v>
      </c>
      <c r="W903" s="614" t="s">
        <v>350</v>
      </c>
      <c r="X903" s="616" t="s">
        <v>583</v>
      </c>
      <c r="Y903" s="168" t="s">
        <v>70</v>
      </c>
      <c r="Z903" s="169" t="s">
        <v>7188</v>
      </c>
      <c r="AA903" s="617" t="s">
        <v>7189</v>
      </c>
      <c r="AB903" s="618" t="s">
        <v>2725</v>
      </c>
      <c r="AC903" s="619">
        <v>9324</v>
      </c>
    </row>
    <row r="904" spans="1:29" ht="60" customHeight="1" x14ac:dyDescent="0.25">
      <c r="A904" s="566">
        <v>45736</v>
      </c>
      <c r="B904" s="41" t="s">
        <v>7190</v>
      </c>
      <c r="C904" s="41" t="s">
        <v>7191</v>
      </c>
      <c r="D904" s="273" t="s">
        <v>7192</v>
      </c>
      <c r="E904" s="42" t="s">
        <v>39</v>
      </c>
      <c r="F904" s="43"/>
      <c r="G904" s="43"/>
      <c r="H904" s="19">
        <v>1</v>
      </c>
      <c r="I904" s="245" t="s">
        <v>7193</v>
      </c>
      <c r="J904" s="45">
        <v>5</v>
      </c>
      <c r="K904" s="46" t="s">
        <v>7194</v>
      </c>
      <c r="L904" s="47" t="s">
        <v>63</v>
      </c>
      <c r="M904" s="42" t="s">
        <v>42</v>
      </c>
      <c r="N904" s="77" t="s">
        <v>7195</v>
      </c>
      <c r="O904" s="49" t="s">
        <v>7196</v>
      </c>
      <c r="P904" s="49" t="s">
        <v>7197</v>
      </c>
      <c r="Q904" s="49" t="s">
        <v>7198</v>
      </c>
      <c r="R904" s="50">
        <v>129</v>
      </c>
      <c r="S904" s="50">
        <v>657</v>
      </c>
      <c r="T904" s="51" t="s">
        <v>141</v>
      </c>
      <c r="U904" s="51">
        <v>11</v>
      </c>
      <c r="V904" s="52">
        <f t="shared" si="24"/>
        <v>55</v>
      </c>
      <c r="W904" s="51" t="s">
        <v>221</v>
      </c>
      <c r="X904" s="198" t="s">
        <v>232</v>
      </c>
      <c r="Y904" s="168" t="s">
        <v>50</v>
      </c>
      <c r="Z904" s="169" t="s">
        <v>7076</v>
      </c>
      <c r="AA904" s="170" t="s">
        <v>585</v>
      </c>
      <c r="AB904" s="243" t="s">
        <v>7199</v>
      </c>
      <c r="AC904" s="172">
        <v>8445.6</v>
      </c>
    </row>
    <row r="905" spans="1:29" s="200" customFormat="1" ht="168" customHeight="1" x14ac:dyDescent="0.25">
      <c r="A905" s="566">
        <v>45736</v>
      </c>
      <c r="B905" s="41" t="s">
        <v>7200</v>
      </c>
      <c r="C905" s="415" t="s">
        <v>7201</v>
      </c>
      <c r="D905" s="82" t="s">
        <v>7202</v>
      </c>
      <c r="E905" s="364" t="s">
        <v>39</v>
      </c>
      <c r="F905" s="19">
        <v>2</v>
      </c>
      <c r="G905" s="365"/>
      <c r="H905" s="365"/>
      <c r="I905" s="574" t="s">
        <v>7203</v>
      </c>
      <c r="J905" s="620">
        <v>11</v>
      </c>
      <c r="K905" s="369" t="s">
        <v>7204</v>
      </c>
      <c r="L905" s="47" t="s">
        <v>63</v>
      </c>
      <c r="M905" s="42" t="s">
        <v>42</v>
      </c>
      <c r="N905" s="77" t="s">
        <v>7205</v>
      </c>
      <c r="O905" s="621" t="s">
        <v>6923</v>
      </c>
      <c r="P905" s="621" t="s">
        <v>7206</v>
      </c>
      <c r="Q905" s="621" t="s">
        <v>7207</v>
      </c>
      <c r="R905" s="50">
        <v>120</v>
      </c>
      <c r="S905" s="50">
        <v>562</v>
      </c>
      <c r="T905" s="51" t="s">
        <v>141</v>
      </c>
      <c r="U905" s="51">
        <v>18</v>
      </c>
      <c r="V905" s="75">
        <f>J905*U905</f>
        <v>198</v>
      </c>
      <c r="W905" s="51" t="s">
        <v>97</v>
      </c>
      <c r="X905" s="198" t="s">
        <v>98</v>
      </c>
      <c r="Y905" s="199" t="s">
        <v>82</v>
      </c>
      <c r="Z905" s="169" t="s">
        <v>6926</v>
      </c>
      <c r="AA905" s="170" t="s">
        <v>6927</v>
      </c>
      <c r="AB905" s="243" t="s">
        <v>6928</v>
      </c>
      <c r="AC905" s="35">
        <f>31215.6*J905/290</f>
        <v>1184.04</v>
      </c>
    </row>
    <row r="906" spans="1:29" s="200" customFormat="1" ht="90" x14ac:dyDescent="0.25">
      <c r="A906" s="566">
        <v>45735</v>
      </c>
      <c r="B906" s="622" t="s">
        <v>7208</v>
      </c>
      <c r="C906" s="483" t="s">
        <v>7209</v>
      </c>
      <c r="D906" s="483" t="s">
        <v>7210</v>
      </c>
      <c r="E906" s="484" t="s">
        <v>39</v>
      </c>
      <c r="F906" s="19">
        <v>1</v>
      </c>
      <c r="G906" s="623"/>
      <c r="H906" s="623"/>
      <c r="I906" s="245" t="s">
        <v>7211</v>
      </c>
      <c r="J906" s="486">
        <v>250</v>
      </c>
      <c r="K906" s="624" t="s">
        <v>7212</v>
      </c>
      <c r="L906" s="488" t="s">
        <v>63</v>
      </c>
      <c r="M906" s="488" t="s">
        <v>55</v>
      </c>
      <c r="N906" s="625" t="s">
        <v>7213</v>
      </c>
      <c r="O906" s="490" t="s">
        <v>7214</v>
      </c>
      <c r="P906" s="490" t="s">
        <v>7215</v>
      </c>
      <c r="Q906" s="490" t="s">
        <v>7216</v>
      </c>
      <c r="R906" s="491">
        <v>29</v>
      </c>
      <c r="S906" s="491">
        <v>41</v>
      </c>
      <c r="T906" s="484" t="s">
        <v>47</v>
      </c>
      <c r="U906" s="484">
        <v>3</v>
      </c>
      <c r="V906" s="75">
        <f t="shared" ref="V906:V925" si="25">U906*J906</f>
        <v>750</v>
      </c>
      <c r="W906" s="484" t="s">
        <v>350</v>
      </c>
      <c r="X906" s="198" t="s">
        <v>6055</v>
      </c>
      <c r="Y906" s="199" t="s">
        <v>50</v>
      </c>
      <c r="Z906" s="169" t="s">
        <v>7217</v>
      </c>
      <c r="AA906" s="170" t="s">
        <v>6980</v>
      </c>
      <c r="AB906" s="243" t="s">
        <v>6534</v>
      </c>
      <c r="AC906" s="35">
        <f>(10575*J906/300)</f>
        <v>8812.5</v>
      </c>
    </row>
    <row r="907" spans="1:29" s="200" customFormat="1" ht="113.25" customHeight="1" x14ac:dyDescent="0.25">
      <c r="A907" s="566">
        <v>45734</v>
      </c>
      <c r="B907" s="41" t="s">
        <v>7218</v>
      </c>
      <c r="C907" s="41" t="s">
        <v>7219</v>
      </c>
      <c r="D907" s="41"/>
      <c r="E907" s="42"/>
      <c r="F907" s="43"/>
      <c r="G907" s="43"/>
      <c r="H907" s="43"/>
      <c r="I907" s="245" t="s">
        <v>7220</v>
      </c>
      <c r="J907" s="45">
        <v>4</v>
      </c>
      <c r="K907" s="46" t="s">
        <v>7221</v>
      </c>
      <c r="L907" s="47" t="s">
        <v>2399</v>
      </c>
      <c r="M907" s="42" t="s">
        <v>2399</v>
      </c>
      <c r="N907" s="77" t="s">
        <v>7222</v>
      </c>
      <c r="O907" s="49"/>
      <c r="P907" s="49"/>
      <c r="Q907" s="49"/>
      <c r="R907" s="50">
        <v>0</v>
      </c>
      <c r="S907" s="50">
        <v>0</v>
      </c>
      <c r="T907" s="51">
        <v>0</v>
      </c>
      <c r="U907" s="51">
        <v>62</v>
      </c>
      <c r="V907" s="52">
        <f t="shared" si="25"/>
        <v>248</v>
      </c>
      <c r="W907" s="51" t="s">
        <v>3973</v>
      </c>
      <c r="X907" s="198" t="s">
        <v>7095</v>
      </c>
      <c r="Y907" s="199" t="s">
        <v>2880</v>
      </c>
      <c r="Z907" s="169" t="s">
        <v>7223</v>
      </c>
      <c r="AA907" s="170" t="s">
        <v>6980</v>
      </c>
      <c r="AB907" s="243" t="s">
        <v>6534</v>
      </c>
      <c r="AC907" s="172">
        <v>2393.1999999999998</v>
      </c>
    </row>
    <row r="908" spans="1:29" s="200" customFormat="1" ht="105" x14ac:dyDescent="0.25">
      <c r="A908" s="566">
        <v>45734</v>
      </c>
      <c r="B908" s="622" t="s">
        <v>7208</v>
      </c>
      <c r="C908" s="483" t="s">
        <v>7209</v>
      </c>
      <c r="D908" s="483" t="s">
        <v>7224</v>
      </c>
      <c r="E908" s="484" t="s">
        <v>39</v>
      </c>
      <c r="F908" s="19">
        <v>1</v>
      </c>
      <c r="G908" s="623"/>
      <c r="H908" s="623"/>
      <c r="I908" s="245" t="s">
        <v>7225</v>
      </c>
      <c r="J908" s="486">
        <v>50</v>
      </c>
      <c r="K908" s="624" t="s">
        <v>7226</v>
      </c>
      <c r="L908" s="488" t="s">
        <v>63</v>
      </c>
      <c r="M908" s="488" t="s">
        <v>55</v>
      </c>
      <c r="N908" s="625" t="s">
        <v>7227</v>
      </c>
      <c r="O908" s="490" t="s">
        <v>7214</v>
      </c>
      <c r="P908" s="490" t="s">
        <v>7215</v>
      </c>
      <c r="Q908" s="490" t="s">
        <v>7228</v>
      </c>
      <c r="R908" s="491">
        <v>29</v>
      </c>
      <c r="S908" s="491">
        <v>41</v>
      </c>
      <c r="T908" s="484" t="s">
        <v>47</v>
      </c>
      <c r="U908" s="484">
        <v>3</v>
      </c>
      <c r="V908" s="75">
        <f t="shared" si="25"/>
        <v>150</v>
      </c>
      <c r="W908" s="484" t="s">
        <v>350</v>
      </c>
      <c r="X908" s="198" t="s">
        <v>6055</v>
      </c>
      <c r="Y908" s="199" t="s">
        <v>50</v>
      </c>
      <c r="Z908" s="169" t="s">
        <v>7229</v>
      </c>
      <c r="AA908" s="170" t="s">
        <v>6980</v>
      </c>
      <c r="AB908" s="243" t="s">
        <v>6534</v>
      </c>
      <c r="AC908" s="35">
        <f>850+(10575*J908/300)</f>
        <v>2612.5</v>
      </c>
    </row>
    <row r="909" spans="1:29" ht="113.25" customHeight="1" x14ac:dyDescent="0.25">
      <c r="A909" s="566">
        <v>45734</v>
      </c>
      <c r="B909" s="41"/>
      <c r="C909" s="41" t="s">
        <v>7230</v>
      </c>
      <c r="D909" s="41"/>
      <c r="E909" s="42" t="s">
        <v>195</v>
      </c>
      <c r="F909" s="43"/>
      <c r="G909" s="43"/>
      <c r="H909" s="43"/>
      <c r="I909" s="245" t="s">
        <v>7231</v>
      </c>
      <c r="J909" s="45">
        <v>1</v>
      </c>
      <c r="K909" s="46" t="s">
        <v>7232</v>
      </c>
      <c r="L909" s="47" t="s">
        <v>2399</v>
      </c>
      <c r="M909" s="42" t="s">
        <v>2399</v>
      </c>
      <c r="N909" s="77" t="s">
        <v>7233</v>
      </c>
      <c r="O909" s="49" t="s">
        <v>7234</v>
      </c>
      <c r="P909" s="49"/>
      <c r="Q909" s="49"/>
      <c r="R909" s="50">
        <v>0</v>
      </c>
      <c r="S909" s="50">
        <v>0</v>
      </c>
      <c r="T909" s="51">
        <v>0</v>
      </c>
      <c r="U909" s="51">
        <v>59</v>
      </c>
      <c r="V909" s="52">
        <f t="shared" si="25"/>
        <v>59</v>
      </c>
      <c r="W909" s="51" t="s">
        <v>350</v>
      </c>
      <c r="X909" s="198" t="s">
        <v>7059</v>
      </c>
      <c r="Y909" s="168" t="s">
        <v>82</v>
      </c>
      <c r="Z909" s="169" t="s">
        <v>7235</v>
      </c>
      <c r="AA909" s="170" t="s">
        <v>326</v>
      </c>
      <c r="AB909" s="243" t="s">
        <v>327</v>
      </c>
      <c r="AC909" s="172">
        <v>1216.55</v>
      </c>
    </row>
    <row r="910" spans="1:29" ht="135" x14ac:dyDescent="0.25">
      <c r="A910" s="566">
        <v>45734</v>
      </c>
      <c r="B910" s="164" t="s">
        <v>7236</v>
      </c>
      <c r="C910" s="41" t="s">
        <v>7237</v>
      </c>
      <c r="D910" s="41" t="s">
        <v>7238</v>
      </c>
      <c r="E910" s="42" t="s">
        <v>39</v>
      </c>
      <c r="F910" s="43"/>
      <c r="G910" s="43"/>
      <c r="H910" s="19">
        <v>2</v>
      </c>
      <c r="I910" s="245" t="s">
        <v>7239</v>
      </c>
      <c r="J910" s="45">
        <v>5</v>
      </c>
      <c r="K910" s="46" t="s">
        <v>7240</v>
      </c>
      <c r="L910" s="47" t="s">
        <v>63</v>
      </c>
      <c r="M910" s="42" t="s">
        <v>42</v>
      </c>
      <c r="N910" s="77" t="s">
        <v>7241</v>
      </c>
      <c r="O910" s="49"/>
      <c r="P910" s="49" t="s">
        <v>7242</v>
      </c>
      <c r="Q910" s="49" t="s">
        <v>7243</v>
      </c>
      <c r="R910" s="50">
        <v>21</v>
      </c>
      <c r="S910" s="50">
        <v>218</v>
      </c>
      <c r="T910" s="51" t="s">
        <v>96</v>
      </c>
      <c r="U910" s="51">
        <v>129</v>
      </c>
      <c r="V910" s="75">
        <f t="shared" si="25"/>
        <v>645</v>
      </c>
      <c r="W910" s="51" t="s">
        <v>221</v>
      </c>
      <c r="X910" s="198" t="s">
        <v>6903</v>
      </c>
      <c r="Y910" s="168" t="s">
        <v>82</v>
      </c>
      <c r="Z910" s="169" t="s">
        <v>7244</v>
      </c>
      <c r="AA910" s="170" t="s">
        <v>1212</v>
      </c>
      <c r="AB910" s="243" t="s">
        <v>1421</v>
      </c>
      <c r="AC910" s="172">
        <v>5665</v>
      </c>
    </row>
    <row r="911" spans="1:29" s="200" customFormat="1" ht="180" x14ac:dyDescent="0.25">
      <c r="A911" s="566">
        <v>45734</v>
      </c>
      <c r="B911" s="164" t="s">
        <v>7245</v>
      </c>
      <c r="C911" s="164" t="s">
        <v>7246</v>
      </c>
      <c r="D911" s="164" t="s">
        <v>7247</v>
      </c>
      <c r="E911" s="42" t="s">
        <v>39</v>
      </c>
      <c r="F911" s="43"/>
      <c r="G911" s="43"/>
      <c r="H911" s="19">
        <v>3</v>
      </c>
      <c r="I911" s="245" t="s">
        <v>7248</v>
      </c>
      <c r="J911" s="45">
        <v>50</v>
      </c>
      <c r="K911" s="46" t="s">
        <v>7249</v>
      </c>
      <c r="L911" s="47" t="s">
        <v>63</v>
      </c>
      <c r="M911" s="42" t="s">
        <v>42</v>
      </c>
      <c r="N911" s="77" t="s">
        <v>7250</v>
      </c>
      <c r="O911" s="49" t="s">
        <v>7251</v>
      </c>
      <c r="P911" s="49"/>
      <c r="Q911" s="49" t="s">
        <v>7252</v>
      </c>
      <c r="R911" s="50">
        <v>50</v>
      </c>
      <c r="S911" s="50">
        <v>347</v>
      </c>
      <c r="T911" s="51" t="s">
        <v>47</v>
      </c>
      <c r="U911" s="51">
        <v>3</v>
      </c>
      <c r="V911" s="52">
        <f t="shared" si="25"/>
        <v>150</v>
      </c>
      <c r="W911" s="51" t="s">
        <v>510</v>
      </c>
      <c r="X911" s="198" t="s">
        <v>7253</v>
      </c>
      <c r="Y911" s="199" t="s">
        <v>82</v>
      </c>
      <c r="Z911" s="169" t="s">
        <v>7254</v>
      </c>
      <c r="AA911" s="170" t="s">
        <v>7255</v>
      </c>
      <c r="AB911" s="243" t="s">
        <v>1252</v>
      </c>
      <c r="AC911" s="172">
        <v>9357.5</v>
      </c>
    </row>
    <row r="912" spans="1:29" s="200" customFormat="1" ht="75" x14ac:dyDescent="0.25">
      <c r="A912" s="566">
        <v>45734</v>
      </c>
      <c r="B912" s="41" t="s">
        <v>7256</v>
      </c>
      <c r="C912" s="41" t="s">
        <v>7257</v>
      </c>
      <c r="D912" s="41"/>
      <c r="E912" s="42" t="s">
        <v>39</v>
      </c>
      <c r="F912" s="43"/>
      <c r="G912" s="43"/>
      <c r="H912" s="19">
        <v>2</v>
      </c>
      <c r="I912" s="245" t="s">
        <v>7258</v>
      </c>
      <c r="J912" s="45">
        <v>10</v>
      </c>
      <c r="K912" s="46" t="s">
        <v>7232</v>
      </c>
      <c r="L912" s="47" t="s">
        <v>63</v>
      </c>
      <c r="M912" s="42" t="s">
        <v>42</v>
      </c>
      <c r="N912" s="77" t="s">
        <v>7259</v>
      </c>
      <c r="O912" s="49"/>
      <c r="P912" s="49"/>
      <c r="Q912" s="49" t="s">
        <v>7123</v>
      </c>
      <c r="R912" s="50">
        <v>33</v>
      </c>
      <c r="S912" s="50">
        <v>96</v>
      </c>
      <c r="T912" s="51" t="s">
        <v>96</v>
      </c>
      <c r="U912" s="51">
        <v>11</v>
      </c>
      <c r="V912" s="52">
        <f t="shared" si="25"/>
        <v>110</v>
      </c>
      <c r="W912" s="51" t="s">
        <v>350</v>
      </c>
      <c r="X912" s="202" t="s">
        <v>765</v>
      </c>
      <c r="Y912" s="199" t="s">
        <v>50</v>
      </c>
      <c r="Z912" s="169" t="s">
        <v>7260</v>
      </c>
      <c r="AA912" s="170" t="s">
        <v>200</v>
      </c>
      <c r="AB912" s="243" t="s">
        <v>540</v>
      </c>
      <c r="AC912" s="172">
        <v>6352</v>
      </c>
    </row>
    <row r="913" spans="1:29" ht="75" customHeight="1" x14ac:dyDescent="0.25">
      <c r="A913" s="566">
        <v>45733</v>
      </c>
      <c r="B913" s="164" t="s">
        <v>7261</v>
      </c>
      <c r="C913" s="41" t="s">
        <v>7262</v>
      </c>
      <c r="D913" s="273" t="s">
        <v>7263</v>
      </c>
      <c r="E913" s="42" t="s">
        <v>39</v>
      </c>
      <c r="F913" s="19">
        <v>1</v>
      </c>
      <c r="G913" s="43"/>
      <c r="H913" s="43"/>
      <c r="I913" s="245" t="s">
        <v>7264</v>
      </c>
      <c r="J913" s="45">
        <v>30</v>
      </c>
      <c r="K913" s="46" t="s">
        <v>7265</v>
      </c>
      <c r="L913" s="47" t="s">
        <v>63</v>
      </c>
      <c r="M913" s="42" t="s">
        <v>42</v>
      </c>
      <c r="N913" s="359" t="s">
        <v>7266</v>
      </c>
      <c r="O913" s="49" t="s">
        <v>7267</v>
      </c>
      <c r="P913" s="49" t="s">
        <v>7268</v>
      </c>
      <c r="Q913" s="49" t="s">
        <v>7269</v>
      </c>
      <c r="R913" s="50">
        <v>47</v>
      </c>
      <c r="S913" s="50">
        <v>105</v>
      </c>
      <c r="T913" s="51" t="s">
        <v>47</v>
      </c>
      <c r="U913" s="51">
        <v>24</v>
      </c>
      <c r="V913" s="75">
        <f t="shared" si="25"/>
        <v>720</v>
      </c>
      <c r="W913" s="51" t="s">
        <v>350</v>
      </c>
      <c r="X913" s="198" t="s">
        <v>905</v>
      </c>
      <c r="Y913" s="168" t="s">
        <v>50</v>
      </c>
      <c r="Z913" s="169" t="s">
        <v>7270</v>
      </c>
      <c r="AA913" s="170" t="s">
        <v>7271</v>
      </c>
      <c r="AB913" s="243" t="s">
        <v>6882</v>
      </c>
      <c r="AC913" s="172">
        <v>12342.9</v>
      </c>
    </row>
    <row r="914" spans="1:29" s="200" customFormat="1" ht="75.75" customHeight="1" x14ac:dyDescent="0.25">
      <c r="A914" s="566">
        <v>45733</v>
      </c>
      <c r="B914" s="164" t="s">
        <v>7069</v>
      </c>
      <c r="C914" s="41" t="s">
        <v>7272</v>
      </c>
      <c r="D914" s="71" t="s">
        <v>7273</v>
      </c>
      <c r="E914" s="42" t="s">
        <v>39</v>
      </c>
      <c r="F914" s="43"/>
      <c r="G914" s="43"/>
      <c r="H914" s="19">
        <v>1</v>
      </c>
      <c r="I914" s="245" t="s">
        <v>7274</v>
      </c>
      <c r="J914" s="45">
        <v>100</v>
      </c>
      <c r="K914" s="46" t="s">
        <v>7265</v>
      </c>
      <c r="L914" s="47" t="s">
        <v>63</v>
      </c>
      <c r="M914" s="42" t="s">
        <v>42</v>
      </c>
      <c r="N914" s="77" t="s">
        <v>7275</v>
      </c>
      <c r="O914" s="49" t="s">
        <v>7276</v>
      </c>
      <c r="P914" s="49"/>
      <c r="Q914" s="49" t="s">
        <v>7277</v>
      </c>
      <c r="R914" s="50">
        <v>33</v>
      </c>
      <c r="S914" s="50">
        <v>167</v>
      </c>
      <c r="T914" s="51" t="s">
        <v>96</v>
      </c>
      <c r="U914" s="51">
        <v>9</v>
      </c>
      <c r="V914" s="75">
        <f t="shared" si="25"/>
        <v>900</v>
      </c>
      <c r="W914" s="51" t="s">
        <v>350</v>
      </c>
      <c r="X914" s="198" t="s">
        <v>1982</v>
      </c>
      <c r="Y914" s="199" t="s">
        <v>7004</v>
      </c>
      <c r="Z914" s="626" t="s">
        <v>7278</v>
      </c>
      <c r="AA914" s="170" t="s">
        <v>6980</v>
      </c>
      <c r="AB914" s="243" t="s">
        <v>6534</v>
      </c>
      <c r="AC914" s="172">
        <v>6478</v>
      </c>
    </row>
    <row r="915" spans="1:29" ht="76.5" customHeight="1" x14ac:dyDescent="0.25">
      <c r="A915" s="566">
        <v>45733</v>
      </c>
      <c r="B915" s="164" t="s">
        <v>7279</v>
      </c>
      <c r="C915" s="41" t="s">
        <v>7280</v>
      </c>
      <c r="D915" s="41" t="s">
        <v>7281</v>
      </c>
      <c r="E915" s="42" t="s">
        <v>39</v>
      </c>
      <c r="F915" s="19">
        <v>1</v>
      </c>
      <c r="G915" s="43"/>
      <c r="H915" s="43"/>
      <c r="I915" s="245" t="s">
        <v>7282</v>
      </c>
      <c r="J915" s="45">
        <v>200</v>
      </c>
      <c r="K915" s="46" t="s">
        <v>948</v>
      </c>
      <c r="L915" s="47" t="s">
        <v>63</v>
      </c>
      <c r="M915" s="145" t="s">
        <v>42</v>
      </c>
      <c r="N915" s="77" t="s">
        <v>7283</v>
      </c>
      <c r="O915" s="49" t="s">
        <v>7284</v>
      </c>
      <c r="P915" s="49" t="s">
        <v>7285</v>
      </c>
      <c r="Q915" s="49" t="s">
        <v>7286</v>
      </c>
      <c r="R915" s="50">
        <v>75</v>
      </c>
      <c r="S915" s="50">
        <v>304</v>
      </c>
      <c r="T915" s="51" t="s">
        <v>549</v>
      </c>
      <c r="U915" s="51">
        <v>9</v>
      </c>
      <c r="V915" s="75">
        <f t="shared" si="25"/>
        <v>1800</v>
      </c>
      <c r="W915" s="51" t="s">
        <v>350</v>
      </c>
      <c r="X915" s="198" t="s">
        <v>1935</v>
      </c>
      <c r="Y915" s="168" t="s">
        <v>2880</v>
      </c>
      <c r="Z915" s="169" t="s">
        <v>7287</v>
      </c>
      <c r="AA915" s="170" t="s">
        <v>7051</v>
      </c>
      <c r="AB915" s="243" t="s">
        <v>944</v>
      </c>
      <c r="AC915" s="172">
        <v>16026</v>
      </c>
    </row>
    <row r="916" spans="1:29" s="200" customFormat="1" ht="177" customHeight="1" x14ac:dyDescent="0.25">
      <c r="A916" s="566">
        <v>45730</v>
      </c>
      <c r="B916" s="41" t="s">
        <v>5812</v>
      </c>
      <c r="C916" s="41" t="s">
        <v>7288</v>
      </c>
      <c r="D916" s="41" t="s">
        <v>7289</v>
      </c>
      <c r="E916" s="42" t="s">
        <v>39</v>
      </c>
      <c r="F916" s="19">
        <v>1</v>
      </c>
      <c r="G916" s="43"/>
      <c r="H916" s="43"/>
      <c r="I916" s="245" t="s">
        <v>7290</v>
      </c>
      <c r="J916" s="45">
        <v>13</v>
      </c>
      <c r="K916" s="46" t="s">
        <v>7265</v>
      </c>
      <c r="L916" s="47" t="s">
        <v>63</v>
      </c>
      <c r="M916" s="42" t="s">
        <v>42</v>
      </c>
      <c r="N916" s="77" t="s">
        <v>7291</v>
      </c>
      <c r="O916" s="49" t="s">
        <v>7292</v>
      </c>
      <c r="P916" s="49" t="s">
        <v>7293</v>
      </c>
      <c r="Q916" s="49" t="s">
        <v>7294</v>
      </c>
      <c r="R916" s="50">
        <v>83</v>
      </c>
      <c r="S916" s="50">
        <v>196</v>
      </c>
      <c r="T916" s="51" t="s">
        <v>47</v>
      </c>
      <c r="U916" s="51">
        <v>6</v>
      </c>
      <c r="V916" s="52">
        <f t="shared" si="25"/>
        <v>78</v>
      </c>
      <c r="W916" s="51" t="s">
        <v>350</v>
      </c>
      <c r="X916" s="198" t="s">
        <v>482</v>
      </c>
      <c r="Y916" s="199" t="s">
        <v>50</v>
      </c>
      <c r="Z916" s="169" t="s">
        <v>7295</v>
      </c>
      <c r="AA916" s="170" t="s">
        <v>6980</v>
      </c>
      <c r="AB916" s="243" t="s">
        <v>6534</v>
      </c>
      <c r="AC916" s="172">
        <v>3883.1</v>
      </c>
    </row>
    <row r="917" spans="1:29" s="200" customFormat="1" ht="60" customHeight="1" x14ac:dyDescent="0.25">
      <c r="A917" s="566">
        <v>45730</v>
      </c>
      <c r="B917" s="41" t="s">
        <v>7296</v>
      </c>
      <c r="C917" s="41" t="s">
        <v>7297</v>
      </c>
      <c r="D917" s="41"/>
      <c r="E917" s="42" t="s">
        <v>195</v>
      </c>
      <c r="F917" s="43"/>
      <c r="G917" s="43"/>
      <c r="H917" s="43"/>
      <c r="I917" s="245" t="s">
        <v>7298</v>
      </c>
      <c r="J917" s="45">
        <v>250</v>
      </c>
      <c r="K917" s="46" t="s">
        <v>7221</v>
      </c>
      <c r="L917" s="47" t="s">
        <v>2399</v>
      </c>
      <c r="M917" s="42" t="s">
        <v>2399</v>
      </c>
      <c r="N917" s="77" t="s">
        <v>7299</v>
      </c>
      <c r="O917" s="49" t="s">
        <v>7300</v>
      </c>
      <c r="P917" s="49"/>
      <c r="Q917" s="49"/>
      <c r="R917" s="50">
        <v>0</v>
      </c>
      <c r="S917" s="50">
        <v>0</v>
      </c>
      <c r="T917" s="51">
        <v>0</v>
      </c>
      <c r="U917" s="51">
        <v>3</v>
      </c>
      <c r="V917" s="75">
        <f t="shared" si="25"/>
        <v>750</v>
      </c>
      <c r="W917" s="51" t="s">
        <v>350</v>
      </c>
      <c r="X917" s="198" t="s">
        <v>49</v>
      </c>
      <c r="Y917" s="199" t="s">
        <v>50</v>
      </c>
      <c r="Z917" s="169" t="s">
        <v>7301</v>
      </c>
      <c r="AA917" s="170" t="s">
        <v>7271</v>
      </c>
      <c r="AB917" s="243" t="s">
        <v>6882</v>
      </c>
      <c r="AC917" s="172">
        <v>4555</v>
      </c>
    </row>
    <row r="918" spans="1:29" s="200" customFormat="1" ht="54.75" customHeight="1" x14ac:dyDescent="0.25">
      <c r="A918" s="566">
        <v>45730</v>
      </c>
      <c r="B918" s="164" t="s">
        <v>7261</v>
      </c>
      <c r="C918" s="41" t="s">
        <v>7302</v>
      </c>
      <c r="D918" s="41"/>
      <c r="E918" s="42" t="s">
        <v>39</v>
      </c>
      <c r="F918" s="43"/>
      <c r="G918" s="43"/>
      <c r="H918" s="19">
        <v>1</v>
      </c>
      <c r="I918" s="245" t="s">
        <v>7303</v>
      </c>
      <c r="J918" s="45">
        <v>25</v>
      </c>
      <c r="K918" s="46" t="s">
        <v>7265</v>
      </c>
      <c r="L918" s="47" t="s">
        <v>63</v>
      </c>
      <c r="M918" s="42" t="s">
        <v>42</v>
      </c>
      <c r="N918" s="77" t="s">
        <v>7304</v>
      </c>
      <c r="O918" s="49" t="s">
        <v>7305</v>
      </c>
      <c r="P918" s="49"/>
      <c r="Q918" s="49" t="s">
        <v>7306</v>
      </c>
      <c r="R918" s="50">
        <v>9</v>
      </c>
      <c r="S918" s="50">
        <v>16</v>
      </c>
      <c r="T918" s="51" t="s">
        <v>96</v>
      </c>
      <c r="U918" s="51">
        <v>1</v>
      </c>
      <c r="V918" s="52">
        <f t="shared" si="25"/>
        <v>25</v>
      </c>
      <c r="W918" s="51" t="s">
        <v>350</v>
      </c>
      <c r="X918" s="198" t="s">
        <v>49</v>
      </c>
      <c r="Y918" s="199" t="s">
        <v>50</v>
      </c>
      <c r="Z918" s="169" t="s">
        <v>7307</v>
      </c>
      <c r="AA918" s="170" t="s">
        <v>6533</v>
      </c>
      <c r="AB918" s="243" t="s">
        <v>6905</v>
      </c>
      <c r="AC918" s="172">
        <v>3376</v>
      </c>
    </row>
    <row r="919" spans="1:29" s="200" customFormat="1" ht="45.75" customHeight="1" x14ac:dyDescent="0.25">
      <c r="A919" s="566">
        <v>45729</v>
      </c>
      <c r="B919" s="164" t="s">
        <v>7308</v>
      </c>
      <c r="C919" s="41" t="s">
        <v>7309</v>
      </c>
      <c r="D919" s="273" t="s">
        <v>7310</v>
      </c>
      <c r="E919" s="42" t="s">
        <v>39</v>
      </c>
      <c r="F919" s="43"/>
      <c r="G919" s="43"/>
      <c r="H919" s="19">
        <v>1</v>
      </c>
      <c r="I919" s="245" t="s">
        <v>7311</v>
      </c>
      <c r="J919" s="45">
        <v>171</v>
      </c>
      <c r="K919" s="387" t="s">
        <v>9963</v>
      </c>
      <c r="L919" s="47" t="s">
        <v>63</v>
      </c>
      <c r="M919" s="42" t="s">
        <v>42</v>
      </c>
      <c r="N919" s="77" t="s">
        <v>7312</v>
      </c>
      <c r="O919" s="49" t="s">
        <v>7313</v>
      </c>
      <c r="P919" s="49" t="s">
        <v>7314</v>
      </c>
      <c r="Q919" s="49" t="s">
        <v>7315</v>
      </c>
      <c r="R919" s="50">
        <v>44</v>
      </c>
      <c r="S919" s="50">
        <v>92</v>
      </c>
      <c r="T919" s="51" t="s">
        <v>549</v>
      </c>
      <c r="U919" s="51">
        <v>0</v>
      </c>
      <c r="V919" s="52">
        <f t="shared" si="25"/>
        <v>0</v>
      </c>
      <c r="W919" s="51" t="s">
        <v>350</v>
      </c>
      <c r="X919" s="198" t="s">
        <v>7115</v>
      </c>
      <c r="Y919" s="199" t="s">
        <v>82</v>
      </c>
      <c r="Z919" s="169" t="s">
        <v>7116</v>
      </c>
      <c r="AA919" s="170" t="s">
        <v>71</v>
      </c>
      <c r="AB919" s="243" t="s">
        <v>1227</v>
      </c>
      <c r="AC919" s="35">
        <f>1000+3500+(J919/500*14965)</f>
        <v>9618.0300000000007</v>
      </c>
    </row>
    <row r="920" spans="1:29" ht="122.25" customHeight="1" x14ac:dyDescent="0.25">
      <c r="A920" s="566">
        <v>45728</v>
      </c>
      <c r="B920" s="41" t="s">
        <v>7316</v>
      </c>
      <c r="C920" s="41" t="s">
        <v>7317</v>
      </c>
      <c r="D920" s="41" t="s">
        <v>7318</v>
      </c>
      <c r="E920" s="42" t="s">
        <v>39</v>
      </c>
      <c r="F920" s="43"/>
      <c r="G920" s="43"/>
      <c r="H920" s="19">
        <v>1</v>
      </c>
      <c r="I920" s="245" t="s">
        <v>7319</v>
      </c>
      <c r="J920" s="45">
        <v>2</v>
      </c>
      <c r="K920" s="46" t="s">
        <v>7320</v>
      </c>
      <c r="L920" s="47" t="s">
        <v>63</v>
      </c>
      <c r="M920" s="145" t="s">
        <v>42</v>
      </c>
      <c r="N920" s="77" t="s">
        <v>7321</v>
      </c>
      <c r="O920" s="49" t="s">
        <v>7285</v>
      </c>
      <c r="P920" s="49" t="s">
        <v>7322</v>
      </c>
      <c r="Q920" s="49" t="s">
        <v>7323</v>
      </c>
      <c r="R920" s="50">
        <v>102</v>
      </c>
      <c r="S920" s="50">
        <v>1701</v>
      </c>
      <c r="T920" s="51" t="s">
        <v>180</v>
      </c>
      <c r="U920" s="51">
        <v>16</v>
      </c>
      <c r="V920" s="52">
        <f t="shared" si="25"/>
        <v>32</v>
      </c>
      <c r="W920" s="51" t="s">
        <v>510</v>
      </c>
      <c r="X920" s="198" t="s">
        <v>6827</v>
      </c>
      <c r="Y920" s="168" t="s">
        <v>82</v>
      </c>
      <c r="Z920" s="169" t="s">
        <v>7324</v>
      </c>
      <c r="AA920" s="170" t="s">
        <v>7271</v>
      </c>
      <c r="AB920" s="243" t="s">
        <v>6882</v>
      </c>
      <c r="AC920" s="172">
        <f>4971+1950</f>
        <v>6921</v>
      </c>
    </row>
    <row r="921" spans="1:29" ht="150" x14ac:dyDescent="0.25">
      <c r="A921" s="566">
        <v>45728</v>
      </c>
      <c r="B921" s="174" t="s">
        <v>7261</v>
      </c>
      <c r="C921" s="95" t="s">
        <v>7325</v>
      </c>
      <c r="D921" s="379"/>
      <c r="E921" s="96" t="s">
        <v>39</v>
      </c>
      <c r="F921" s="19">
        <v>2</v>
      </c>
      <c r="G921" s="97"/>
      <c r="H921" s="97"/>
      <c r="I921" s="245" t="s">
        <v>7326</v>
      </c>
      <c r="J921" s="98">
        <v>5</v>
      </c>
      <c r="K921" s="165" t="s">
        <v>7327</v>
      </c>
      <c r="L921" s="100" t="s">
        <v>63</v>
      </c>
      <c r="M921" s="100" t="s">
        <v>42</v>
      </c>
      <c r="N921" s="627" t="s">
        <v>6759</v>
      </c>
      <c r="O921" s="102" t="s">
        <v>7328</v>
      </c>
      <c r="P921" s="102"/>
      <c r="Q921" s="102" t="s">
        <v>7329</v>
      </c>
      <c r="R921" s="103">
        <v>52</v>
      </c>
      <c r="S921" s="103">
        <v>128</v>
      </c>
      <c r="T921" s="96" t="s">
        <v>96</v>
      </c>
      <c r="U921" s="96">
        <v>31</v>
      </c>
      <c r="V921" s="104">
        <f t="shared" si="25"/>
        <v>155</v>
      </c>
      <c r="W921" s="96" t="s">
        <v>350</v>
      </c>
      <c r="X921" s="198" t="s">
        <v>7330</v>
      </c>
      <c r="Y921" s="168" t="s">
        <v>50</v>
      </c>
      <c r="Z921" s="169" t="s">
        <v>7331</v>
      </c>
      <c r="AA921" s="170" t="s">
        <v>7271</v>
      </c>
      <c r="AB921" s="243" t="s">
        <v>6882</v>
      </c>
      <c r="AC921" s="172">
        <v>4791.25</v>
      </c>
    </row>
    <row r="922" spans="1:29" s="200" customFormat="1" ht="51.75" customHeight="1" x14ac:dyDescent="0.25">
      <c r="A922" s="566">
        <v>45727</v>
      </c>
      <c r="B922" s="164" t="s">
        <v>6115</v>
      </c>
      <c r="C922" s="41" t="s">
        <v>7332</v>
      </c>
      <c r="D922" s="71"/>
      <c r="E922" s="42" t="s">
        <v>7333</v>
      </c>
      <c r="F922" s="43"/>
      <c r="G922" s="43"/>
      <c r="H922" s="19">
        <v>1</v>
      </c>
      <c r="I922" s="245" t="s">
        <v>7334</v>
      </c>
      <c r="J922" s="45">
        <v>200</v>
      </c>
      <c r="K922" s="46" t="s">
        <v>7335</v>
      </c>
      <c r="L922" s="47" t="s">
        <v>63</v>
      </c>
      <c r="M922" s="42" t="s">
        <v>42</v>
      </c>
      <c r="N922" s="77" t="s">
        <v>7073</v>
      </c>
      <c r="O922" s="49" t="s">
        <v>7336</v>
      </c>
      <c r="P922" s="49"/>
      <c r="Q922" s="49" t="s">
        <v>7337</v>
      </c>
      <c r="R922" s="50">
        <v>3</v>
      </c>
      <c r="S922" s="50">
        <v>6</v>
      </c>
      <c r="T922" s="51" t="s">
        <v>96</v>
      </c>
      <c r="U922" s="51">
        <v>0</v>
      </c>
      <c r="V922" s="52">
        <f t="shared" si="25"/>
        <v>0</v>
      </c>
      <c r="W922" s="51" t="s">
        <v>221</v>
      </c>
      <c r="X922" s="198" t="s">
        <v>222</v>
      </c>
      <c r="Y922" s="199" t="s">
        <v>82</v>
      </c>
      <c r="Z922" s="169" t="s">
        <v>7235</v>
      </c>
      <c r="AA922" s="170" t="s">
        <v>7338</v>
      </c>
      <c r="AB922" s="243" t="s">
        <v>1150</v>
      </c>
      <c r="AC922" s="172">
        <v>3780</v>
      </c>
    </row>
    <row r="923" spans="1:29" s="200" customFormat="1" ht="64.5" customHeight="1" x14ac:dyDescent="0.25">
      <c r="A923" s="566">
        <v>45727</v>
      </c>
      <c r="B923" s="41" t="s">
        <v>7339</v>
      </c>
      <c r="C923" s="41" t="s">
        <v>7340</v>
      </c>
      <c r="D923" s="41" t="s">
        <v>7341</v>
      </c>
      <c r="E923" s="51" t="s">
        <v>39</v>
      </c>
      <c r="F923" s="43"/>
      <c r="G923" s="43"/>
      <c r="H923" s="19">
        <v>1</v>
      </c>
      <c r="I923" s="245" t="s">
        <v>7342</v>
      </c>
      <c r="J923" s="45">
        <v>35</v>
      </c>
      <c r="K923" s="46" t="s">
        <v>7343</v>
      </c>
      <c r="L923" s="277" t="s">
        <v>63</v>
      </c>
      <c r="M923" s="42" t="s">
        <v>42</v>
      </c>
      <c r="N923" s="77" t="s">
        <v>868</v>
      </c>
      <c r="O923" s="49" t="s">
        <v>7344</v>
      </c>
      <c r="P923" s="49" t="s">
        <v>7284</v>
      </c>
      <c r="Q923" s="49" t="s">
        <v>7345</v>
      </c>
      <c r="R923" s="92">
        <v>221</v>
      </c>
      <c r="S923" s="50">
        <v>1762</v>
      </c>
      <c r="T923" s="51" t="s">
        <v>933</v>
      </c>
      <c r="U923" s="51">
        <v>36</v>
      </c>
      <c r="V923" s="75">
        <f t="shared" si="25"/>
        <v>1260</v>
      </c>
      <c r="W923" s="51" t="s">
        <v>350</v>
      </c>
      <c r="X923" s="198" t="s">
        <v>2825</v>
      </c>
      <c r="Y923" s="199" t="s">
        <v>144</v>
      </c>
      <c r="Z923" s="169" t="s">
        <v>7346</v>
      </c>
      <c r="AA923" s="170" t="s">
        <v>1212</v>
      </c>
      <c r="AB923" s="243" t="s">
        <v>1421</v>
      </c>
      <c r="AC923" s="172">
        <v>53742.15</v>
      </c>
    </row>
    <row r="924" spans="1:29" s="200" customFormat="1" ht="89.25" customHeight="1" x14ac:dyDescent="0.25">
      <c r="A924" s="566">
        <v>45726</v>
      </c>
      <c r="B924" s="41" t="s">
        <v>7347</v>
      </c>
      <c r="C924" s="41" t="s">
        <v>7348</v>
      </c>
      <c r="D924" s="192" t="s">
        <v>7349</v>
      </c>
      <c r="E924" s="42" t="s">
        <v>39</v>
      </c>
      <c r="F924" s="19">
        <v>1</v>
      </c>
      <c r="G924" s="43"/>
      <c r="H924" s="43"/>
      <c r="I924" s="245" t="s">
        <v>7350</v>
      </c>
      <c r="J924" s="45">
        <v>11</v>
      </c>
      <c r="K924" s="46" t="s">
        <v>7351</v>
      </c>
      <c r="L924" s="47" t="s">
        <v>63</v>
      </c>
      <c r="M924" s="42" t="s">
        <v>42</v>
      </c>
      <c r="N924" s="77" t="s">
        <v>7352</v>
      </c>
      <c r="O924" s="49" t="s">
        <v>7353</v>
      </c>
      <c r="P924" s="49" t="s">
        <v>7354</v>
      </c>
      <c r="Q924" s="49" t="s">
        <v>7355</v>
      </c>
      <c r="R924" s="50">
        <v>106</v>
      </c>
      <c r="S924" s="50">
        <v>941</v>
      </c>
      <c r="T924" s="51" t="s">
        <v>180</v>
      </c>
      <c r="U924" s="51">
        <v>7</v>
      </c>
      <c r="V924" s="52">
        <f t="shared" si="25"/>
        <v>77</v>
      </c>
      <c r="W924" s="51" t="s">
        <v>350</v>
      </c>
      <c r="X924" s="198" t="s">
        <v>6816</v>
      </c>
      <c r="Y924" s="199" t="s">
        <v>82</v>
      </c>
      <c r="Z924" s="169" t="s">
        <v>7356</v>
      </c>
      <c r="AA924" s="170" t="s">
        <v>1567</v>
      </c>
      <c r="AB924" s="243" t="s">
        <v>6817</v>
      </c>
      <c r="AC924" s="35">
        <f>(6442.4*J924/20)+1000+1400+1500+2500</f>
        <v>9943.32</v>
      </c>
    </row>
    <row r="925" spans="1:29" s="307" customFormat="1" ht="113.25" customHeight="1" x14ac:dyDescent="0.25">
      <c r="A925" s="566">
        <v>45723</v>
      </c>
      <c r="B925" s="164" t="s">
        <v>7357</v>
      </c>
      <c r="C925" s="41" t="s">
        <v>7358</v>
      </c>
      <c r="D925" s="628" t="s">
        <v>7359</v>
      </c>
      <c r="E925" s="51" t="s">
        <v>39</v>
      </c>
      <c r="F925" s="43"/>
      <c r="G925" s="43"/>
      <c r="H925" s="19">
        <v>1</v>
      </c>
      <c r="I925" s="245" t="s">
        <v>7360</v>
      </c>
      <c r="J925" s="629">
        <v>4</v>
      </c>
      <c r="K925" s="46" t="s">
        <v>7361</v>
      </c>
      <c r="L925" s="47" t="s">
        <v>63</v>
      </c>
      <c r="M925" s="42" t="s">
        <v>42</v>
      </c>
      <c r="N925" s="77" t="s">
        <v>7362</v>
      </c>
      <c r="O925" s="49" t="s">
        <v>7363</v>
      </c>
      <c r="P925" s="49"/>
      <c r="Q925" s="49" t="s">
        <v>7364</v>
      </c>
      <c r="R925" s="50">
        <v>42</v>
      </c>
      <c r="S925" s="50">
        <v>316</v>
      </c>
      <c r="T925" s="51" t="s">
        <v>96</v>
      </c>
      <c r="U925" s="51">
        <v>86</v>
      </c>
      <c r="V925" s="75">
        <f t="shared" si="25"/>
        <v>344</v>
      </c>
      <c r="W925" s="51" t="s">
        <v>350</v>
      </c>
      <c r="X925" s="198" t="s">
        <v>7365</v>
      </c>
      <c r="Y925" s="199" t="s">
        <v>50</v>
      </c>
      <c r="Z925" s="169" t="s">
        <v>7366</v>
      </c>
      <c r="AA925" s="170" t="s">
        <v>7367</v>
      </c>
      <c r="AB925" s="243" t="s">
        <v>1412</v>
      </c>
      <c r="AC925" s="35">
        <f>6374.4*J925/20</f>
        <v>1274.8799999999999</v>
      </c>
    </row>
    <row r="926" spans="1:29" ht="113.25" customHeight="1" x14ac:dyDescent="0.25">
      <c r="A926" s="566">
        <v>45723</v>
      </c>
      <c r="B926" s="164" t="s">
        <v>7368</v>
      </c>
      <c r="C926" s="415" t="s">
        <v>7369</v>
      </c>
      <c r="D926" s="41" t="s">
        <v>7370</v>
      </c>
      <c r="E926" s="42" t="s">
        <v>39</v>
      </c>
      <c r="F926" s="19">
        <v>1</v>
      </c>
      <c r="G926" s="365"/>
      <c r="H926" s="365"/>
      <c r="I926" s="367" t="s">
        <v>7371</v>
      </c>
      <c r="J926" s="629">
        <v>14</v>
      </c>
      <c r="K926" s="369" t="s">
        <v>7372</v>
      </c>
      <c r="L926" s="277" t="s">
        <v>63</v>
      </c>
      <c r="M926" s="42" t="s">
        <v>42</v>
      </c>
      <c r="N926" s="77" t="s">
        <v>7373</v>
      </c>
      <c r="O926" s="49" t="s">
        <v>7374</v>
      </c>
      <c r="P926" s="49" t="s">
        <v>7375</v>
      </c>
      <c r="Q926" s="49" t="s">
        <v>7376</v>
      </c>
      <c r="R926" s="50">
        <v>96</v>
      </c>
      <c r="S926" s="50">
        <v>236</v>
      </c>
      <c r="T926" s="51" t="s">
        <v>180</v>
      </c>
      <c r="U926" s="51">
        <v>16</v>
      </c>
      <c r="V926" s="75">
        <f>J926*U926</f>
        <v>224</v>
      </c>
      <c r="W926" s="51" t="s">
        <v>142</v>
      </c>
      <c r="X926" s="198" t="s">
        <v>1431</v>
      </c>
      <c r="Y926" s="199" t="s">
        <v>82</v>
      </c>
      <c r="Z926" s="169" t="s">
        <v>7356</v>
      </c>
      <c r="AA926" s="170" t="s">
        <v>7051</v>
      </c>
      <c r="AB926" s="243" t="s">
        <v>7052</v>
      </c>
      <c r="AC926" s="35">
        <f>1050 + (J926/110 * 9834)</f>
        <v>2301.6</v>
      </c>
    </row>
    <row r="927" spans="1:29" ht="113.25" customHeight="1" x14ac:dyDescent="0.25">
      <c r="A927" s="566">
        <v>45723</v>
      </c>
      <c r="B927" s="164" t="s">
        <v>7368</v>
      </c>
      <c r="C927" s="415" t="s">
        <v>7377</v>
      </c>
      <c r="D927" s="41" t="s">
        <v>7370</v>
      </c>
      <c r="E927" s="364" t="s">
        <v>39</v>
      </c>
      <c r="F927" s="19">
        <v>1</v>
      </c>
      <c r="G927" s="365"/>
      <c r="H927" s="365"/>
      <c r="I927" s="367" t="s">
        <v>7378</v>
      </c>
      <c r="J927" s="629">
        <v>96</v>
      </c>
      <c r="K927" s="46" t="s">
        <v>7379</v>
      </c>
      <c r="L927" s="277" t="s">
        <v>63</v>
      </c>
      <c r="M927" s="42" t="s">
        <v>42</v>
      </c>
      <c r="N927" s="77" t="s">
        <v>7380</v>
      </c>
      <c r="O927" s="49" t="s">
        <v>7374</v>
      </c>
      <c r="P927" s="49" t="s">
        <v>7375</v>
      </c>
      <c r="Q927" s="49" t="s">
        <v>7376</v>
      </c>
      <c r="R927" s="50">
        <v>96</v>
      </c>
      <c r="S927" s="50">
        <v>236</v>
      </c>
      <c r="T927" s="51" t="s">
        <v>180</v>
      </c>
      <c r="U927" s="51">
        <v>16</v>
      </c>
      <c r="V927" s="75">
        <f>J927*U927</f>
        <v>1536</v>
      </c>
      <c r="W927" s="51" t="s">
        <v>142</v>
      </c>
      <c r="X927" s="198" t="s">
        <v>1431</v>
      </c>
      <c r="Y927" s="199" t="s">
        <v>82</v>
      </c>
      <c r="Z927" s="169" t="s">
        <v>7356</v>
      </c>
      <c r="AA927" s="170" t="s">
        <v>7051</v>
      </c>
      <c r="AB927" s="243" t="s">
        <v>7052</v>
      </c>
      <c r="AC927" s="35">
        <f>1050 + (J927/110 * 9834)</f>
        <v>9632.4</v>
      </c>
    </row>
    <row r="928" spans="1:29" s="200" customFormat="1" ht="55.5" customHeight="1" x14ac:dyDescent="0.25">
      <c r="A928" s="566">
        <v>45722</v>
      </c>
      <c r="B928" s="596" t="s">
        <v>7381</v>
      </c>
      <c r="C928" s="596" t="s">
        <v>7382</v>
      </c>
      <c r="D928" s="596" t="s">
        <v>7383</v>
      </c>
      <c r="E928" s="607" t="s">
        <v>39</v>
      </c>
      <c r="F928" s="608"/>
      <c r="G928" s="608"/>
      <c r="H928" s="19">
        <v>2</v>
      </c>
      <c r="I928" s="245" t="s">
        <v>7384</v>
      </c>
      <c r="J928" s="609">
        <v>95</v>
      </c>
      <c r="K928" s="610" t="s">
        <v>7385</v>
      </c>
      <c r="L928" s="47" t="s">
        <v>63</v>
      </c>
      <c r="M928" s="42" t="s">
        <v>42</v>
      </c>
      <c r="N928" s="152" t="s">
        <v>7386</v>
      </c>
      <c r="O928" s="49" t="s">
        <v>7387</v>
      </c>
      <c r="P928" s="49" t="s">
        <v>7388</v>
      </c>
      <c r="Q928" s="49" t="s">
        <v>7389</v>
      </c>
      <c r="R928" s="613">
        <v>57</v>
      </c>
      <c r="S928" s="613">
        <v>233</v>
      </c>
      <c r="T928" s="614" t="s">
        <v>47</v>
      </c>
      <c r="U928" s="614">
        <v>19</v>
      </c>
      <c r="V928" s="630">
        <f>U928*J928</f>
        <v>1805</v>
      </c>
      <c r="W928" s="614" t="s">
        <v>68</v>
      </c>
      <c r="X928" s="616" t="s">
        <v>7390</v>
      </c>
      <c r="Y928" s="199"/>
      <c r="Z928" s="169" t="s">
        <v>7391</v>
      </c>
      <c r="AA928" s="617" t="s">
        <v>7255</v>
      </c>
      <c r="AB928" s="618" t="s">
        <v>1144</v>
      </c>
      <c r="AC928" s="631">
        <v>5901</v>
      </c>
    </row>
    <row r="929" spans="1:30" s="200" customFormat="1" ht="75.75" customHeight="1" x14ac:dyDescent="0.25">
      <c r="A929" s="566">
        <v>45722</v>
      </c>
      <c r="B929" s="164" t="s">
        <v>7392</v>
      </c>
      <c r="C929" s="41" t="s">
        <v>7393</v>
      </c>
      <c r="D929" s="41"/>
      <c r="E929" s="42" t="s">
        <v>39</v>
      </c>
      <c r="F929" s="19">
        <v>1</v>
      </c>
      <c r="G929" s="43"/>
      <c r="H929" s="43"/>
      <c r="I929" s="245" t="s">
        <v>7394</v>
      </c>
      <c r="J929" s="45">
        <v>10</v>
      </c>
      <c r="K929" s="46" t="s">
        <v>7395</v>
      </c>
      <c r="L929" s="47" t="s">
        <v>63</v>
      </c>
      <c r="M929" s="42" t="s">
        <v>42</v>
      </c>
      <c r="N929" s="77" t="s">
        <v>7396</v>
      </c>
      <c r="O929" s="49" t="s">
        <v>7397</v>
      </c>
      <c r="P929" s="49" t="s">
        <v>7398</v>
      </c>
      <c r="Q929" s="49" t="s">
        <v>7399</v>
      </c>
      <c r="R929" s="50">
        <v>82</v>
      </c>
      <c r="S929" s="50">
        <v>391</v>
      </c>
      <c r="T929" s="51" t="s">
        <v>47</v>
      </c>
      <c r="U929" s="51">
        <v>23</v>
      </c>
      <c r="V929" s="52">
        <f>U929*J929</f>
        <v>230</v>
      </c>
      <c r="W929" s="51" t="s">
        <v>350</v>
      </c>
      <c r="X929" s="198" t="s">
        <v>6713</v>
      </c>
      <c r="Y929" s="199" t="s">
        <v>50</v>
      </c>
      <c r="Z929" s="169" t="s">
        <v>7356</v>
      </c>
      <c r="AA929" s="170" t="s">
        <v>7255</v>
      </c>
      <c r="AB929" s="243" t="s">
        <v>7077</v>
      </c>
      <c r="AC929" s="172">
        <f>3069+1100</f>
        <v>4169</v>
      </c>
    </row>
    <row r="930" spans="1:30" s="200" customFormat="1" ht="81" customHeight="1" x14ac:dyDescent="0.25">
      <c r="A930" s="566">
        <v>45722</v>
      </c>
      <c r="B930" s="164" t="s">
        <v>7400</v>
      </c>
      <c r="C930" s="41" t="s">
        <v>7401</v>
      </c>
      <c r="D930" s="41" t="s">
        <v>7402</v>
      </c>
      <c r="E930" s="42" t="s">
        <v>39</v>
      </c>
      <c r="F930" s="43"/>
      <c r="G930" s="43"/>
      <c r="H930" s="19">
        <v>1</v>
      </c>
      <c r="I930" s="245" t="s">
        <v>7403</v>
      </c>
      <c r="J930" s="45">
        <v>60</v>
      </c>
      <c r="K930" s="46" t="s">
        <v>7395</v>
      </c>
      <c r="L930" s="47" t="s">
        <v>63</v>
      </c>
      <c r="M930" s="42" t="s">
        <v>42</v>
      </c>
      <c r="N930" s="77" t="s">
        <v>7404</v>
      </c>
      <c r="O930" s="49" t="s">
        <v>7405</v>
      </c>
      <c r="P930" s="49" t="s">
        <v>7406</v>
      </c>
      <c r="Q930" s="49" t="s">
        <v>7407</v>
      </c>
      <c r="R930" s="92">
        <v>147</v>
      </c>
      <c r="S930" s="50">
        <v>565</v>
      </c>
      <c r="T930" s="51" t="s">
        <v>141</v>
      </c>
      <c r="U930" s="51">
        <v>52</v>
      </c>
      <c r="V930" s="75">
        <f>U930*J930</f>
        <v>3120</v>
      </c>
      <c r="W930" s="51" t="s">
        <v>142</v>
      </c>
      <c r="X930" s="198" t="s">
        <v>1243</v>
      </c>
      <c r="Y930" s="199" t="s">
        <v>7004</v>
      </c>
      <c r="Z930" s="169" t="s">
        <v>7408</v>
      </c>
      <c r="AA930" s="170" t="s">
        <v>7409</v>
      </c>
      <c r="AB930" s="243" t="s">
        <v>924</v>
      </c>
      <c r="AC930" s="172">
        <v>20949</v>
      </c>
    </row>
    <row r="931" spans="1:30" s="200" customFormat="1" ht="60.75" customHeight="1" x14ac:dyDescent="0.25">
      <c r="A931" s="566">
        <v>45722</v>
      </c>
      <c r="B931" s="41" t="s">
        <v>7410</v>
      </c>
      <c r="C931" s="41" t="s">
        <v>7411</v>
      </c>
      <c r="D931" s="552" t="s">
        <v>7412</v>
      </c>
      <c r="E931" s="42" t="s">
        <v>39</v>
      </c>
      <c r="F931" s="19">
        <v>1</v>
      </c>
      <c r="G931" s="467"/>
      <c r="H931" s="467"/>
      <c r="I931" s="245" t="s">
        <v>7413</v>
      </c>
      <c r="J931" s="45">
        <v>17</v>
      </c>
      <c r="K931" s="46" t="s">
        <v>7414</v>
      </c>
      <c r="L931" s="632" t="s">
        <v>63</v>
      </c>
      <c r="M931" s="42" t="s">
        <v>42</v>
      </c>
      <c r="N931" s="77" t="s">
        <v>7415</v>
      </c>
      <c r="O931" s="49" t="s">
        <v>7416</v>
      </c>
      <c r="P931" s="49" t="s">
        <v>7417</v>
      </c>
      <c r="Q931" s="49" t="s">
        <v>7418</v>
      </c>
      <c r="R931" s="50">
        <v>68</v>
      </c>
      <c r="S931" s="50">
        <v>174</v>
      </c>
      <c r="T931" s="51" t="s">
        <v>47</v>
      </c>
      <c r="U931" s="51">
        <v>6</v>
      </c>
      <c r="V931" s="31">
        <f>U931*J931</f>
        <v>102</v>
      </c>
      <c r="W931" s="51" t="s">
        <v>7012</v>
      </c>
      <c r="X931" s="198" t="s">
        <v>467</v>
      </c>
      <c r="Y931" s="199" t="s">
        <v>82</v>
      </c>
      <c r="Z931" s="169" t="s">
        <v>7419</v>
      </c>
      <c r="AA931" s="170" t="s">
        <v>7420</v>
      </c>
      <c r="AB931" s="243" t="s">
        <v>435</v>
      </c>
      <c r="AC931" s="35">
        <f>J931/200*9458</f>
        <v>803.93000000000006</v>
      </c>
    </row>
    <row r="932" spans="1:30" s="200" customFormat="1" ht="167.25" customHeight="1" x14ac:dyDescent="0.25">
      <c r="A932" s="566">
        <v>45721</v>
      </c>
      <c r="B932" s="41" t="s">
        <v>7041</v>
      </c>
      <c r="C932" s="41" t="s">
        <v>7078</v>
      </c>
      <c r="D932" s="41" t="s">
        <v>7421</v>
      </c>
      <c r="E932" s="42" t="s">
        <v>39</v>
      </c>
      <c r="F932" s="19">
        <v>1</v>
      </c>
      <c r="G932" s="43"/>
      <c r="H932" s="43"/>
      <c r="I932" s="245" t="s">
        <v>7422</v>
      </c>
      <c r="J932" s="45">
        <v>97</v>
      </c>
      <c r="K932" s="46" t="s">
        <v>7423</v>
      </c>
      <c r="L932" s="47" t="s">
        <v>63</v>
      </c>
      <c r="M932" s="42" t="s">
        <v>42</v>
      </c>
      <c r="N932" s="77" t="s">
        <v>7046</v>
      </c>
      <c r="O932" s="49" t="s">
        <v>7047</v>
      </c>
      <c r="P932" s="49" t="s">
        <v>7424</v>
      </c>
      <c r="Q932" s="49" t="s">
        <v>7425</v>
      </c>
      <c r="R932" s="50">
        <v>55</v>
      </c>
      <c r="S932" s="50">
        <v>156</v>
      </c>
      <c r="T932" s="51" t="s">
        <v>180</v>
      </c>
      <c r="U932" s="51">
        <v>7</v>
      </c>
      <c r="V932" s="75">
        <f>7*J932</f>
        <v>679</v>
      </c>
      <c r="W932" s="51" t="s">
        <v>3973</v>
      </c>
      <c r="X932" s="198" t="s">
        <v>1935</v>
      </c>
      <c r="Y932" s="199" t="s">
        <v>2880</v>
      </c>
      <c r="Z932" s="169" t="s">
        <v>7356</v>
      </c>
      <c r="AA932" s="170" t="s">
        <v>7051</v>
      </c>
      <c r="AB932" s="243" t="s">
        <v>7052</v>
      </c>
      <c r="AC932" s="35">
        <f>1000+(J932/200*9880)</f>
        <v>5791.8</v>
      </c>
    </row>
    <row r="933" spans="1:30" ht="69.75" customHeight="1" x14ac:dyDescent="0.25">
      <c r="A933" s="566">
        <v>45720</v>
      </c>
      <c r="B933" s="164" t="s">
        <v>7426</v>
      </c>
      <c r="C933" s="41" t="s">
        <v>7427</v>
      </c>
      <c r="D933" s="41"/>
      <c r="E933" s="42" t="s">
        <v>39</v>
      </c>
      <c r="F933" s="19">
        <v>1</v>
      </c>
      <c r="G933" s="43"/>
      <c r="H933" s="43"/>
      <c r="I933" s="245" t="s">
        <v>7428</v>
      </c>
      <c r="J933" s="45">
        <v>200</v>
      </c>
      <c r="K933" s="46" t="s">
        <v>7429</v>
      </c>
      <c r="L933" s="47" t="s">
        <v>63</v>
      </c>
      <c r="M933" s="42" t="s">
        <v>42</v>
      </c>
      <c r="N933" s="77" t="s">
        <v>7430</v>
      </c>
      <c r="O933" s="49" t="s">
        <v>7431</v>
      </c>
      <c r="P933" s="49" t="s">
        <v>7432</v>
      </c>
      <c r="Q933" s="49" t="s">
        <v>7433</v>
      </c>
      <c r="R933" s="50">
        <v>9</v>
      </c>
      <c r="S933" s="50">
        <v>14</v>
      </c>
      <c r="T933" s="51" t="s">
        <v>47</v>
      </c>
      <c r="U933" s="51">
        <v>0</v>
      </c>
      <c r="V933" s="52">
        <f t="shared" ref="V933:V938" si="26">U933*J933</f>
        <v>0</v>
      </c>
      <c r="W933" s="51" t="s">
        <v>350</v>
      </c>
      <c r="X933" s="198" t="s">
        <v>1935</v>
      </c>
      <c r="Y933" s="168" t="s">
        <v>2880</v>
      </c>
      <c r="Z933" s="169" t="s">
        <v>7331</v>
      </c>
      <c r="AA933" s="170" t="s">
        <v>7434</v>
      </c>
      <c r="AB933" s="243" t="s">
        <v>7435</v>
      </c>
      <c r="AC933" s="172">
        <v>4860</v>
      </c>
    </row>
    <row r="934" spans="1:30" s="200" customFormat="1" ht="75" customHeight="1" x14ac:dyDescent="0.25">
      <c r="A934" s="566">
        <v>45720</v>
      </c>
      <c r="B934" s="41" t="s">
        <v>7436</v>
      </c>
      <c r="C934" s="41" t="s">
        <v>7437</v>
      </c>
      <c r="D934" s="41" t="s">
        <v>7438</v>
      </c>
      <c r="E934" s="42" t="s">
        <v>39</v>
      </c>
      <c r="F934" s="19">
        <v>1</v>
      </c>
      <c r="G934" s="43"/>
      <c r="H934" s="43"/>
      <c r="I934" s="245" t="s">
        <v>7439</v>
      </c>
      <c r="J934" s="45">
        <v>30</v>
      </c>
      <c r="K934" s="46" t="s">
        <v>7440</v>
      </c>
      <c r="L934" s="47" t="s">
        <v>63</v>
      </c>
      <c r="M934" s="42" t="s">
        <v>42</v>
      </c>
      <c r="N934" s="77" t="s">
        <v>7441</v>
      </c>
      <c r="O934" s="49" t="s">
        <v>7442</v>
      </c>
      <c r="P934" s="49"/>
      <c r="Q934" s="49" t="s">
        <v>7443</v>
      </c>
      <c r="R934" s="50">
        <v>41</v>
      </c>
      <c r="S934" s="50">
        <v>110</v>
      </c>
      <c r="T934" s="51" t="s">
        <v>96</v>
      </c>
      <c r="U934" s="51">
        <v>34</v>
      </c>
      <c r="V934" s="75">
        <f t="shared" si="26"/>
        <v>1020</v>
      </c>
      <c r="W934" s="51" t="s">
        <v>3973</v>
      </c>
      <c r="X934" s="198" t="s">
        <v>7444</v>
      </c>
      <c r="Y934" s="199" t="s">
        <v>50</v>
      </c>
      <c r="Z934" s="169" t="s">
        <v>7445</v>
      </c>
      <c r="AA934" s="170" t="s">
        <v>7338</v>
      </c>
      <c r="AB934" s="243" t="s">
        <v>1150</v>
      </c>
      <c r="AC934" s="172">
        <v>3585</v>
      </c>
    </row>
    <row r="935" spans="1:30" s="200" customFormat="1" ht="135" x14ac:dyDescent="0.25">
      <c r="A935" s="566">
        <v>45720</v>
      </c>
      <c r="B935" s="164" t="s">
        <v>7446</v>
      </c>
      <c r="C935" s="41" t="s">
        <v>7447</v>
      </c>
      <c r="D935" s="41"/>
      <c r="E935" s="42" t="s">
        <v>39</v>
      </c>
      <c r="F935" s="19">
        <v>2</v>
      </c>
      <c r="G935" s="43"/>
      <c r="H935" s="43"/>
      <c r="I935" s="245" t="s">
        <v>7448</v>
      </c>
      <c r="J935" s="45">
        <v>10</v>
      </c>
      <c r="K935" s="46" t="s">
        <v>7449</v>
      </c>
      <c r="L935" s="47" t="s">
        <v>63</v>
      </c>
      <c r="M935" s="42" t="s">
        <v>42</v>
      </c>
      <c r="N935" s="77" t="s">
        <v>7450</v>
      </c>
      <c r="O935" s="49" t="s">
        <v>7451</v>
      </c>
      <c r="P935" s="49" t="s">
        <v>7452</v>
      </c>
      <c r="Q935" s="49" t="s">
        <v>7453</v>
      </c>
      <c r="R935" s="50">
        <v>100</v>
      </c>
      <c r="S935" s="50">
        <v>735</v>
      </c>
      <c r="T935" s="51" t="s">
        <v>180</v>
      </c>
      <c r="U935" s="51">
        <v>26</v>
      </c>
      <c r="V935" s="52">
        <f t="shared" si="26"/>
        <v>260</v>
      </c>
      <c r="W935" s="51" t="s">
        <v>350</v>
      </c>
      <c r="X935" s="198" t="s">
        <v>7454</v>
      </c>
      <c r="Y935" s="199" t="s">
        <v>1862</v>
      </c>
      <c r="Z935" s="169" t="s">
        <v>7331</v>
      </c>
      <c r="AA935" s="170" t="s">
        <v>7338</v>
      </c>
      <c r="AB935" s="243" t="s">
        <v>1150</v>
      </c>
      <c r="AC935" s="172">
        <v>7332.5</v>
      </c>
    </row>
    <row r="936" spans="1:30" s="307" customFormat="1" ht="150" x14ac:dyDescent="0.25">
      <c r="A936" s="566">
        <v>45719</v>
      </c>
      <c r="B936" s="41" t="s">
        <v>7455</v>
      </c>
      <c r="C936" s="41" t="s">
        <v>7456</v>
      </c>
      <c r="D936" s="41" t="s">
        <v>7457</v>
      </c>
      <c r="E936" s="42" t="s">
        <v>39</v>
      </c>
      <c r="F936" s="19">
        <v>1</v>
      </c>
      <c r="G936" s="43"/>
      <c r="H936" s="43"/>
      <c r="I936" s="245" t="s">
        <v>7458</v>
      </c>
      <c r="J936" s="45">
        <v>5</v>
      </c>
      <c r="K936" s="46" t="s">
        <v>7459</v>
      </c>
      <c r="L936" s="47" t="s">
        <v>63</v>
      </c>
      <c r="M936" s="42" t="s">
        <v>42</v>
      </c>
      <c r="N936" s="77" t="s">
        <v>7460</v>
      </c>
      <c r="O936" s="49" t="s">
        <v>7461</v>
      </c>
      <c r="P936" s="49"/>
      <c r="Q936" s="49" t="s">
        <v>7462</v>
      </c>
      <c r="R936" s="50">
        <v>84</v>
      </c>
      <c r="S936" s="50">
        <v>319</v>
      </c>
      <c r="T936" s="51" t="s">
        <v>67</v>
      </c>
      <c r="U936" s="51">
        <v>44</v>
      </c>
      <c r="V936" s="52">
        <f t="shared" si="26"/>
        <v>220</v>
      </c>
      <c r="W936" s="51" t="s">
        <v>350</v>
      </c>
      <c r="X936" s="198" t="s">
        <v>3911</v>
      </c>
      <c r="Y936" s="199" t="s">
        <v>2880</v>
      </c>
      <c r="Z936" s="169" t="s">
        <v>7356</v>
      </c>
      <c r="AA936" s="170" t="s">
        <v>1212</v>
      </c>
      <c r="AB936" s="243" t="s">
        <v>1421</v>
      </c>
      <c r="AC936" s="172">
        <v>4577.5</v>
      </c>
      <c r="AD936" s="279"/>
    </row>
    <row r="937" spans="1:30" s="307" customFormat="1" ht="165" x14ac:dyDescent="0.25">
      <c r="A937" s="566">
        <v>45719</v>
      </c>
      <c r="B937" s="95" t="s">
        <v>7463</v>
      </c>
      <c r="C937" s="95" t="s">
        <v>7464</v>
      </c>
      <c r="D937" s="95"/>
      <c r="E937" s="96" t="s">
        <v>39</v>
      </c>
      <c r="F937" s="19">
        <v>1</v>
      </c>
      <c r="G937" s="97"/>
      <c r="H937" s="97"/>
      <c r="I937" s="245" t="s">
        <v>7465</v>
      </c>
      <c r="J937" s="98">
        <v>2</v>
      </c>
      <c r="K937" s="99" t="s">
        <v>7466</v>
      </c>
      <c r="L937" s="100" t="s">
        <v>63</v>
      </c>
      <c r="M937" s="100" t="s">
        <v>42</v>
      </c>
      <c r="N937" s="521" t="s">
        <v>7467</v>
      </c>
      <c r="O937" s="102" t="s">
        <v>7468</v>
      </c>
      <c r="P937" s="102" t="s">
        <v>7469</v>
      </c>
      <c r="Q937" s="102" t="s">
        <v>7470</v>
      </c>
      <c r="R937" s="92">
        <v>147</v>
      </c>
      <c r="S937" s="103">
        <v>1229</v>
      </c>
      <c r="T937" s="96" t="s">
        <v>180</v>
      </c>
      <c r="U937" s="96">
        <v>7</v>
      </c>
      <c r="V937" s="104">
        <f t="shared" si="26"/>
        <v>14</v>
      </c>
      <c r="W937" s="96" t="s">
        <v>4564</v>
      </c>
      <c r="X937" s="198" t="s">
        <v>4790</v>
      </c>
      <c r="Y937" s="199" t="s">
        <v>50</v>
      </c>
      <c r="Z937" s="169" t="s">
        <v>7471</v>
      </c>
      <c r="AA937" s="170" t="s">
        <v>1084</v>
      </c>
      <c r="AB937" s="243" t="s">
        <v>6916</v>
      </c>
      <c r="AC937" s="309">
        <v>17735.400000000001</v>
      </c>
    </row>
    <row r="938" spans="1:30" ht="66.75" customHeight="1" x14ac:dyDescent="0.25">
      <c r="A938" s="566">
        <v>45719</v>
      </c>
      <c r="B938" s="95" t="s">
        <v>7472</v>
      </c>
      <c r="C938" s="95" t="s">
        <v>7473</v>
      </c>
      <c r="D938" s="95"/>
      <c r="E938" s="96" t="s">
        <v>39</v>
      </c>
      <c r="F938" s="19">
        <v>1</v>
      </c>
      <c r="G938" s="97"/>
      <c r="H938" s="97"/>
      <c r="I938" s="245" t="s">
        <v>7474</v>
      </c>
      <c r="J938" s="98">
        <v>10</v>
      </c>
      <c r="K938" s="99" t="s">
        <v>7475</v>
      </c>
      <c r="L938" s="100" t="s">
        <v>63</v>
      </c>
      <c r="M938" s="100" t="s">
        <v>42</v>
      </c>
      <c r="N938" s="101" t="s">
        <v>7476</v>
      </c>
      <c r="O938" s="102" t="s">
        <v>7477</v>
      </c>
      <c r="P938" s="102" t="s">
        <v>7478</v>
      </c>
      <c r="Q938" s="102" t="s">
        <v>7479</v>
      </c>
      <c r="R938" s="103">
        <v>16</v>
      </c>
      <c r="S938" s="103">
        <v>55</v>
      </c>
      <c r="T938" s="96" t="s">
        <v>47</v>
      </c>
      <c r="U938" s="96">
        <v>11</v>
      </c>
      <c r="V938" s="104">
        <f t="shared" si="26"/>
        <v>110</v>
      </c>
      <c r="W938" s="96" t="s">
        <v>7480</v>
      </c>
      <c r="X938" s="198" t="s">
        <v>7481</v>
      </c>
      <c r="Y938" s="168" t="s">
        <v>82</v>
      </c>
      <c r="Z938" s="169" t="s">
        <v>7356</v>
      </c>
      <c r="AA938" s="170" t="s">
        <v>585</v>
      </c>
      <c r="AB938" s="243" t="s">
        <v>7199</v>
      </c>
      <c r="AC938" s="172">
        <v>3017.5</v>
      </c>
    </row>
    <row r="939" spans="1:30" s="200" customFormat="1" ht="67.5" customHeight="1" x14ac:dyDescent="0.25">
      <c r="A939" s="566">
        <v>45716</v>
      </c>
      <c r="B939" s="82" t="s">
        <v>7482</v>
      </c>
      <c r="C939" s="164" t="s">
        <v>7483</v>
      </c>
      <c r="D939" s="273" t="s">
        <v>7484</v>
      </c>
      <c r="E939" s="42" t="s">
        <v>39</v>
      </c>
      <c r="F939" s="365"/>
      <c r="G939" s="365"/>
      <c r="H939" s="19">
        <v>1</v>
      </c>
      <c r="I939" s="245" t="s">
        <v>7485</v>
      </c>
      <c r="J939" s="629">
        <v>1</v>
      </c>
      <c r="K939" s="46" t="s">
        <v>7486</v>
      </c>
      <c r="L939" s="47" t="s">
        <v>63</v>
      </c>
      <c r="M939" s="42" t="s">
        <v>42</v>
      </c>
      <c r="N939" s="77" t="s">
        <v>7487</v>
      </c>
      <c r="O939" s="49" t="s">
        <v>7488</v>
      </c>
      <c r="P939" s="49" t="s">
        <v>7489</v>
      </c>
      <c r="Q939" s="49" t="s">
        <v>7490</v>
      </c>
      <c r="R939" s="92">
        <v>162</v>
      </c>
      <c r="S939" s="50">
        <v>1632</v>
      </c>
      <c r="T939" s="51" t="s">
        <v>2482</v>
      </c>
      <c r="U939" s="51">
        <v>91</v>
      </c>
      <c r="V939" s="75">
        <v>910</v>
      </c>
      <c r="W939" s="51" t="s">
        <v>350</v>
      </c>
      <c r="X939" s="198" t="s">
        <v>4790</v>
      </c>
      <c r="Y939" s="199" t="s">
        <v>50</v>
      </c>
      <c r="Z939" s="169" t="s">
        <v>7331</v>
      </c>
      <c r="AA939" s="170" t="s">
        <v>1763</v>
      </c>
      <c r="AB939" s="243" t="s">
        <v>7491</v>
      </c>
      <c r="AC939" s="35">
        <f>(1/10*24628.5)+1500</f>
        <v>3962.8500000000004</v>
      </c>
    </row>
    <row r="940" spans="1:30" s="200" customFormat="1" ht="180" x14ac:dyDescent="0.25">
      <c r="A940" s="566">
        <v>45716</v>
      </c>
      <c r="B940" s="164" t="s">
        <v>7492</v>
      </c>
      <c r="C940" s="164" t="s">
        <v>7493</v>
      </c>
      <c r="D940" s="41" t="s">
        <v>7494</v>
      </c>
      <c r="E940" s="42" t="s">
        <v>39</v>
      </c>
      <c r="F940" s="19">
        <v>1</v>
      </c>
      <c r="G940" s="43"/>
      <c r="H940" s="43"/>
      <c r="I940" s="245" t="s">
        <v>7495</v>
      </c>
      <c r="J940" s="45">
        <v>10</v>
      </c>
      <c r="K940" s="46" t="s">
        <v>9964</v>
      </c>
      <c r="L940" s="47" t="s">
        <v>63</v>
      </c>
      <c r="M940" s="42" t="s">
        <v>42</v>
      </c>
      <c r="N940" s="77" t="s">
        <v>7496</v>
      </c>
      <c r="O940" s="49" t="s">
        <v>7497</v>
      </c>
      <c r="P940" s="49"/>
      <c r="Q940" s="49" t="s">
        <v>7498</v>
      </c>
      <c r="R940" s="50">
        <v>75</v>
      </c>
      <c r="S940" s="50">
        <v>517</v>
      </c>
      <c r="T940" s="51" t="s">
        <v>67</v>
      </c>
      <c r="U940" s="51">
        <v>57</v>
      </c>
      <c r="V940" s="52">
        <f>U940*J940</f>
        <v>570</v>
      </c>
      <c r="W940" s="51" t="s">
        <v>221</v>
      </c>
      <c r="X940" s="198" t="s">
        <v>1046</v>
      </c>
      <c r="Y940" s="199" t="s">
        <v>2880</v>
      </c>
      <c r="Z940" s="169" t="s">
        <v>7499</v>
      </c>
      <c r="AA940" s="170" t="s">
        <v>7420</v>
      </c>
      <c r="AB940" s="243" t="s">
        <v>435</v>
      </c>
      <c r="AC940" s="172">
        <v>4993.5</v>
      </c>
    </row>
    <row r="941" spans="1:30" s="200" customFormat="1" ht="165" x14ac:dyDescent="0.25">
      <c r="A941" s="566">
        <v>45716</v>
      </c>
      <c r="B941" s="41" t="s">
        <v>7500</v>
      </c>
      <c r="C941" s="41" t="s">
        <v>7501</v>
      </c>
      <c r="D941" s="552" t="s">
        <v>7502</v>
      </c>
      <c r="E941" s="42" t="s">
        <v>39</v>
      </c>
      <c r="F941" s="43"/>
      <c r="G941" s="19" t="s">
        <v>7503</v>
      </c>
      <c r="H941" s="43"/>
      <c r="I941" s="245" t="s">
        <v>7504</v>
      </c>
      <c r="J941" s="45">
        <v>100</v>
      </c>
      <c r="K941" s="46" t="s">
        <v>9964</v>
      </c>
      <c r="L941" s="47" t="s">
        <v>63</v>
      </c>
      <c r="M941" s="42" t="s">
        <v>42</v>
      </c>
      <c r="N941" s="77" t="s">
        <v>240</v>
      </c>
      <c r="O941" s="49" t="s">
        <v>7505</v>
      </c>
      <c r="P941" s="49" t="s">
        <v>7506</v>
      </c>
      <c r="Q941" s="49" t="s">
        <v>7507</v>
      </c>
      <c r="R941" s="50">
        <v>46</v>
      </c>
      <c r="S941" s="50">
        <v>136</v>
      </c>
      <c r="T941" s="51" t="s">
        <v>47</v>
      </c>
      <c r="U941" s="51">
        <v>8</v>
      </c>
      <c r="V941" s="75">
        <f>U941*J941</f>
        <v>800</v>
      </c>
      <c r="W941" s="51" t="s">
        <v>350</v>
      </c>
      <c r="X941" s="198" t="s">
        <v>1935</v>
      </c>
      <c r="Y941" s="199" t="s">
        <v>2880</v>
      </c>
      <c r="Z941" s="169" t="s">
        <v>7331</v>
      </c>
      <c r="AA941" s="170" t="s">
        <v>7051</v>
      </c>
      <c r="AB941" s="243" t="s">
        <v>7052</v>
      </c>
      <c r="AC941" s="172">
        <v>6535</v>
      </c>
    </row>
    <row r="942" spans="1:30" s="200" customFormat="1" ht="118.5" customHeight="1" x14ac:dyDescent="0.25">
      <c r="A942" s="566">
        <v>45716</v>
      </c>
      <c r="B942" s="82" t="s">
        <v>7482</v>
      </c>
      <c r="C942" s="164" t="s">
        <v>7483</v>
      </c>
      <c r="D942" s="273" t="s">
        <v>7484</v>
      </c>
      <c r="E942" s="42" t="s">
        <v>39</v>
      </c>
      <c r="F942" s="365"/>
      <c r="G942" s="365"/>
      <c r="H942" s="19">
        <v>1</v>
      </c>
      <c r="I942" s="245" t="s">
        <v>7508</v>
      </c>
      <c r="J942" s="629">
        <v>9</v>
      </c>
      <c r="K942" s="46" t="s">
        <v>7509</v>
      </c>
      <c r="L942" s="47" t="s">
        <v>63</v>
      </c>
      <c r="M942" s="42" t="s">
        <v>42</v>
      </c>
      <c r="N942" s="77" t="s">
        <v>7487</v>
      </c>
      <c r="O942" s="49" t="s">
        <v>7510</v>
      </c>
      <c r="P942" s="49" t="s">
        <v>7511</v>
      </c>
      <c r="Q942" s="49" t="s">
        <v>7512</v>
      </c>
      <c r="R942" s="92">
        <v>162</v>
      </c>
      <c r="S942" s="50">
        <v>1632</v>
      </c>
      <c r="T942" s="51" t="s">
        <v>2482</v>
      </c>
      <c r="U942" s="51">
        <v>91</v>
      </c>
      <c r="V942" s="75">
        <v>910</v>
      </c>
      <c r="W942" s="51" t="s">
        <v>350</v>
      </c>
      <c r="X942" s="198" t="s">
        <v>4790</v>
      </c>
      <c r="Y942" s="199" t="s">
        <v>50</v>
      </c>
      <c r="Z942" s="169" t="s">
        <v>7331</v>
      </c>
      <c r="AA942" s="170" t="s">
        <v>1763</v>
      </c>
      <c r="AB942" s="243" t="s">
        <v>7491</v>
      </c>
      <c r="AC942" s="35">
        <f>(9/10*24628.5)+1900</f>
        <v>24065.65</v>
      </c>
    </row>
    <row r="943" spans="1:30" s="200" customFormat="1" ht="133.5" customHeight="1" x14ac:dyDescent="0.25">
      <c r="A943" s="566">
        <v>45715</v>
      </c>
      <c r="B943" s="164"/>
      <c r="C943" s="41" t="s">
        <v>7513</v>
      </c>
      <c r="D943" s="41"/>
      <c r="E943" s="42" t="s">
        <v>39</v>
      </c>
      <c r="F943" s="43"/>
      <c r="G943" s="43"/>
      <c r="H943" s="19">
        <v>2</v>
      </c>
      <c r="I943" s="245" t="s">
        <v>7514</v>
      </c>
      <c r="J943" s="45">
        <v>20</v>
      </c>
      <c r="K943" s="46" t="s">
        <v>7515</v>
      </c>
      <c r="L943" s="47" t="s">
        <v>63</v>
      </c>
      <c r="M943" s="42" t="s">
        <v>42</v>
      </c>
      <c r="N943" s="77" t="s">
        <v>7516</v>
      </c>
      <c r="O943" s="49" t="s">
        <v>7517</v>
      </c>
      <c r="P943" s="49"/>
      <c r="Q943" s="49" t="s">
        <v>7518</v>
      </c>
      <c r="R943" s="50">
        <v>12</v>
      </c>
      <c r="S943" s="50">
        <v>24</v>
      </c>
      <c r="T943" s="51" t="s">
        <v>393</v>
      </c>
      <c r="U943" s="51">
        <v>18</v>
      </c>
      <c r="V943" s="52">
        <f t="shared" ref="V943:V984" si="27">U943*J943</f>
        <v>360</v>
      </c>
      <c r="W943" s="51" t="s">
        <v>221</v>
      </c>
      <c r="X943" s="198" t="s">
        <v>7519</v>
      </c>
      <c r="Y943" s="199" t="s">
        <v>7004</v>
      </c>
      <c r="Z943" s="169" t="s">
        <v>7331</v>
      </c>
      <c r="AA943" s="170" t="s">
        <v>1212</v>
      </c>
      <c r="AB943" s="243" t="s">
        <v>7520</v>
      </c>
      <c r="AC943" s="172">
        <v>2740</v>
      </c>
    </row>
    <row r="944" spans="1:30" s="200" customFormat="1" ht="63" customHeight="1" x14ac:dyDescent="0.25">
      <c r="A944" s="566">
        <v>45715</v>
      </c>
      <c r="B944" s="41" t="s">
        <v>7521</v>
      </c>
      <c r="C944" s="41" t="s">
        <v>7522</v>
      </c>
      <c r="D944" s="41"/>
      <c r="E944" s="42" t="s">
        <v>39</v>
      </c>
      <c r="F944" s="467"/>
      <c r="G944" s="467"/>
      <c r="H944" s="19">
        <v>1</v>
      </c>
      <c r="I944" s="245" t="s">
        <v>7523</v>
      </c>
      <c r="J944" s="45">
        <v>15</v>
      </c>
      <c r="K944" s="46" t="s">
        <v>7524</v>
      </c>
      <c r="L944" s="47" t="s">
        <v>63</v>
      </c>
      <c r="M944" s="42" t="s">
        <v>42</v>
      </c>
      <c r="N944" s="77" t="s">
        <v>240</v>
      </c>
      <c r="O944" s="197" t="s">
        <v>7525</v>
      </c>
      <c r="P944" s="49" t="s">
        <v>7526</v>
      </c>
      <c r="Q944" s="49" t="s">
        <v>7527</v>
      </c>
      <c r="R944" s="50">
        <v>2</v>
      </c>
      <c r="S944" s="50">
        <v>80</v>
      </c>
      <c r="T944" s="51" t="s">
        <v>47</v>
      </c>
      <c r="U944" s="51">
        <v>0</v>
      </c>
      <c r="V944" s="52">
        <f t="shared" si="27"/>
        <v>0</v>
      </c>
      <c r="W944" s="51" t="s">
        <v>350</v>
      </c>
      <c r="X944" s="198" t="s">
        <v>1524</v>
      </c>
      <c r="Y944" s="199" t="s">
        <v>144</v>
      </c>
      <c r="Z944" s="169" t="s">
        <v>7331</v>
      </c>
      <c r="AA944" s="170" t="s">
        <v>2179</v>
      </c>
      <c r="AB944" s="243" t="s">
        <v>2074</v>
      </c>
      <c r="AC944" s="172">
        <v>3260</v>
      </c>
    </row>
    <row r="945" spans="1:29" s="200" customFormat="1" ht="109.5" customHeight="1" x14ac:dyDescent="0.25">
      <c r="A945" s="566">
        <v>45715</v>
      </c>
      <c r="B945" s="596" t="s">
        <v>7528</v>
      </c>
      <c r="C945" s="633" t="s">
        <v>7529</v>
      </c>
      <c r="D945" s="634" t="s">
        <v>7530</v>
      </c>
      <c r="E945" s="607" t="s">
        <v>39</v>
      </c>
      <c r="F945" s="467"/>
      <c r="G945" s="608"/>
      <c r="H945" s="19">
        <v>1</v>
      </c>
      <c r="I945" s="245" t="s">
        <v>7531</v>
      </c>
      <c r="J945" s="609">
        <v>70</v>
      </c>
      <c r="K945" s="46" t="s">
        <v>7524</v>
      </c>
      <c r="L945" s="47" t="s">
        <v>63</v>
      </c>
      <c r="M945" s="42" t="s">
        <v>42</v>
      </c>
      <c r="N945" s="401" t="s">
        <v>7532</v>
      </c>
      <c r="O945" s="49" t="s">
        <v>7533</v>
      </c>
      <c r="P945" s="49" t="s">
        <v>7534</v>
      </c>
      <c r="Q945" s="49" t="s">
        <v>7535</v>
      </c>
      <c r="R945" s="613">
        <v>24</v>
      </c>
      <c r="S945" s="613">
        <v>110</v>
      </c>
      <c r="T945" s="614" t="s">
        <v>47</v>
      </c>
      <c r="U945" s="614">
        <v>4</v>
      </c>
      <c r="V945" s="615">
        <f t="shared" si="27"/>
        <v>280</v>
      </c>
      <c r="W945" s="51" t="s">
        <v>350</v>
      </c>
      <c r="X945" s="198" t="s">
        <v>7536</v>
      </c>
      <c r="Y945" s="199" t="s">
        <v>82</v>
      </c>
      <c r="Z945" s="169" t="s">
        <v>7419</v>
      </c>
      <c r="AA945" s="617" t="s">
        <v>1199</v>
      </c>
      <c r="AB945" s="618" t="s">
        <v>1421</v>
      </c>
      <c r="AC945" s="619">
        <v>4976</v>
      </c>
    </row>
    <row r="946" spans="1:29" s="200" customFormat="1" ht="113.25" customHeight="1" x14ac:dyDescent="0.25">
      <c r="A946" s="566">
        <v>45714</v>
      </c>
      <c r="B946" s="507" t="s">
        <v>7537</v>
      </c>
      <c r="C946" s="507" t="s">
        <v>7538</v>
      </c>
      <c r="D946" s="121" t="s">
        <v>7539</v>
      </c>
      <c r="E946" s="122" t="s">
        <v>39</v>
      </c>
      <c r="F946" s="19">
        <v>1</v>
      </c>
      <c r="G946" s="123"/>
      <c r="H946" s="123"/>
      <c r="I946" s="351" t="s">
        <v>7540</v>
      </c>
      <c r="J946" s="124">
        <v>10</v>
      </c>
      <c r="K946" s="125" t="s">
        <v>7541</v>
      </c>
      <c r="L946" s="47" t="s">
        <v>63</v>
      </c>
      <c r="M946" s="42" t="s">
        <v>42</v>
      </c>
      <c r="N946" s="216" t="s">
        <v>7542</v>
      </c>
      <c r="O946" s="129" t="s">
        <v>7543</v>
      </c>
      <c r="P946" s="129" t="s">
        <v>7544</v>
      </c>
      <c r="Q946" s="129" t="s">
        <v>7545</v>
      </c>
      <c r="R946" s="217">
        <v>117</v>
      </c>
      <c r="S946" s="217">
        <v>282</v>
      </c>
      <c r="T946" s="130" t="s">
        <v>141</v>
      </c>
      <c r="U946" s="130">
        <v>13</v>
      </c>
      <c r="V946" s="352">
        <f t="shared" si="27"/>
        <v>130</v>
      </c>
      <c r="W946" s="130" t="s">
        <v>3973</v>
      </c>
      <c r="X946" s="131" t="s">
        <v>312</v>
      </c>
      <c r="Y946" s="353" t="s">
        <v>2880</v>
      </c>
      <c r="Z946" s="169" t="s">
        <v>7499</v>
      </c>
      <c r="AA946" s="134" t="s">
        <v>7546</v>
      </c>
      <c r="AB946" s="354" t="s">
        <v>7547</v>
      </c>
      <c r="AC946" s="221">
        <f>2988.2+1000</f>
        <v>3988.2</v>
      </c>
    </row>
    <row r="947" spans="1:29" s="200" customFormat="1" ht="45" x14ac:dyDescent="0.25">
      <c r="A947" s="566">
        <v>45714</v>
      </c>
      <c r="B947" s="41" t="s">
        <v>7548</v>
      </c>
      <c r="C947" s="41" t="s">
        <v>7549</v>
      </c>
      <c r="D947" s="41"/>
      <c r="E947" s="42" t="s">
        <v>39</v>
      </c>
      <c r="F947" s="19">
        <v>1</v>
      </c>
      <c r="G947" s="43"/>
      <c r="H947" s="43"/>
      <c r="I947" s="245" t="s">
        <v>7550</v>
      </c>
      <c r="J947" s="45">
        <v>25</v>
      </c>
      <c r="K947" s="46" t="s">
        <v>7541</v>
      </c>
      <c r="L947" s="47" t="s">
        <v>63</v>
      </c>
      <c r="M947" s="42" t="s">
        <v>42</v>
      </c>
      <c r="N947" s="77" t="s">
        <v>7551</v>
      </c>
      <c r="O947" s="49" t="s">
        <v>7552</v>
      </c>
      <c r="P947" s="49" t="s">
        <v>7553</v>
      </c>
      <c r="Q947" s="49" t="s">
        <v>7554</v>
      </c>
      <c r="R947" s="50">
        <v>80</v>
      </c>
      <c r="S947" s="50">
        <v>512</v>
      </c>
      <c r="T947" s="51" t="s">
        <v>47</v>
      </c>
      <c r="U947" s="51">
        <v>6</v>
      </c>
      <c r="V947" s="52">
        <f t="shared" si="27"/>
        <v>150</v>
      </c>
      <c r="W947" s="51" t="s">
        <v>350</v>
      </c>
      <c r="X947" s="198" t="s">
        <v>6713</v>
      </c>
      <c r="Y947" s="199" t="s">
        <v>50</v>
      </c>
      <c r="Z947" s="169" t="s">
        <v>7499</v>
      </c>
      <c r="AA947" s="170" t="s">
        <v>1212</v>
      </c>
      <c r="AB947" s="243" t="s">
        <v>924</v>
      </c>
      <c r="AC947" s="172">
        <f>4713+1200</f>
        <v>5913</v>
      </c>
    </row>
    <row r="948" spans="1:29" s="200" customFormat="1" ht="113.25" customHeight="1" x14ac:dyDescent="0.25">
      <c r="A948" s="566">
        <v>45714</v>
      </c>
      <c r="B948" s="164" t="s">
        <v>7555</v>
      </c>
      <c r="C948" s="164" t="s">
        <v>7556</v>
      </c>
      <c r="D948" s="41"/>
      <c r="E948" s="42" t="s">
        <v>39</v>
      </c>
      <c r="F948" s="43"/>
      <c r="G948" s="43"/>
      <c r="H948" s="19">
        <v>1</v>
      </c>
      <c r="I948" s="245" t="s">
        <v>7557</v>
      </c>
      <c r="J948" s="45">
        <v>50</v>
      </c>
      <c r="K948" s="46" t="s">
        <v>9505</v>
      </c>
      <c r="L948" s="632" t="s">
        <v>63</v>
      </c>
      <c r="M948" s="42" t="s">
        <v>42</v>
      </c>
      <c r="N948" s="77" t="s">
        <v>7558</v>
      </c>
      <c r="O948" s="49" t="s">
        <v>7559</v>
      </c>
      <c r="P948" s="49" t="s">
        <v>7560</v>
      </c>
      <c r="Q948" s="49" t="s">
        <v>7561</v>
      </c>
      <c r="R948" s="50">
        <v>67</v>
      </c>
      <c r="S948" s="50">
        <v>188</v>
      </c>
      <c r="T948" s="51" t="s">
        <v>47</v>
      </c>
      <c r="U948" s="51">
        <v>4</v>
      </c>
      <c r="V948" s="52">
        <f t="shared" si="27"/>
        <v>200</v>
      </c>
      <c r="W948" s="51" t="s">
        <v>350</v>
      </c>
      <c r="X948" s="198" t="s">
        <v>3436</v>
      </c>
      <c r="Y948" s="199" t="s">
        <v>50</v>
      </c>
      <c r="Z948" s="169" t="s">
        <v>7562</v>
      </c>
      <c r="AA948" s="170" t="s">
        <v>7563</v>
      </c>
      <c r="AB948" s="243" t="s">
        <v>7564</v>
      </c>
      <c r="AC948" s="172">
        <v>6092</v>
      </c>
    </row>
    <row r="949" spans="1:29" s="200" customFormat="1" ht="113.25" customHeight="1" x14ac:dyDescent="0.25">
      <c r="A949" s="566">
        <v>45714</v>
      </c>
      <c r="B949" s="635" t="s">
        <v>7565</v>
      </c>
      <c r="C949" s="628" t="s">
        <v>7566</v>
      </c>
      <c r="D949" s="552" t="s">
        <v>7567</v>
      </c>
      <c r="E949" s="42" t="s">
        <v>39</v>
      </c>
      <c r="F949" s="537"/>
      <c r="G949" s="537"/>
      <c r="H949" s="19">
        <v>1</v>
      </c>
      <c r="I949" s="245" t="s">
        <v>7568</v>
      </c>
      <c r="J949" s="45">
        <v>20</v>
      </c>
      <c r="K949" s="46" t="s">
        <v>9505</v>
      </c>
      <c r="L949" s="47" t="s">
        <v>63</v>
      </c>
      <c r="M949" s="42" t="s">
        <v>42</v>
      </c>
      <c r="N949" s="77" t="s">
        <v>7569</v>
      </c>
      <c r="O949" s="49" t="s">
        <v>7570</v>
      </c>
      <c r="P949" s="49" t="s">
        <v>7571</v>
      </c>
      <c r="Q949" s="49" t="s">
        <v>7572</v>
      </c>
      <c r="R949" s="92">
        <v>154</v>
      </c>
      <c r="S949" s="50">
        <v>1496</v>
      </c>
      <c r="T949" s="51" t="s">
        <v>180</v>
      </c>
      <c r="U949" s="51">
        <v>13</v>
      </c>
      <c r="V949" s="52">
        <f t="shared" si="27"/>
        <v>260</v>
      </c>
      <c r="W949" s="51" t="s">
        <v>350</v>
      </c>
      <c r="X949" s="198" t="s">
        <v>6816</v>
      </c>
      <c r="Y949" s="199" t="s">
        <v>82</v>
      </c>
      <c r="Z949" s="169" t="s">
        <v>7419</v>
      </c>
      <c r="AA949" s="170" t="s">
        <v>7573</v>
      </c>
      <c r="AB949" s="243" t="s">
        <v>1678</v>
      </c>
      <c r="AC949" s="35">
        <v>20184.2</v>
      </c>
    </row>
    <row r="950" spans="1:29" s="279" customFormat="1" ht="76.5" customHeight="1" x14ac:dyDescent="0.25">
      <c r="A950" s="566">
        <v>45713</v>
      </c>
      <c r="B950" s="164" t="s">
        <v>7574</v>
      </c>
      <c r="C950" s="41" t="s">
        <v>7575</v>
      </c>
      <c r="D950" s="82" t="s">
        <v>7576</v>
      </c>
      <c r="E950" s="42" t="s">
        <v>39</v>
      </c>
      <c r="F950" s="19">
        <v>1</v>
      </c>
      <c r="G950" s="43"/>
      <c r="H950" s="43"/>
      <c r="I950" s="245" t="s">
        <v>7577</v>
      </c>
      <c r="J950" s="45">
        <v>5</v>
      </c>
      <c r="K950" s="46" t="s">
        <v>9965</v>
      </c>
      <c r="L950" s="47" t="s">
        <v>63</v>
      </c>
      <c r="M950" s="42" t="s">
        <v>42</v>
      </c>
      <c r="N950" s="77" t="s">
        <v>7578</v>
      </c>
      <c r="O950" s="49" t="s">
        <v>7579</v>
      </c>
      <c r="P950" s="49" t="s">
        <v>7580</v>
      </c>
      <c r="Q950" s="49" t="s">
        <v>7581</v>
      </c>
      <c r="R950" s="50">
        <v>103</v>
      </c>
      <c r="S950" s="50">
        <v>529</v>
      </c>
      <c r="T950" s="51" t="s">
        <v>180</v>
      </c>
      <c r="U950" s="51">
        <v>2</v>
      </c>
      <c r="V950" s="52">
        <f t="shared" si="27"/>
        <v>10</v>
      </c>
      <c r="W950" s="51" t="s">
        <v>350</v>
      </c>
      <c r="X950" s="198" t="s">
        <v>881</v>
      </c>
      <c r="Y950" s="199" t="s">
        <v>50</v>
      </c>
      <c r="Z950" s="169" t="s">
        <v>7366</v>
      </c>
      <c r="AA950" s="170" t="s">
        <v>7367</v>
      </c>
      <c r="AB950" s="243" t="s">
        <v>7582</v>
      </c>
      <c r="AC950" s="172">
        <v>3568.5</v>
      </c>
    </row>
    <row r="951" spans="1:29" s="200" customFormat="1" ht="75" x14ac:dyDescent="0.25">
      <c r="A951" s="566">
        <v>45713</v>
      </c>
      <c r="B951" s="41" t="s">
        <v>7583</v>
      </c>
      <c r="C951" s="41" t="s">
        <v>7584</v>
      </c>
      <c r="D951" s="41"/>
      <c r="E951" s="42" t="s">
        <v>7585</v>
      </c>
      <c r="F951" s="19">
        <v>1</v>
      </c>
      <c r="G951" s="43"/>
      <c r="H951" s="43"/>
      <c r="I951" s="245" t="s">
        <v>7586</v>
      </c>
      <c r="J951" s="45">
        <v>200</v>
      </c>
      <c r="K951" s="46" t="s">
        <v>9966</v>
      </c>
      <c r="L951" s="47" t="s">
        <v>63</v>
      </c>
      <c r="M951" s="42" t="s">
        <v>42</v>
      </c>
      <c r="N951" s="77" t="s">
        <v>240</v>
      </c>
      <c r="O951" s="49" t="s">
        <v>7587</v>
      </c>
      <c r="P951" s="49" t="s">
        <v>7588</v>
      </c>
      <c r="Q951" s="49" t="s">
        <v>7589</v>
      </c>
      <c r="R951" s="50">
        <v>23</v>
      </c>
      <c r="S951" s="50">
        <v>34</v>
      </c>
      <c r="T951" s="51" t="s">
        <v>47</v>
      </c>
      <c r="U951" s="51">
        <v>3</v>
      </c>
      <c r="V951" s="52">
        <f t="shared" si="27"/>
        <v>600</v>
      </c>
      <c r="W951" s="51" t="s">
        <v>350</v>
      </c>
      <c r="X951" s="198" t="s">
        <v>1648</v>
      </c>
      <c r="Y951" s="199" t="s">
        <v>82</v>
      </c>
      <c r="Z951" s="169" t="s">
        <v>7445</v>
      </c>
      <c r="AA951" s="170" t="s">
        <v>7590</v>
      </c>
      <c r="AB951" s="243" t="s">
        <v>7520</v>
      </c>
      <c r="AC951" s="172">
        <v>2778</v>
      </c>
    </row>
    <row r="952" spans="1:29" s="200" customFormat="1" ht="204" x14ac:dyDescent="0.25">
      <c r="A952" s="566">
        <v>45712</v>
      </c>
      <c r="B952" s="41" t="s">
        <v>7410</v>
      </c>
      <c r="C952" s="41" t="s">
        <v>7411</v>
      </c>
      <c r="D952" s="552" t="s">
        <v>7412</v>
      </c>
      <c r="E952" s="42" t="s">
        <v>39</v>
      </c>
      <c r="F952" s="19">
        <v>1</v>
      </c>
      <c r="G952" s="467"/>
      <c r="H952" s="467"/>
      <c r="I952" s="245" t="s">
        <v>7591</v>
      </c>
      <c r="J952" s="45">
        <v>183</v>
      </c>
      <c r="K952" s="46" t="s">
        <v>7592</v>
      </c>
      <c r="L952" s="632" t="s">
        <v>63</v>
      </c>
      <c r="M952" s="42" t="s">
        <v>42</v>
      </c>
      <c r="N952" s="77" t="s">
        <v>7415</v>
      </c>
      <c r="O952" s="49" t="s">
        <v>7416</v>
      </c>
      <c r="P952" s="49" t="s">
        <v>7417</v>
      </c>
      <c r="Q952" s="49" t="s">
        <v>7418</v>
      </c>
      <c r="R952" s="50">
        <v>68</v>
      </c>
      <c r="S952" s="50">
        <v>174</v>
      </c>
      <c r="T952" s="51" t="s">
        <v>47</v>
      </c>
      <c r="U952" s="51">
        <v>6</v>
      </c>
      <c r="V952" s="75">
        <f t="shared" si="27"/>
        <v>1098</v>
      </c>
      <c r="W952" s="51" t="s">
        <v>7012</v>
      </c>
      <c r="X952" s="198" t="s">
        <v>467</v>
      </c>
      <c r="Y952" s="199" t="s">
        <v>82</v>
      </c>
      <c r="Z952" s="169" t="s">
        <v>7419</v>
      </c>
      <c r="AA952" s="170" t="s">
        <v>7420</v>
      </c>
      <c r="AB952" s="243" t="s">
        <v>435</v>
      </c>
      <c r="AC952" s="35">
        <f>(J952/200*9458)+1000</f>
        <v>9654.07</v>
      </c>
    </row>
    <row r="953" spans="1:29" s="200" customFormat="1" ht="90" x14ac:dyDescent="0.25">
      <c r="A953" s="566">
        <v>45712</v>
      </c>
      <c r="B953" s="41" t="s">
        <v>7593</v>
      </c>
      <c r="C953" s="41" t="s">
        <v>7594</v>
      </c>
      <c r="D953" s="41"/>
      <c r="E953" s="42" t="s">
        <v>39</v>
      </c>
      <c r="F953" s="19">
        <v>1</v>
      </c>
      <c r="G953" s="43"/>
      <c r="H953" s="43"/>
      <c r="I953" s="245" t="s">
        <v>7595</v>
      </c>
      <c r="J953" s="45">
        <v>300</v>
      </c>
      <c r="K953" s="46" t="s">
        <v>7596</v>
      </c>
      <c r="L953" s="47" t="s">
        <v>63</v>
      </c>
      <c r="M953" s="42" t="s">
        <v>42</v>
      </c>
      <c r="N953" s="77" t="s">
        <v>7597</v>
      </c>
      <c r="O953" s="49" t="s">
        <v>7559</v>
      </c>
      <c r="P953" s="49" t="s">
        <v>7560</v>
      </c>
      <c r="Q953" s="49" t="s">
        <v>7598</v>
      </c>
      <c r="R953" s="50">
        <v>10</v>
      </c>
      <c r="S953" s="50">
        <v>23</v>
      </c>
      <c r="T953" s="51" t="s">
        <v>96</v>
      </c>
      <c r="U953" s="51">
        <v>2</v>
      </c>
      <c r="V953" s="52">
        <f t="shared" si="27"/>
        <v>600</v>
      </c>
      <c r="W953" s="51" t="s">
        <v>350</v>
      </c>
      <c r="X953" s="198" t="s">
        <v>2526</v>
      </c>
      <c r="Y953" s="199" t="s">
        <v>82</v>
      </c>
      <c r="Z953" s="169" t="s">
        <v>7356</v>
      </c>
      <c r="AA953" s="170" t="s">
        <v>7590</v>
      </c>
      <c r="AB953" s="243" t="s">
        <v>7520</v>
      </c>
      <c r="AC953" s="172">
        <v>6385</v>
      </c>
    </row>
    <row r="954" spans="1:29" ht="58.5" customHeight="1" x14ac:dyDescent="0.25">
      <c r="A954" s="566">
        <v>45709</v>
      </c>
      <c r="B954" s="508" t="s">
        <v>7599</v>
      </c>
      <c r="C954" s="508" t="s">
        <v>7600</v>
      </c>
      <c r="D954" s="508"/>
      <c r="E954" s="509" t="s">
        <v>195</v>
      </c>
      <c r="F954" s="510"/>
      <c r="G954" s="510"/>
      <c r="H954" s="510"/>
      <c r="I954" s="367" t="s">
        <v>9850</v>
      </c>
      <c r="J954" s="511">
        <v>10</v>
      </c>
      <c r="K954" s="165" t="s">
        <v>6951</v>
      </c>
      <c r="L954" s="512" t="s">
        <v>2399</v>
      </c>
      <c r="M954" s="96"/>
      <c r="N954" s="636" t="s">
        <v>7601</v>
      </c>
      <c r="O954" s="102"/>
      <c r="P954" s="102"/>
      <c r="Q954" s="102"/>
      <c r="R954" s="513"/>
      <c r="S954" s="513"/>
      <c r="T954" s="509"/>
      <c r="U954" s="509"/>
      <c r="V954" s="514">
        <f t="shared" si="27"/>
        <v>0</v>
      </c>
      <c r="W954" s="96" t="s">
        <v>350</v>
      </c>
      <c r="X954" s="198" t="s">
        <v>7602</v>
      </c>
      <c r="Y954" s="168" t="s">
        <v>50</v>
      </c>
      <c r="Z954" s="427"/>
      <c r="AA954" s="170" t="s">
        <v>83</v>
      </c>
      <c r="AB954" s="243"/>
      <c r="AC954" s="172">
        <v>1700</v>
      </c>
    </row>
    <row r="955" spans="1:29" s="200" customFormat="1" ht="51" x14ac:dyDescent="0.25">
      <c r="A955" s="566">
        <v>45709</v>
      </c>
      <c r="B955" s="41" t="s">
        <v>7603</v>
      </c>
      <c r="C955" s="41" t="s">
        <v>7604</v>
      </c>
      <c r="D955" s="41"/>
      <c r="E955" s="42" t="s">
        <v>39</v>
      </c>
      <c r="F955" s="43"/>
      <c r="G955" s="43"/>
      <c r="H955" s="19">
        <v>1</v>
      </c>
      <c r="I955" s="245" t="s">
        <v>7605</v>
      </c>
      <c r="J955" s="45">
        <v>20</v>
      </c>
      <c r="K955" s="46" t="s">
        <v>7606</v>
      </c>
      <c r="L955" s="47" t="s">
        <v>63</v>
      </c>
      <c r="M955" s="42" t="s">
        <v>42</v>
      </c>
      <c r="N955" s="77" t="s">
        <v>240</v>
      </c>
      <c r="O955" s="49" t="s">
        <v>7607</v>
      </c>
      <c r="P955" s="49" t="s">
        <v>7608</v>
      </c>
      <c r="Q955" s="49" t="s">
        <v>7609</v>
      </c>
      <c r="R955" s="50">
        <v>26</v>
      </c>
      <c r="S955" s="50">
        <v>83</v>
      </c>
      <c r="T955" s="51" t="s">
        <v>47</v>
      </c>
      <c r="U955" s="51">
        <v>22</v>
      </c>
      <c r="V955" s="52">
        <f t="shared" si="27"/>
        <v>440</v>
      </c>
      <c r="W955" s="51" t="s">
        <v>350</v>
      </c>
      <c r="X955" s="198" t="s">
        <v>1118</v>
      </c>
      <c r="Y955" s="199" t="s">
        <v>82</v>
      </c>
      <c r="Z955" s="169" t="s">
        <v>7331</v>
      </c>
      <c r="AA955" s="170" t="s">
        <v>7409</v>
      </c>
      <c r="AB955" s="243" t="s">
        <v>513</v>
      </c>
      <c r="AC955" s="172">
        <v>4707</v>
      </c>
    </row>
    <row r="956" spans="1:29" s="200" customFormat="1" ht="139.5" customHeight="1" x14ac:dyDescent="0.25">
      <c r="A956" s="566">
        <v>45709</v>
      </c>
      <c r="B956" s="41" t="s">
        <v>7610</v>
      </c>
      <c r="C956" s="164" t="s">
        <v>7611</v>
      </c>
      <c r="D956" s="41"/>
      <c r="E956" s="42" t="s">
        <v>39</v>
      </c>
      <c r="F956" s="19">
        <v>1</v>
      </c>
      <c r="G956" s="43"/>
      <c r="H956" s="43"/>
      <c r="I956" s="245" t="s">
        <v>7612</v>
      </c>
      <c r="J956" s="45">
        <v>2</v>
      </c>
      <c r="K956" s="46" t="s">
        <v>9967</v>
      </c>
      <c r="L956" s="47" t="s">
        <v>63</v>
      </c>
      <c r="M956" s="42" t="s">
        <v>42</v>
      </c>
      <c r="N956" s="77" t="s">
        <v>7613</v>
      </c>
      <c r="O956" s="49" t="s">
        <v>7614</v>
      </c>
      <c r="P956" s="49" t="s">
        <v>7615</v>
      </c>
      <c r="Q956" s="49" t="s">
        <v>7616</v>
      </c>
      <c r="R956" s="50">
        <v>83</v>
      </c>
      <c r="S956" s="50">
        <v>196</v>
      </c>
      <c r="T956" s="51" t="s">
        <v>47</v>
      </c>
      <c r="U956" s="51">
        <v>6</v>
      </c>
      <c r="V956" s="52">
        <f t="shared" si="27"/>
        <v>12</v>
      </c>
      <c r="W956" s="51" t="s">
        <v>350</v>
      </c>
      <c r="X956" s="198" t="s">
        <v>482</v>
      </c>
      <c r="Y956" s="199" t="s">
        <v>50</v>
      </c>
      <c r="Z956" s="169" t="s">
        <v>7617</v>
      </c>
      <c r="AA956" s="170" t="s">
        <v>7618</v>
      </c>
      <c r="AB956" s="243" t="s">
        <v>1330</v>
      </c>
      <c r="AC956" s="172">
        <f>3193.12+1500+1100</f>
        <v>5793.12</v>
      </c>
    </row>
    <row r="957" spans="1:29" s="307" customFormat="1" ht="40.5" customHeight="1" x14ac:dyDescent="0.25">
      <c r="A957" s="566">
        <v>45709</v>
      </c>
      <c r="B957" s="41" t="s">
        <v>7619</v>
      </c>
      <c r="C957" s="41" t="s">
        <v>7620</v>
      </c>
      <c r="D957" s="41"/>
      <c r="E957" s="42" t="s">
        <v>195</v>
      </c>
      <c r="F957" s="43"/>
      <c r="G957" s="43"/>
      <c r="H957" s="43"/>
      <c r="I957" s="245" t="s">
        <v>7621</v>
      </c>
      <c r="J957" s="45">
        <v>250</v>
      </c>
      <c r="K957" s="46" t="s">
        <v>7622</v>
      </c>
      <c r="L957" s="47" t="s">
        <v>2399</v>
      </c>
      <c r="M957" s="42"/>
      <c r="N957" s="77" t="s">
        <v>2951</v>
      </c>
      <c r="O957" s="49"/>
      <c r="P957" s="49"/>
      <c r="Q957" s="49"/>
      <c r="R957" s="50">
        <v>0</v>
      </c>
      <c r="S957" s="50">
        <v>0</v>
      </c>
      <c r="T957" s="51">
        <v>0</v>
      </c>
      <c r="U957" s="51">
        <v>2</v>
      </c>
      <c r="V957" s="52">
        <f t="shared" si="27"/>
        <v>500</v>
      </c>
      <c r="W957" s="51" t="s">
        <v>221</v>
      </c>
      <c r="X957" s="198" t="s">
        <v>2952</v>
      </c>
      <c r="Y957" s="199" t="s">
        <v>82</v>
      </c>
      <c r="Z957" s="169" t="s">
        <v>7331</v>
      </c>
      <c r="AA957" s="170" t="s">
        <v>7623</v>
      </c>
      <c r="AB957" s="243"/>
      <c r="AC957" s="172">
        <v>4225</v>
      </c>
    </row>
    <row r="958" spans="1:29" s="200" customFormat="1" ht="115.5" customHeight="1" x14ac:dyDescent="0.25">
      <c r="A958" s="566">
        <v>45708</v>
      </c>
      <c r="B958" s="41" t="s">
        <v>7624</v>
      </c>
      <c r="C958" s="41" t="s">
        <v>7625</v>
      </c>
      <c r="D958" s="54" t="s">
        <v>7626</v>
      </c>
      <c r="E958" s="42" t="s">
        <v>39</v>
      </c>
      <c r="F958" s="43"/>
      <c r="G958" s="43"/>
      <c r="H958" s="19">
        <v>1</v>
      </c>
      <c r="I958" s="245" t="s">
        <v>7627</v>
      </c>
      <c r="J958" s="45">
        <v>700</v>
      </c>
      <c r="K958" s="46" t="s">
        <v>9968</v>
      </c>
      <c r="L958" s="47" t="s">
        <v>63</v>
      </c>
      <c r="M958" s="42" t="s">
        <v>42</v>
      </c>
      <c r="N958" s="77" t="s">
        <v>7628</v>
      </c>
      <c r="O958" s="49" t="s">
        <v>7629</v>
      </c>
      <c r="P958" s="49" t="s">
        <v>7630</v>
      </c>
      <c r="Q958" s="49" t="s">
        <v>7631</v>
      </c>
      <c r="R958" s="50">
        <v>6</v>
      </c>
      <c r="S958" s="50">
        <v>14</v>
      </c>
      <c r="T958" s="51" t="s">
        <v>47</v>
      </c>
      <c r="U958" s="51">
        <v>0</v>
      </c>
      <c r="V958" s="52">
        <f t="shared" si="27"/>
        <v>0</v>
      </c>
      <c r="W958" s="51" t="s">
        <v>142</v>
      </c>
      <c r="X958" s="198" t="s">
        <v>1243</v>
      </c>
      <c r="Y958" s="199" t="s">
        <v>7004</v>
      </c>
      <c r="Z958" s="169" t="s">
        <v>7632</v>
      </c>
      <c r="AA958" s="170" t="s">
        <v>1212</v>
      </c>
      <c r="AB958" s="243" t="s">
        <v>435</v>
      </c>
      <c r="AC958" s="35">
        <f>15735*J958/750</f>
        <v>14686</v>
      </c>
    </row>
    <row r="959" spans="1:29" s="279" customFormat="1" ht="125.25" customHeight="1" x14ac:dyDescent="0.25">
      <c r="A959" s="566">
        <v>45708</v>
      </c>
      <c r="B959" s="41" t="s">
        <v>7633</v>
      </c>
      <c r="C959" s="82" t="s">
        <v>7634</v>
      </c>
      <c r="D959" s="552" t="s">
        <v>7635</v>
      </c>
      <c r="E959" s="42" t="s">
        <v>39</v>
      </c>
      <c r="F959" s="19">
        <v>1</v>
      </c>
      <c r="G959" s="43"/>
      <c r="H959" s="43"/>
      <c r="I959" s="245" t="s">
        <v>7636</v>
      </c>
      <c r="J959" s="45">
        <v>50</v>
      </c>
      <c r="K959" s="46" t="s">
        <v>7646</v>
      </c>
      <c r="L959" s="47" t="s">
        <v>63</v>
      </c>
      <c r="M959" s="42" t="s">
        <v>42</v>
      </c>
      <c r="N959" s="370" t="s">
        <v>7637</v>
      </c>
      <c r="O959" s="49" t="s">
        <v>7638</v>
      </c>
      <c r="P959" s="49" t="s">
        <v>7639</v>
      </c>
      <c r="Q959" s="49" t="s">
        <v>7640</v>
      </c>
      <c r="R959" s="50">
        <v>75</v>
      </c>
      <c r="S959" s="50">
        <v>264</v>
      </c>
      <c r="T959" s="51" t="s">
        <v>47</v>
      </c>
      <c r="U959" s="51">
        <v>0</v>
      </c>
      <c r="V959" s="52">
        <f t="shared" si="27"/>
        <v>0</v>
      </c>
      <c r="W959" s="51" t="s">
        <v>3973</v>
      </c>
      <c r="X959" s="198" t="s">
        <v>7641</v>
      </c>
      <c r="Y959" s="199" t="s">
        <v>2880</v>
      </c>
      <c r="Z959" s="169" t="s">
        <v>7229</v>
      </c>
      <c r="AA959" s="170" t="s">
        <v>7367</v>
      </c>
      <c r="AB959" s="243" t="s">
        <v>7642</v>
      </c>
      <c r="AC959" s="172">
        <v>6395</v>
      </c>
    </row>
    <row r="960" spans="1:29" s="200" customFormat="1" ht="70.5" customHeight="1" x14ac:dyDescent="0.25">
      <c r="A960" s="566">
        <v>45708</v>
      </c>
      <c r="C960" s="41" t="s">
        <v>7643</v>
      </c>
      <c r="D960" s="41" t="s">
        <v>7644</v>
      </c>
      <c r="E960" s="42" t="s">
        <v>39</v>
      </c>
      <c r="F960" s="43"/>
      <c r="G960" s="19">
        <v>1</v>
      </c>
      <c r="H960" s="467"/>
      <c r="I960" s="245" t="s">
        <v>7645</v>
      </c>
      <c r="J960" s="45">
        <v>34</v>
      </c>
      <c r="K960" s="46" t="s">
        <v>7646</v>
      </c>
      <c r="L960" s="47" t="s">
        <v>63</v>
      </c>
      <c r="M960" s="637" t="s">
        <v>42</v>
      </c>
      <c r="N960" s="77" t="s">
        <v>7647</v>
      </c>
      <c r="O960" s="49" t="s">
        <v>7648</v>
      </c>
      <c r="P960" s="638" t="s">
        <v>7649</v>
      </c>
      <c r="Q960" s="49" t="s">
        <v>7650</v>
      </c>
      <c r="R960" s="50">
        <v>106</v>
      </c>
      <c r="S960" s="50">
        <v>290</v>
      </c>
      <c r="T960" s="51" t="s">
        <v>141</v>
      </c>
      <c r="U960" s="51">
        <v>1</v>
      </c>
      <c r="V960" s="52">
        <f t="shared" si="27"/>
        <v>34</v>
      </c>
      <c r="W960" s="51" t="s">
        <v>48</v>
      </c>
      <c r="X960" s="198" t="s">
        <v>2234</v>
      </c>
      <c r="Y960" s="199" t="s">
        <v>144</v>
      </c>
      <c r="Z960" s="565"/>
      <c r="AA960" s="170" t="s">
        <v>7651</v>
      </c>
      <c r="AB960" s="243" t="s">
        <v>2310</v>
      </c>
      <c r="AC960" s="35">
        <f>7640*(34/100)</f>
        <v>2597.6000000000004</v>
      </c>
    </row>
    <row r="961" spans="1:30" ht="45.75" customHeight="1" x14ac:dyDescent="0.25">
      <c r="A961" s="566">
        <v>45708</v>
      </c>
      <c r="B961" s="95" t="s">
        <v>7652</v>
      </c>
      <c r="C961" s="95" t="s">
        <v>7653</v>
      </c>
      <c r="D961" s="95"/>
      <c r="E961" s="96" t="s">
        <v>195</v>
      </c>
      <c r="F961" s="97"/>
      <c r="G961" s="97"/>
      <c r="H961" s="97"/>
      <c r="I961" s="245" t="s">
        <v>7654</v>
      </c>
      <c r="J961" s="98">
        <v>190</v>
      </c>
      <c r="K961" s="99" t="s">
        <v>7655</v>
      </c>
      <c r="L961" s="100" t="s">
        <v>2399</v>
      </c>
      <c r="M961" s="96"/>
      <c r="N961" s="101" t="s">
        <v>7299</v>
      </c>
      <c r="O961" s="102"/>
      <c r="P961" s="102"/>
      <c r="Q961" s="102"/>
      <c r="R961" s="103">
        <v>0</v>
      </c>
      <c r="S961" s="103">
        <v>0</v>
      </c>
      <c r="T961" s="96">
        <v>0</v>
      </c>
      <c r="U961" s="96">
        <v>1</v>
      </c>
      <c r="V961" s="104">
        <f t="shared" si="27"/>
        <v>190</v>
      </c>
      <c r="W961" s="96" t="s">
        <v>3973</v>
      </c>
      <c r="X961" s="198" t="s">
        <v>4692</v>
      </c>
      <c r="Y961" s="168" t="s">
        <v>7004</v>
      </c>
      <c r="Z961" s="169" t="s">
        <v>7656</v>
      </c>
      <c r="AA961" s="170" t="s">
        <v>7590</v>
      </c>
      <c r="AB961" s="243" t="s">
        <v>7520</v>
      </c>
      <c r="AC961" s="172">
        <v>4370</v>
      </c>
    </row>
    <row r="962" spans="1:30" s="307" customFormat="1" ht="39.75" customHeight="1" x14ac:dyDescent="0.25">
      <c r="A962" s="566">
        <v>45708</v>
      </c>
      <c r="B962" s="164" t="s">
        <v>6115</v>
      </c>
      <c r="C962" s="41" t="s">
        <v>7657</v>
      </c>
      <c r="D962" s="41"/>
      <c r="E962" s="42" t="s">
        <v>195</v>
      </c>
      <c r="F962" s="43"/>
      <c r="G962" s="43"/>
      <c r="H962" s="43"/>
      <c r="I962" s="245" t="s">
        <v>7658</v>
      </c>
      <c r="J962" s="45">
        <v>5</v>
      </c>
      <c r="K962" s="46" t="s">
        <v>7646</v>
      </c>
      <c r="L962" s="47" t="s">
        <v>2399</v>
      </c>
      <c r="M962" s="42"/>
      <c r="N962" s="77" t="s">
        <v>718</v>
      </c>
      <c r="O962" s="49"/>
      <c r="P962" s="49"/>
      <c r="Q962" s="49"/>
      <c r="R962" s="50">
        <v>0</v>
      </c>
      <c r="S962" s="50">
        <v>0</v>
      </c>
      <c r="T962" s="51">
        <v>0</v>
      </c>
      <c r="U962" s="51">
        <v>130</v>
      </c>
      <c r="V962" s="52">
        <f t="shared" si="27"/>
        <v>650</v>
      </c>
      <c r="W962" s="51" t="s">
        <v>350</v>
      </c>
      <c r="X962" s="198" t="s">
        <v>1124</v>
      </c>
      <c r="Y962" s="199" t="s">
        <v>50</v>
      </c>
      <c r="Z962" s="169" t="s">
        <v>7331</v>
      </c>
      <c r="AA962" s="170" t="s">
        <v>7367</v>
      </c>
      <c r="AB962" s="243" t="s">
        <v>1412</v>
      </c>
      <c r="AC962" s="172">
        <v>2437.5</v>
      </c>
    </row>
    <row r="963" spans="1:30" ht="165" x14ac:dyDescent="0.25">
      <c r="A963" s="566">
        <v>45708</v>
      </c>
      <c r="B963" s="639" t="s">
        <v>7659</v>
      </c>
      <c r="C963" s="41" t="s">
        <v>7660</v>
      </c>
      <c r="D963" s="640" t="s">
        <v>7661</v>
      </c>
      <c r="E963" s="42" t="s">
        <v>39</v>
      </c>
      <c r="F963" s="43"/>
      <c r="G963" s="43"/>
      <c r="H963" s="19">
        <v>1</v>
      </c>
      <c r="I963" s="245" t="s">
        <v>7662</v>
      </c>
      <c r="J963" s="45">
        <v>20</v>
      </c>
      <c r="K963" s="46" t="s">
        <v>9969</v>
      </c>
      <c r="L963" s="632" t="s">
        <v>63</v>
      </c>
      <c r="M963" s="42" t="s">
        <v>42</v>
      </c>
      <c r="N963" s="370" t="s">
        <v>7663</v>
      </c>
      <c r="O963" s="49" t="s">
        <v>7664</v>
      </c>
      <c r="P963" s="49" t="s">
        <v>7588</v>
      </c>
      <c r="Q963" s="49" t="s">
        <v>7616</v>
      </c>
      <c r="R963" s="50">
        <v>108</v>
      </c>
      <c r="S963" s="50">
        <v>605</v>
      </c>
      <c r="T963" s="51" t="s">
        <v>180</v>
      </c>
      <c r="U963" s="51">
        <v>33</v>
      </c>
      <c r="V963" s="75">
        <f t="shared" si="27"/>
        <v>660</v>
      </c>
      <c r="W963" s="51" t="s">
        <v>7012</v>
      </c>
      <c r="X963" s="198" t="s">
        <v>6978</v>
      </c>
      <c r="Y963" s="168" t="s">
        <v>5907</v>
      </c>
      <c r="Z963" s="169" t="s">
        <v>7356</v>
      </c>
      <c r="AA963" s="170" t="s">
        <v>7546</v>
      </c>
      <c r="AB963" s="243" t="s">
        <v>7665</v>
      </c>
      <c r="AC963" s="172">
        <v>7302</v>
      </c>
    </row>
    <row r="964" spans="1:30" s="200" customFormat="1" ht="52.5" customHeight="1" x14ac:dyDescent="0.25">
      <c r="A964" s="566">
        <v>45707</v>
      </c>
      <c r="B964" s="164" t="s">
        <v>7666</v>
      </c>
      <c r="C964" s="41" t="s">
        <v>7667</v>
      </c>
      <c r="D964" s="41" t="s">
        <v>7668</v>
      </c>
      <c r="E964" s="42" t="s">
        <v>39</v>
      </c>
      <c r="F964" s="43"/>
      <c r="G964" s="43"/>
      <c r="H964" s="19">
        <v>1</v>
      </c>
      <c r="I964" s="245" t="s">
        <v>7669</v>
      </c>
      <c r="J964" s="45">
        <v>200</v>
      </c>
      <c r="K964" s="46" t="s">
        <v>9970</v>
      </c>
      <c r="L964" s="47" t="s">
        <v>63</v>
      </c>
      <c r="M964" s="42" t="s">
        <v>42</v>
      </c>
      <c r="N964" s="77" t="s">
        <v>240</v>
      </c>
      <c r="O964" s="49" t="s">
        <v>7670</v>
      </c>
      <c r="P964" s="49"/>
      <c r="Q964" s="49" t="s">
        <v>7671</v>
      </c>
      <c r="R964" s="50">
        <v>3</v>
      </c>
      <c r="S964" s="50">
        <v>6</v>
      </c>
      <c r="T964" s="51" t="s">
        <v>96</v>
      </c>
      <c r="U964" s="51">
        <v>0</v>
      </c>
      <c r="V964" s="52">
        <f t="shared" si="27"/>
        <v>0</v>
      </c>
      <c r="W964" s="51" t="s">
        <v>221</v>
      </c>
      <c r="X964" s="198" t="s">
        <v>222</v>
      </c>
      <c r="Y964" s="199" t="s">
        <v>82</v>
      </c>
      <c r="Z964" s="641" t="s">
        <v>7672</v>
      </c>
      <c r="AA964" s="170" t="s">
        <v>7673</v>
      </c>
      <c r="AB964" s="243" t="s">
        <v>1579</v>
      </c>
      <c r="AC964" s="172">
        <v>3530</v>
      </c>
    </row>
    <row r="965" spans="1:30" s="200" customFormat="1" ht="105.75" customHeight="1" x14ac:dyDescent="0.25">
      <c r="A965" s="566">
        <v>45707</v>
      </c>
      <c r="B965" s="82" t="s">
        <v>7674</v>
      </c>
      <c r="C965" s="82" t="s">
        <v>7675</v>
      </c>
      <c r="D965" s="41" t="s">
        <v>7676</v>
      </c>
      <c r="E965" s="42" t="s">
        <v>39</v>
      </c>
      <c r="F965" s="43"/>
      <c r="G965" s="43"/>
      <c r="H965" s="19">
        <v>1</v>
      </c>
      <c r="I965" s="245" t="s">
        <v>7677</v>
      </c>
      <c r="J965" s="45">
        <v>10</v>
      </c>
      <c r="K965" s="46" t="s">
        <v>9970</v>
      </c>
      <c r="L965" s="47" t="s">
        <v>63</v>
      </c>
      <c r="M965" s="42" t="s">
        <v>42</v>
      </c>
      <c r="N965" s="77" t="s">
        <v>7678</v>
      </c>
      <c r="O965" s="49" t="s">
        <v>7679</v>
      </c>
      <c r="P965" s="49" t="s">
        <v>7680</v>
      </c>
      <c r="Q965" s="49" t="s">
        <v>7681</v>
      </c>
      <c r="R965" s="50">
        <v>125</v>
      </c>
      <c r="S965" s="50">
        <v>909</v>
      </c>
      <c r="T965" s="51" t="s">
        <v>180</v>
      </c>
      <c r="U965" s="51">
        <v>12</v>
      </c>
      <c r="V965" s="52">
        <f t="shared" si="27"/>
        <v>120</v>
      </c>
      <c r="W965" s="51" t="s">
        <v>350</v>
      </c>
      <c r="X965" s="198" t="s">
        <v>6816</v>
      </c>
      <c r="Y965" s="199" t="s">
        <v>82</v>
      </c>
      <c r="Z965" s="169" t="s">
        <v>7419</v>
      </c>
      <c r="AA965" s="170" t="s">
        <v>7546</v>
      </c>
      <c r="AB965" s="243" t="s">
        <v>1330</v>
      </c>
      <c r="AC965" s="35">
        <v>11939.2</v>
      </c>
    </row>
    <row r="966" spans="1:30" s="200" customFormat="1" ht="43.5" customHeight="1" x14ac:dyDescent="0.25">
      <c r="A966" s="566">
        <v>45707</v>
      </c>
      <c r="B966" s="41" t="s">
        <v>7682</v>
      </c>
      <c r="C966" s="95" t="s">
        <v>7683</v>
      </c>
      <c r="D966" s="95"/>
      <c r="E966" s="96" t="s">
        <v>7684</v>
      </c>
      <c r="F966" s="19">
        <v>1</v>
      </c>
      <c r="G966" s="97"/>
      <c r="H966" s="97"/>
      <c r="I966" s="245" t="s">
        <v>7685</v>
      </c>
      <c r="J966" s="98">
        <v>15</v>
      </c>
      <c r="K966" s="99" t="s">
        <v>9971</v>
      </c>
      <c r="L966" s="100" t="s">
        <v>63</v>
      </c>
      <c r="M966" s="96" t="s">
        <v>42</v>
      </c>
      <c r="N966" s="101" t="s">
        <v>7686</v>
      </c>
      <c r="O966" s="102" t="s">
        <v>7687</v>
      </c>
      <c r="P966" s="102"/>
      <c r="Q966" s="102" t="s">
        <v>7631</v>
      </c>
      <c r="R966" s="103">
        <v>29</v>
      </c>
      <c r="S966" s="103">
        <v>238</v>
      </c>
      <c r="T966" s="96" t="s">
        <v>96</v>
      </c>
      <c r="U966" s="96">
        <v>37</v>
      </c>
      <c r="V966" s="104">
        <f t="shared" si="27"/>
        <v>555</v>
      </c>
      <c r="W966" s="96" t="s">
        <v>510</v>
      </c>
      <c r="X966" s="198" t="s">
        <v>6337</v>
      </c>
      <c r="Y966" s="199" t="s">
        <v>82</v>
      </c>
      <c r="Z966" s="169" t="s">
        <v>7419</v>
      </c>
      <c r="AA966" s="170" t="s">
        <v>7590</v>
      </c>
      <c r="AB966" s="243" t="s">
        <v>7520</v>
      </c>
      <c r="AC966" s="172">
        <v>3586</v>
      </c>
    </row>
    <row r="967" spans="1:30" s="200" customFormat="1" ht="51" x14ac:dyDescent="0.25">
      <c r="A967" s="566">
        <v>45707</v>
      </c>
      <c r="B967" s="41" t="s">
        <v>7688</v>
      </c>
      <c r="C967" s="41" t="s">
        <v>7689</v>
      </c>
      <c r="D967" s="41"/>
      <c r="E967" s="42" t="s">
        <v>39</v>
      </c>
      <c r="F967" s="43"/>
      <c r="G967" s="43"/>
      <c r="H967" s="19">
        <v>1</v>
      </c>
      <c r="I967" s="245" t="s">
        <v>7690</v>
      </c>
      <c r="J967" s="45">
        <v>40</v>
      </c>
      <c r="K967" s="46" t="s">
        <v>9972</v>
      </c>
      <c r="L967" s="47" t="s">
        <v>63</v>
      </c>
      <c r="M967" s="42" t="s">
        <v>42</v>
      </c>
      <c r="N967" s="77" t="s">
        <v>7691</v>
      </c>
      <c r="O967" s="49" t="s">
        <v>7692</v>
      </c>
      <c r="P967" s="49" t="s">
        <v>7693</v>
      </c>
      <c r="Q967" s="49" t="s">
        <v>7694</v>
      </c>
      <c r="R967" s="50">
        <v>55</v>
      </c>
      <c r="S967" s="50">
        <v>185</v>
      </c>
      <c r="T967" s="51" t="s">
        <v>47</v>
      </c>
      <c r="U967" s="51">
        <v>23</v>
      </c>
      <c r="V967" s="52">
        <f t="shared" si="27"/>
        <v>920</v>
      </c>
      <c r="W967" s="51" t="s">
        <v>350</v>
      </c>
      <c r="X967" s="198" t="s">
        <v>1118</v>
      </c>
      <c r="Y967" s="199" t="s">
        <v>82</v>
      </c>
      <c r="Z967" s="169" t="s">
        <v>7229</v>
      </c>
      <c r="AA967" s="170" t="s">
        <v>1212</v>
      </c>
      <c r="AB967" s="243" t="s">
        <v>1592</v>
      </c>
      <c r="AC967" s="172">
        <v>4436</v>
      </c>
    </row>
    <row r="968" spans="1:30" s="307" customFormat="1" ht="123" customHeight="1" x14ac:dyDescent="0.25">
      <c r="A968" s="566">
        <v>45707</v>
      </c>
      <c r="B968" s="164" t="s">
        <v>7695</v>
      </c>
      <c r="C968" s="41" t="s">
        <v>7696</v>
      </c>
      <c r="D968" s="642" t="s">
        <v>7697</v>
      </c>
      <c r="E968" s="51" t="s">
        <v>39</v>
      </c>
      <c r="F968" s="43"/>
      <c r="G968" s="43"/>
      <c r="H968" s="19">
        <v>1</v>
      </c>
      <c r="I968" s="245" t="s">
        <v>7698</v>
      </c>
      <c r="J968" s="629">
        <v>16</v>
      </c>
      <c r="K968" s="46" t="s">
        <v>9972</v>
      </c>
      <c r="L968" s="47" t="s">
        <v>63</v>
      </c>
      <c r="M968" s="42" t="s">
        <v>42</v>
      </c>
      <c r="N968" s="77" t="s">
        <v>7699</v>
      </c>
      <c r="O968" s="49" t="s">
        <v>7363</v>
      </c>
      <c r="P968" s="49"/>
      <c r="Q968" s="49" t="s">
        <v>7364</v>
      </c>
      <c r="R968" s="50">
        <v>42</v>
      </c>
      <c r="S968" s="50">
        <v>316</v>
      </c>
      <c r="T968" s="51" t="s">
        <v>96</v>
      </c>
      <c r="U968" s="51">
        <v>86</v>
      </c>
      <c r="V968" s="75">
        <f t="shared" si="27"/>
        <v>1376</v>
      </c>
      <c r="W968" s="51" t="s">
        <v>350</v>
      </c>
      <c r="X968" s="198" t="s">
        <v>7365</v>
      </c>
      <c r="Y968" s="199" t="s">
        <v>50</v>
      </c>
      <c r="Z968" s="169" t="s">
        <v>7366</v>
      </c>
      <c r="AA968" s="170" t="s">
        <v>7367</v>
      </c>
      <c r="AB968" s="243" t="s">
        <v>1412</v>
      </c>
      <c r="AC968" s="35">
        <f>6374.4*J968/20</f>
        <v>5099.5199999999995</v>
      </c>
    </row>
    <row r="969" spans="1:30" s="200" customFormat="1" ht="48" customHeight="1" x14ac:dyDescent="0.25">
      <c r="A969" s="566">
        <v>45707</v>
      </c>
      <c r="B969" s="41" t="s">
        <v>7700</v>
      </c>
      <c r="C969" s="41" t="s">
        <v>7701</v>
      </c>
      <c r="D969" s="41" t="s">
        <v>7702</v>
      </c>
      <c r="E969" s="42" t="s">
        <v>39</v>
      </c>
      <c r="F969" s="43"/>
      <c r="G969" s="43"/>
      <c r="H969" s="563" t="s">
        <v>1586</v>
      </c>
      <c r="I969" s="245" t="s">
        <v>7703</v>
      </c>
      <c r="J969" s="45">
        <v>300</v>
      </c>
      <c r="K969" s="46" t="s">
        <v>9973</v>
      </c>
      <c r="L969" s="47" t="s">
        <v>63</v>
      </c>
      <c r="M969" s="42" t="s">
        <v>42</v>
      </c>
      <c r="N969" s="77" t="s">
        <v>7704</v>
      </c>
      <c r="O969" s="49" t="s">
        <v>7705</v>
      </c>
      <c r="P969" s="49" t="s">
        <v>7706</v>
      </c>
      <c r="Q969" s="49" t="s">
        <v>7707</v>
      </c>
      <c r="R969" s="50">
        <v>22</v>
      </c>
      <c r="S969" s="50">
        <v>37</v>
      </c>
      <c r="T969" s="51" t="s">
        <v>47</v>
      </c>
      <c r="U969" s="51">
        <v>8</v>
      </c>
      <c r="V969" s="75">
        <f t="shared" si="27"/>
        <v>2400</v>
      </c>
      <c r="W969" s="51" t="s">
        <v>350</v>
      </c>
      <c r="X969" s="198" t="s">
        <v>7708</v>
      </c>
      <c r="Y969" s="199" t="s">
        <v>50</v>
      </c>
      <c r="Z969" s="169" t="s">
        <v>7331</v>
      </c>
      <c r="AA969" s="170" t="s">
        <v>6927</v>
      </c>
      <c r="AB969" s="243" t="s">
        <v>7709</v>
      </c>
      <c r="AC969" s="172">
        <v>5520</v>
      </c>
    </row>
    <row r="970" spans="1:30" ht="183" customHeight="1" x14ac:dyDescent="0.25">
      <c r="A970" s="566">
        <v>45706</v>
      </c>
      <c r="B970" s="41" t="s">
        <v>7710</v>
      </c>
      <c r="C970" s="41" t="s">
        <v>7711</v>
      </c>
      <c r="D970" s="41" t="s">
        <v>7712</v>
      </c>
      <c r="E970" s="42" t="s">
        <v>39</v>
      </c>
      <c r="F970" s="43"/>
      <c r="G970" s="43"/>
      <c r="H970" s="19">
        <v>1</v>
      </c>
      <c r="I970" s="245" t="s">
        <v>7713</v>
      </c>
      <c r="J970" s="45">
        <f>360-279</f>
        <v>81</v>
      </c>
      <c r="K970" s="46" t="s">
        <v>9974</v>
      </c>
      <c r="L970" s="47" t="s">
        <v>63</v>
      </c>
      <c r="M970" s="42" t="s">
        <v>42</v>
      </c>
      <c r="N970" s="77" t="s">
        <v>7714</v>
      </c>
      <c r="O970" s="49" t="s">
        <v>7715</v>
      </c>
      <c r="P970" s="49"/>
      <c r="Q970" s="49" t="s">
        <v>7716</v>
      </c>
      <c r="R970" s="50">
        <v>1</v>
      </c>
      <c r="S970" s="50">
        <v>1</v>
      </c>
      <c r="T970" s="51" t="s">
        <v>96</v>
      </c>
      <c r="U970" s="51">
        <v>0</v>
      </c>
      <c r="V970" s="52">
        <f t="shared" si="27"/>
        <v>0</v>
      </c>
      <c r="W970" s="51" t="s">
        <v>68</v>
      </c>
      <c r="X970" s="198" t="s">
        <v>4692</v>
      </c>
      <c r="Y970" s="168" t="s">
        <v>7004</v>
      </c>
      <c r="Z970" s="643" t="s">
        <v>4664</v>
      </c>
      <c r="AA970" s="170" t="s">
        <v>6927</v>
      </c>
      <c r="AB970" s="243" t="s">
        <v>7717</v>
      </c>
      <c r="AC970" s="35">
        <f>(4276.8*J970/360)</f>
        <v>962.28</v>
      </c>
    </row>
    <row r="971" spans="1:30" s="200" customFormat="1" ht="213" customHeight="1" x14ac:dyDescent="0.25">
      <c r="A971" s="566">
        <v>45706</v>
      </c>
      <c r="B971" s="644" t="s">
        <v>7718</v>
      </c>
      <c r="C971" s="645" t="s">
        <v>7719</v>
      </c>
      <c r="D971" s="41"/>
      <c r="E971" s="51" t="s">
        <v>39</v>
      </c>
      <c r="F971" s="19">
        <v>2</v>
      </c>
      <c r="G971" s="43"/>
      <c r="H971" s="43"/>
      <c r="I971" s="245" t="s">
        <v>7720</v>
      </c>
      <c r="J971" s="45">
        <v>6</v>
      </c>
      <c r="K971" s="46" t="s">
        <v>9974</v>
      </c>
      <c r="L971" s="47" t="s">
        <v>63</v>
      </c>
      <c r="M971" s="42" t="s">
        <v>42</v>
      </c>
      <c r="N971" s="370" t="s">
        <v>7721</v>
      </c>
      <c r="O971" s="49" t="s">
        <v>7722</v>
      </c>
      <c r="P971" s="49" t="s">
        <v>7723</v>
      </c>
      <c r="Q971" s="49" t="s">
        <v>7724</v>
      </c>
      <c r="R971" s="50">
        <v>126</v>
      </c>
      <c r="S971" s="50">
        <v>849</v>
      </c>
      <c r="T971" s="51" t="s">
        <v>180</v>
      </c>
      <c r="U971" s="51">
        <v>56</v>
      </c>
      <c r="V971" s="52">
        <f t="shared" si="27"/>
        <v>336</v>
      </c>
      <c r="W971" s="51" t="s">
        <v>7012</v>
      </c>
      <c r="X971" s="198" t="s">
        <v>6337</v>
      </c>
      <c r="Y971" s="199" t="s">
        <v>82</v>
      </c>
      <c r="Z971" s="169" t="s">
        <v>7725</v>
      </c>
      <c r="AA971" s="170" t="s">
        <v>7618</v>
      </c>
      <c r="AB971" s="243" t="s">
        <v>1330</v>
      </c>
      <c r="AC971" s="172">
        <v>7444.18</v>
      </c>
    </row>
    <row r="972" spans="1:30" s="200" customFormat="1" ht="135" x14ac:dyDescent="0.25">
      <c r="A972" s="566">
        <v>45706</v>
      </c>
      <c r="B972" s="493" t="s">
        <v>7726</v>
      </c>
      <c r="C972" s="494" t="s">
        <v>7727</v>
      </c>
      <c r="D972" s="494" t="s">
        <v>7728</v>
      </c>
      <c r="E972" s="495" t="s">
        <v>39</v>
      </c>
      <c r="F972" s="497"/>
      <c r="G972" s="497"/>
      <c r="H972" s="563" t="s">
        <v>1572</v>
      </c>
      <c r="I972" s="245" t="s">
        <v>7729</v>
      </c>
      <c r="J972" s="499">
        <v>100</v>
      </c>
      <c r="K972" s="646" t="s">
        <v>9975</v>
      </c>
      <c r="L972" s="500" t="s">
        <v>63</v>
      </c>
      <c r="M972" s="495" t="s">
        <v>42</v>
      </c>
      <c r="N972" s="502" t="s">
        <v>240</v>
      </c>
      <c r="O972" s="503"/>
      <c r="P972" s="503"/>
      <c r="Q972" s="503" t="s">
        <v>7730</v>
      </c>
      <c r="R972" s="504">
        <v>14</v>
      </c>
      <c r="S972" s="504">
        <v>29</v>
      </c>
      <c r="T972" s="495" t="s">
        <v>96</v>
      </c>
      <c r="U972" s="495">
        <v>7</v>
      </c>
      <c r="V972" s="75">
        <f t="shared" si="27"/>
        <v>700</v>
      </c>
      <c r="W972" s="495" t="s">
        <v>350</v>
      </c>
      <c r="X972" s="198" t="s">
        <v>7731</v>
      </c>
      <c r="Y972" s="199" t="s">
        <v>50</v>
      </c>
      <c r="Z972" s="169" t="s">
        <v>7445</v>
      </c>
      <c r="AA972" s="170" t="s">
        <v>7546</v>
      </c>
      <c r="AB972" s="243" t="s">
        <v>7547</v>
      </c>
      <c r="AC972" s="172">
        <v>6990</v>
      </c>
    </row>
    <row r="973" spans="1:30" s="200" customFormat="1" ht="135" x14ac:dyDescent="0.25">
      <c r="A973" s="566">
        <v>45706</v>
      </c>
      <c r="B973" s="281" t="s">
        <v>7732</v>
      </c>
      <c r="C973" s="639" t="s">
        <v>7733</v>
      </c>
      <c r="D973" s="552" t="s">
        <v>7734</v>
      </c>
      <c r="E973" s="647" t="s">
        <v>39</v>
      </c>
      <c r="F973" s="19">
        <v>1</v>
      </c>
      <c r="G973" s="467"/>
      <c r="H973" s="467"/>
      <c r="I973" s="245" t="s">
        <v>7735</v>
      </c>
      <c r="J973" s="45">
        <v>285</v>
      </c>
      <c r="K973" s="46" t="s">
        <v>9974</v>
      </c>
      <c r="L973" s="632" t="s">
        <v>63</v>
      </c>
      <c r="M973" s="42" t="s">
        <v>42</v>
      </c>
      <c r="N973" s="77" t="s">
        <v>7736</v>
      </c>
      <c r="O973" s="49" t="s">
        <v>7737</v>
      </c>
      <c r="P973" s="49" t="s">
        <v>7738</v>
      </c>
      <c r="Q973" s="49" t="s">
        <v>7739</v>
      </c>
      <c r="R973" s="50">
        <v>68</v>
      </c>
      <c r="S973" s="50">
        <v>174</v>
      </c>
      <c r="T973" s="51" t="s">
        <v>47</v>
      </c>
      <c r="U973" s="51">
        <v>5</v>
      </c>
      <c r="V973" s="75">
        <f t="shared" si="27"/>
        <v>1425</v>
      </c>
      <c r="W973" s="51" t="s">
        <v>7012</v>
      </c>
      <c r="X973" s="198" t="s">
        <v>467</v>
      </c>
      <c r="Y973" s="199" t="s">
        <v>82</v>
      </c>
      <c r="Z973" s="169" t="s">
        <v>7419</v>
      </c>
      <c r="AA973" s="170" t="s">
        <v>7420</v>
      </c>
      <c r="AB973" s="243" t="s">
        <v>435</v>
      </c>
      <c r="AC973" s="172">
        <v>14477.65</v>
      </c>
    </row>
    <row r="974" spans="1:30" s="200" customFormat="1" ht="135" x14ac:dyDescent="0.25">
      <c r="A974" s="566">
        <v>45702</v>
      </c>
      <c r="B974" s="648" t="s">
        <v>7740</v>
      </c>
      <c r="C974" s="649" t="s">
        <v>7741</v>
      </c>
      <c r="D974" s="648"/>
      <c r="E974" s="650" t="s">
        <v>195</v>
      </c>
      <c r="F974" s="651"/>
      <c r="G974" s="651"/>
      <c r="H974" s="651"/>
      <c r="I974" s="652" t="s">
        <v>7742</v>
      </c>
      <c r="J974" s="653">
        <v>5</v>
      </c>
      <c r="K974" s="654" t="s">
        <v>7102</v>
      </c>
      <c r="L974" s="655"/>
      <c r="M974" s="656" t="s">
        <v>42</v>
      </c>
      <c r="N974" s="657" t="s">
        <v>7743</v>
      </c>
      <c r="O974" s="658"/>
      <c r="P974" s="658"/>
      <c r="Q974" s="658"/>
      <c r="R974" s="659">
        <v>96</v>
      </c>
      <c r="S974" s="659">
        <v>1239</v>
      </c>
      <c r="T974" s="660"/>
      <c r="U974" s="660">
        <v>236</v>
      </c>
      <c r="V974" s="661">
        <f t="shared" si="27"/>
        <v>1180</v>
      </c>
      <c r="W974" s="662" t="s">
        <v>350</v>
      </c>
      <c r="X974" s="663" t="s">
        <v>7744</v>
      </c>
      <c r="Y974" s="527" t="s">
        <v>82</v>
      </c>
      <c r="Z974" s="664"/>
      <c r="AA974" s="665" t="s">
        <v>2355</v>
      </c>
      <c r="AB974" s="666" t="s">
        <v>7745</v>
      </c>
      <c r="AD974" s="667"/>
    </row>
    <row r="975" spans="1:30" ht="60" customHeight="1" x14ac:dyDescent="0.25">
      <c r="A975" s="566">
        <v>45702</v>
      </c>
      <c r="B975" s="41"/>
      <c r="C975" s="41" t="s">
        <v>6842</v>
      </c>
      <c r="D975" s="41" t="s">
        <v>6843</v>
      </c>
      <c r="E975" s="42" t="s">
        <v>39</v>
      </c>
      <c r="F975" s="19">
        <v>1</v>
      </c>
      <c r="G975" s="43"/>
      <c r="H975" s="43"/>
      <c r="I975" s="245" t="s">
        <v>7746</v>
      </c>
      <c r="J975" s="45">
        <v>50</v>
      </c>
      <c r="K975" s="46" t="s">
        <v>7747</v>
      </c>
      <c r="L975" s="47" t="s">
        <v>63</v>
      </c>
      <c r="M975" s="42" t="s">
        <v>42</v>
      </c>
      <c r="N975" s="77" t="s">
        <v>6845</v>
      </c>
      <c r="O975" s="49" t="s">
        <v>6846</v>
      </c>
      <c r="P975" s="49" t="s">
        <v>6847</v>
      </c>
      <c r="Q975" s="49" t="s">
        <v>6848</v>
      </c>
      <c r="R975" s="50">
        <v>55</v>
      </c>
      <c r="S975" s="50">
        <v>317</v>
      </c>
      <c r="T975" s="51" t="s">
        <v>549</v>
      </c>
      <c r="U975" s="51">
        <v>37</v>
      </c>
      <c r="V975" s="75">
        <f t="shared" si="27"/>
        <v>1850</v>
      </c>
      <c r="W975" s="51" t="s">
        <v>3973</v>
      </c>
      <c r="X975" s="198" t="s">
        <v>6849</v>
      </c>
      <c r="Y975" s="199" t="s">
        <v>144</v>
      </c>
      <c r="Z975" s="169" t="s">
        <v>6850</v>
      </c>
      <c r="AA975" s="170" t="s">
        <v>1567</v>
      </c>
      <c r="AB975" s="243" t="s">
        <v>6817</v>
      </c>
      <c r="AC975" s="35">
        <f>12122/2</f>
        <v>6061</v>
      </c>
    </row>
    <row r="976" spans="1:30" ht="60" customHeight="1" x14ac:dyDescent="0.25">
      <c r="A976" s="566">
        <v>45702</v>
      </c>
      <c r="B976" s="71"/>
      <c r="C976" s="281" t="s">
        <v>6851</v>
      </c>
      <c r="D976" s="552" t="s">
        <v>6852</v>
      </c>
      <c r="E976" s="42" t="s">
        <v>39</v>
      </c>
      <c r="F976" s="19">
        <v>1</v>
      </c>
      <c r="G976" s="467"/>
      <c r="H976" s="467"/>
      <c r="I976" s="245" t="s">
        <v>7748</v>
      </c>
      <c r="J976" s="45">
        <v>50</v>
      </c>
      <c r="K976" s="46" t="s">
        <v>7747</v>
      </c>
      <c r="L976" s="47" t="s">
        <v>63</v>
      </c>
      <c r="M976" s="42" t="s">
        <v>42</v>
      </c>
      <c r="N976" s="77" t="s">
        <v>6845</v>
      </c>
      <c r="O976" s="49" t="s">
        <v>6853</v>
      </c>
      <c r="P976" s="49" t="s">
        <v>6854</v>
      </c>
      <c r="Q976" s="49" t="s">
        <v>6855</v>
      </c>
      <c r="R976" s="50">
        <v>47</v>
      </c>
      <c r="S976" s="50">
        <v>222</v>
      </c>
      <c r="T976" s="51" t="s">
        <v>549</v>
      </c>
      <c r="U976" s="51">
        <v>41</v>
      </c>
      <c r="V976" s="75">
        <f t="shared" si="27"/>
        <v>2050</v>
      </c>
      <c r="W976" s="51" t="s">
        <v>3973</v>
      </c>
      <c r="X976" s="198" t="s">
        <v>6849</v>
      </c>
      <c r="Y976" s="168" t="s">
        <v>144</v>
      </c>
      <c r="Z976" s="169" t="s">
        <v>6850</v>
      </c>
      <c r="AA976" s="170" t="s">
        <v>1567</v>
      </c>
      <c r="AB976" s="243" t="s">
        <v>6817</v>
      </c>
      <c r="AC976" s="35">
        <f>10264/2</f>
        <v>5132</v>
      </c>
    </row>
    <row r="977" spans="1:29" ht="225" x14ac:dyDescent="0.25">
      <c r="A977" s="566">
        <v>45702</v>
      </c>
      <c r="B977" s="164" t="s">
        <v>7749</v>
      </c>
      <c r="C977" s="41" t="s">
        <v>7750</v>
      </c>
      <c r="D977" s="628" t="s">
        <v>7751</v>
      </c>
      <c r="E977" s="42" t="s">
        <v>39</v>
      </c>
      <c r="F977" s="19">
        <v>1</v>
      </c>
      <c r="G977" s="43"/>
      <c r="H977" s="43"/>
      <c r="I977" s="245" t="s">
        <v>7752</v>
      </c>
      <c r="J977" s="45">
        <v>50</v>
      </c>
      <c r="K977" s="46" t="s">
        <v>7753</v>
      </c>
      <c r="L977" s="277" t="s">
        <v>63</v>
      </c>
      <c r="M977" s="42" t="s">
        <v>42</v>
      </c>
      <c r="N977" s="77" t="s">
        <v>7754</v>
      </c>
      <c r="O977" s="49" t="s">
        <v>7755</v>
      </c>
      <c r="P977" s="49" t="s">
        <v>7715</v>
      </c>
      <c r="Q977" s="49" t="s">
        <v>7756</v>
      </c>
      <c r="R977" s="50">
        <v>25</v>
      </c>
      <c r="S977" s="50">
        <v>38</v>
      </c>
      <c r="T977" s="51" t="s">
        <v>47</v>
      </c>
      <c r="U977" s="51">
        <v>1</v>
      </c>
      <c r="V977" s="52">
        <f t="shared" si="27"/>
        <v>50</v>
      </c>
      <c r="W977" s="51" t="s">
        <v>3973</v>
      </c>
      <c r="X977" s="198" t="s">
        <v>7757</v>
      </c>
      <c r="Y977" s="168" t="s">
        <v>2880</v>
      </c>
      <c r="Z977" s="169" t="s">
        <v>7758</v>
      </c>
      <c r="AA977" s="170" t="s">
        <v>7051</v>
      </c>
      <c r="AB977" s="243" t="s">
        <v>944</v>
      </c>
      <c r="AC977" s="172">
        <v>3242.5</v>
      </c>
    </row>
    <row r="978" spans="1:29" s="200" customFormat="1" ht="99" customHeight="1" x14ac:dyDescent="0.25">
      <c r="A978" s="566">
        <v>45701</v>
      </c>
      <c r="B978" s="668" t="s">
        <v>7759</v>
      </c>
      <c r="C978" s="669" t="s">
        <v>7760</v>
      </c>
      <c r="D978" s="670" t="s">
        <v>7761</v>
      </c>
      <c r="E978" s="587" t="s">
        <v>39</v>
      </c>
      <c r="F978" s="19">
        <v>1</v>
      </c>
      <c r="G978" s="671"/>
      <c r="H978" s="671"/>
      <c r="I978" s="245" t="s">
        <v>7762</v>
      </c>
      <c r="J978" s="672">
        <v>150</v>
      </c>
      <c r="K978" s="673" t="s">
        <v>7763</v>
      </c>
      <c r="L978" s="674" t="s">
        <v>63</v>
      </c>
      <c r="M978" s="675" t="s">
        <v>42</v>
      </c>
      <c r="N978" s="676" t="s">
        <v>7764</v>
      </c>
      <c r="O978" s="593" t="s">
        <v>7765</v>
      </c>
      <c r="P978" s="593" t="s">
        <v>7766</v>
      </c>
      <c r="Q978" s="593" t="s">
        <v>7767</v>
      </c>
      <c r="R978" s="674">
        <v>44</v>
      </c>
      <c r="S978" s="674">
        <v>130</v>
      </c>
      <c r="T978" s="677" t="s">
        <v>47</v>
      </c>
      <c r="U978" s="677">
        <v>0</v>
      </c>
      <c r="V978" s="678">
        <f t="shared" si="27"/>
        <v>0</v>
      </c>
      <c r="W978" s="587" t="s">
        <v>350</v>
      </c>
      <c r="X978" s="616" t="s">
        <v>210</v>
      </c>
      <c r="Y978" s="199" t="s">
        <v>50</v>
      </c>
      <c r="Z978" s="169" t="s">
        <v>7356</v>
      </c>
      <c r="AA978" s="617" t="s">
        <v>7768</v>
      </c>
      <c r="AB978" s="618" t="s">
        <v>7769</v>
      </c>
      <c r="AC978" s="631">
        <f>7657*(J978/155)</f>
        <v>7410</v>
      </c>
    </row>
    <row r="979" spans="1:29" s="200" customFormat="1" ht="63" customHeight="1" x14ac:dyDescent="0.25">
      <c r="A979" s="566">
        <v>45701</v>
      </c>
      <c r="B979" s="668" t="s">
        <v>7759</v>
      </c>
      <c r="C979" s="669" t="s">
        <v>7770</v>
      </c>
      <c r="D979" s="586" t="s">
        <v>7771</v>
      </c>
      <c r="E979" s="587" t="s">
        <v>39</v>
      </c>
      <c r="F979" s="19">
        <v>1</v>
      </c>
      <c r="G979" s="671"/>
      <c r="H979" s="671"/>
      <c r="I979" s="245" t="s">
        <v>7772</v>
      </c>
      <c r="J979" s="672">
        <v>5</v>
      </c>
      <c r="K979" s="679" t="s">
        <v>7773</v>
      </c>
      <c r="L979" s="674" t="s">
        <v>63</v>
      </c>
      <c r="M979" s="675" t="s">
        <v>42</v>
      </c>
      <c r="N979" s="680" t="s">
        <v>7774</v>
      </c>
      <c r="O979" s="593" t="s">
        <v>7775</v>
      </c>
      <c r="P979" s="593" t="s">
        <v>7776</v>
      </c>
      <c r="Q979" s="593" t="s">
        <v>7777</v>
      </c>
      <c r="R979" s="674">
        <v>44</v>
      </c>
      <c r="S979" s="674">
        <v>130</v>
      </c>
      <c r="T979" s="677" t="s">
        <v>47</v>
      </c>
      <c r="U979" s="677">
        <v>0</v>
      </c>
      <c r="V979" s="678">
        <f t="shared" si="27"/>
        <v>0</v>
      </c>
      <c r="W979" s="587" t="s">
        <v>350</v>
      </c>
      <c r="X979" s="616" t="s">
        <v>210</v>
      </c>
      <c r="Y979" s="199" t="s">
        <v>50</v>
      </c>
      <c r="Z979" s="169" t="s">
        <v>7356</v>
      </c>
      <c r="AA979" s="617" t="s">
        <v>7768</v>
      </c>
      <c r="AB979" s="618" t="s">
        <v>7769</v>
      </c>
      <c r="AC979" s="631">
        <f>2500+900+(7657*J979/155)</f>
        <v>3647</v>
      </c>
    </row>
    <row r="980" spans="1:29" s="200" customFormat="1" ht="147.75" customHeight="1" x14ac:dyDescent="0.25">
      <c r="A980" s="566">
        <v>45700</v>
      </c>
      <c r="B980" s="82" t="s">
        <v>7778</v>
      </c>
      <c r="C980" s="41" t="s">
        <v>7779</v>
      </c>
      <c r="D980" s="41"/>
      <c r="E980" s="51" t="s">
        <v>39</v>
      </c>
      <c r="F980" s="19">
        <v>2</v>
      </c>
      <c r="G980" s="43"/>
      <c r="H980" s="43"/>
      <c r="I980" s="245" t="s">
        <v>7780</v>
      </c>
      <c r="J980" s="45">
        <v>5</v>
      </c>
      <c r="K980" s="46" t="s">
        <v>7781</v>
      </c>
      <c r="L980" s="47" t="s">
        <v>63</v>
      </c>
      <c r="M980" s="42" t="s">
        <v>42</v>
      </c>
      <c r="N980" s="77" t="s">
        <v>7782</v>
      </c>
      <c r="O980" s="49" t="s">
        <v>7783</v>
      </c>
      <c r="P980" s="49"/>
      <c r="Q980" s="278" t="s">
        <v>7784</v>
      </c>
      <c r="R980" s="50">
        <v>106</v>
      </c>
      <c r="S980" s="50">
        <v>540</v>
      </c>
      <c r="T980" s="51" t="s">
        <v>67</v>
      </c>
      <c r="U980" s="51">
        <v>1</v>
      </c>
      <c r="V980" s="52">
        <f t="shared" si="27"/>
        <v>5</v>
      </c>
      <c r="W980" s="51" t="s">
        <v>4564</v>
      </c>
      <c r="X980" s="198" t="s">
        <v>6248</v>
      </c>
      <c r="Y980" s="199" t="s">
        <v>82</v>
      </c>
      <c r="Z980" s="169" t="s">
        <v>7785</v>
      </c>
      <c r="AA980" s="170" t="s">
        <v>7618</v>
      </c>
      <c r="AB980" s="243" t="s">
        <v>1579</v>
      </c>
      <c r="AC980" s="172">
        <v>4463.25</v>
      </c>
    </row>
    <row r="981" spans="1:29" s="200" customFormat="1" ht="73.5" customHeight="1" x14ac:dyDescent="0.25">
      <c r="A981" s="566">
        <v>45700</v>
      </c>
      <c r="B981" s="644" t="s">
        <v>7786</v>
      </c>
      <c r="C981" s="41" t="s">
        <v>7787</v>
      </c>
      <c r="D981" s="41"/>
      <c r="E981" s="42" t="s">
        <v>39</v>
      </c>
      <c r="F981" s="43"/>
      <c r="G981" s="43"/>
      <c r="H981" s="147">
        <v>2</v>
      </c>
      <c r="I981" s="245" t="s">
        <v>7788</v>
      </c>
      <c r="J981" s="45">
        <v>5</v>
      </c>
      <c r="K981" s="46" t="s">
        <v>7781</v>
      </c>
      <c r="L981" s="47" t="s">
        <v>63</v>
      </c>
      <c r="M981" s="42" t="s">
        <v>42</v>
      </c>
      <c r="N981" s="77" t="s">
        <v>7789</v>
      </c>
      <c r="O981" s="49"/>
      <c r="P981" s="49"/>
      <c r="Q981" s="49" t="s">
        <v>7790</v>
      </c>
      <c r="R981" s="50">
        <v>20</v>
      </c>
      <c r="S981" s="50">
        <v>96</v>
      </c>
      <c r="T981" s="51" t="s">
        <v>96</v>
      </c>
      <c r="U981" s="51">
        <v>41</v>
      </c>
      <c r="V981" s="52">
        <f t="shared" si="27"/>
        <v>205</v>
      </c>
      <c r="W981" s="51" t="s">
        <v>350</v>
      </c>
      <c r="X981" s="198" t="s">
        <v>6607</v>
      </c>
      <c r="Y981" s="199" t="s">
        <v>82</v>
      </c>
      <c r="Z981" s="169" t="s">
        <v>7419</v>
      </c>
      <c r="AA981" s="170" t="s">
        <v>7673</v>
      </c>
      <c r="AB981" s="243" t="s">
        <v>7791</v>
      </c>
      <c r="AC981" s="172">
        <v>3640</v>
      </c>
    </row>
    <row r="982" spans="1:29" ht="78" customHeight="1" x14ac:dyDescent="0.25">
      <c r="A982" s="566">
        <v>45700</v>
      </c>
      <c r="B982" s="82" t="s">
        <v>7792</v>
      </c>
      <c r="C982" s="95" t="s">
        <v>7793</v>
      </c>
      <c r="D982" s="94" t="s">
        <v>7794</v>
      </c>
      <c r="E982" s="96" t="s">
        <v>39</v>
      </c>
      <c r="F982" s="97"/>
      <c r="G982" s="97"/>
      <c r="H982" s="147">
        <v>1</v>
      </c>
      <c r="I982" s="245" t="s">
        <v>7795</v>
      </c>
      <c r="J982" s="98">
        <v>25</v>
      </c>
      <c r="K982" s="165" t="s">
        <v>7796</v>
      </c>
      <c r="L982" s="100" t="s">
        <v>63</v>
      </c>
      <c r="M982" s="681" t="s">
        <v>42</v>
      </c>
      <c r="N982" s="101" t="s">
        <v>7797</v>
      </c>
      <c r="O982" s="102" t="s">
        <v>7798</v>
      </c>
      <c r="P982" s="102" t="s">
        <v>7799</v>
      </c>
      <c r="Q982" s="102" t="s">
        <v>7800</v>
      </c>
      <c r="R982" s="103">
        <v>65</v>
      </c>
      <c r="S982" s="103">
        <v>630</v>
      </c>
      <c r="T982" s="96" t="s">
        <v>47</v>
      </c>
      <c r="U982" s="96">
        <v>10</v>
      </c>
      <c r="V982" s="104">
        <f t="shared" si="27"/>
        <v>250</v>
      </c>
      <c r="W982" s="96" t="s">
        <v>142</v>
      </c>
      <c r="X982" s="198" t="s">
        <v>732</v>
      </c>
      <c r="Y982" s="168" t="s">
        <v>2880</v>
      </c>
      <c r="Z982" s="169" t="s">
        <v>7419</v>
      </c>
      <c r="AA982" s="170" t="s">
        <v>7051</v>
      </c>
      <c r="AB982" s="243" t="s">
        <v>944</v>
      </c>
      <c r="AC982" s="172">
        <v>8402</v>
      </c>
    </row>
    <row r="983" spans="1:29" s="307" customFormat="1" ht="90" x14ac:dyDescent="0.25">
      <c r="A983" s="566">
        <v>45700</v>
      </c>
      <c r="B983" s="41" t="s">
        <v>7801</v>
      </c>
      <c r="C983" s="41" t="s">
        <v>7802</v>
      </c>
      <c r="D983" s="41"/>
      <c r="E983" s="51" t="s">
        <v>39</v>
      </c>
      <c r="F983" s="19">
        <v>1</v>
      </c>
      <c r="G983" s="43"/>
      <c r="H983" s="43"/>
      <c r="I983" s="245" t="s">
        <v>7803</v>
      </c>
      <c r="J983" s="45">
        <v>100</v>
      </c>
      <c r="K983" s="46" t="s">
        <v>7781</v>
      </c>
      <c r="L983" s="47" t="s">
        <v>63</v>
      </c>
      <c r="M983" s="42" t="s">
        <v>42</v>
      </c>
      <c r="N983" s="77" t="s">
        <v>240</v>
      </c>
      <c r="O983" s="49" t="s">
        <v>7804</v>
      </c>
      <c r="P983" s="49" t="s">
        <v>7805</v>
      </c>
      <c r="Q983" s="49" t="s">
        <v>7806</v>
      </c>
      <c r="R983" s="50">
        <v>24</v>
      </c>
      <c r="S983" s="50">
        <v>42</v>
      </c>
      <c r="T983" s="51" t="s">
        <v>96</v>
      </c>
      <c r="U983" s="51">
        <v>6</v>
      </c>
      <c r="V983" s="52">
        <f t="shared" si="27"/>
        <v>600</v>
      </c>
      <c r="W983" s="51" t="s">
        <v>350</v>
      </c>
      <c r="X983" s="198" t="s">
        <v>7807</v>
      </c>
      <c r="Y983" s="199" t="s">
        <v>5907</v>
      </c>
      <c r="Z983" s="169" t="s">
        <v>7445</v>
      </c>
      <c r="AA983" s="170" t="s">
        <v>7367</v>
      </c>
      <c r="AB983" s="243" t="s">
        <v>1479</v>
      </c>
      <c r="AC983" s="172">
        <v>2253</v>
      </c>
    </row>
    <row r="984" spans="1:29" s="200" customFormat="1" ht="126" customHeight="1" x14ac:dyDescent="0.25">
      <c r="A984" s="566">
        <v>45700</v>
      </c>
      <c r="B984" s="605"/>
      <c r="C984" s="682" t="s">
        <v>7808</v>
      </c>
      <c r="D984" s="596" t="s">
        <v>7809</v>
      </c>
      <c r="E984" s="607" t="s">
        <v>39</v>
      </c>
      <c r="F984" s="467"/>
      <c r="G984" s="608"/>
      <c r="H984" s="19">
        <v>1</v>
      </c>
      <c r="I984" s="245" t="s">
        <v>7810</v>
      </c>
      <c r="J984" s="609">
        <v>25</v>
      </c>
      <c r="K984" s="610" t="s">
        <v>7811</v>
      </c>
      <c r="L984" s="611" t="s">
        <v>63</v>
      </c>
      <c r="M984" s="42"/>
      <c r="N984" s="401" t="s">
        <v>7812</v>
      </c>
      <c r="O984" s="51" t="s">
        <v>7813</v>
      </c>
      <c r="P984" s="49" t="s">
        <v>7814</v>
      </c>
      <c r="Q984" s="51" t="s">
        <v>7815</v>
      </c>
      <c r="R984" s="613">
        <v>159</v>
      </c>
      <c r="S984" s="613">
        <v>561</v>
      </c>
      <c r="T984" s="614" t="s">
        <v>2482</v>
      </c>
      <c r="U984" s="614">
        <v>47</v>
      </c>
      <c r="V984" s="630">
        <f t="shared" si="27"/>
        <v>1175</v>
      </c>
      <c r="W984" s="614" t="s">
        <v>221</v>
      </c>
      <c r="X984" s="616" t="s">
        <v>7816</v>
      </c>
      <c r="Y984" s="199" t="s">
        <v>144</v>
      </c>
      <c r="Z984" s="565"/>
      <c r="AA984" s="617" t="s">
        <v>7817</v>
      </c>
      <c r="AB984" s="618" t="s">
        <v>1394</v>
      </c>
      <c r="AC984" s="619">
        <v>8663.25</v>
      </c>
    </row>
    <row r="985" spans="1:29" s="200" customFormat="1" ht="275.25" customHeight="1" x14ac:dyDescent="0.25">
      <c r="A985" s="566">
        <v>45699</v>
      </c>
      <c r="B985" s="683"/>
      <c r="C985" s="684" t="s">
        <v>7818</v>
      </c>
      <c r="D985" s="685" t="s">
        <v>7819</v>
      </c>
      <c r="E985" s="155" t="s">
        <v>39</v>
      </c>
      <c r="F985" s="686"/>
      <c r="G985" s="686"/>
      <c r="H985" s="147">
        <v>1</v>
      </c>
      <c r="I985" s="523" t="s">
        <v>7820</v>
      </c>
      <c r="J985" s="687" t="s">
        <v>7821</v>
      </c>
      <c r="K985" s="688" t="s">
        <v>7822</v>
      </c>
      <c r="L985" s="151" t="s">
        <v>63</v>
      </c>
      <c r="M985" s="145" t="s">
        <v>42</v>
      </c>
      <c r="N985" s="689" t="s">
        <v>7823</v>
      </c>
      <c r="O985" s="153" t="s">
        <v>7824</v>
      </c>
      <c r="P985" s="153" t="s">
        <v>7825</v>
      </c>
      <c r="Q985" s="153" t="s">
        <v>7790</v>
      </c>
      <c r="R985" s="154">
        <v>6</v>
      </c>
      <c r="S985" s="154">
        <v>14</v>
      </c>
      <c r="T985" s="155" t="s">
        <v>47</v>
      </c>
      <c r="U985" s="155">
        <v>0</v>
      </c>
      <c r="V985" s="156">
        <f>U985*180</f>
        <v>0</v>
      </c>
      <c r="W985" s="155" t="s">
        <v>142</v>
      </c>
      <c r="X985" s="526" t="s">
        <v>1243</v>
      </c>
      <c r="Y985" s="527" t="s">
        <v>7004</v>
      </c>
      <c r="Z985" s="664"/>
      <c r="AA985" s="529" t="s">
        <v>7826</v>
      </c>
      <c r="AB985" s="530" t="s">
        <v>2430</v>
      </c>
      <c r="AC985" s="162">
        <f>6555*(180/750)</f>
        <v>1573.2</v>
      </c>
    </row>
    <row r="986" spans="1:29" s="200" customFormat="1" ht="152.25" customHeight="1" x14ac:dyDescent="0.25">
      <c r="A986" s="566">
        <v>45699</v>
      </c>
      <c r="B986" s="95" t="s">
        <v>7801</v>
      </c>
      <c r="C986" s="95" t="s">
        <v>7827</v>
      </c>
      <c r="D986" s="95" t="s">
        <v>7828</v>
      </c>
      <c r="E986" s="96" t="s">
        <v>39</v>
      </c>
      <c r="F986" s="19">
        <v>1</v>
      </c>
      <c r="G986" s="97"/>
      <c r="H986" s="97"/>
      <c r="I986" s="245" t="s">
        <v>7829</v>
      </c>
      <c r="J986" s="98">
        <v>5</v>
      </c>
      <c r="K986" s="99" t="s">
        <v>7830</v>
      </c>
      <c r="L986" s="100" t="s">
        <v>63</v>
      </c>
      <c r="M986" s="100" t="s">
        <v>42</v>
      </c>
      <c r="N986" s="101" t="s">
        <v>240</v>
      </c>
      <c r="O986" s="102" t="s">
        <v>7831</v>
      </c>
      <c r="P986" s="102" t="s">
        <v>7832</v>
      </c>
      <c r="Q986" s="102" t="s">
        <v>7784</v>
      </c>
      <c r="R986" s="103">
        <v>4</v>
      </c>
      <c r="S986" s="103">
        <v>164</v>
      </c>
      <c r="T986" s="96" t="s">
        <v>47</v>
      </c>
      <c r="U986" s="96">
        <v>405</v>
      </c>
      <c r="V986" s="75">
        <f>U986*J986</f>
        <v>2025</v>
      </c>
      <c r="W986" s="96" t="s">
        <v>350</v>
      </c>
      <c r="X986" s="198" t="s">
        <v>7833</v>
      </c>
      <c r="Y986" s="199" t="s">
        <v>82</v>
      </c>
      <c r="Z986" s="169" t="s">
        <v>7229</v>
      </c>
      <c r="AA986" s="170" t="s">
        <v>774</v>
      </c>
      <c r="AB986" s="243" t="s">
        <v>1479</v>
      </c>
      <c r="AC986" s="172">
        <v>9275</v>
      </c>
    </row>
    <row r="987" spans="1:29" s="200" customFormat="1" ht="106.5" customHeight="1" x14ac:dyDescent="0.25">
      <c r="A987" s="566">
        <v>45699</v>
      </c>
      <c r="B987" s="174" t="s">
        <v>7834</v>
      </c>
      <c r="C987" s="174" t="s">
        <v>7835</v>
      </c>
      <c r="D987" s="174" t="s">
        <v>7836</v>
      </c>
      <c r="E987" s="96" t="s">
        <v>39</v>
      </c>
      <c r="F987" s="97"/>
      <c r="G987" s="97"/>
      <c r="H987" s="147">
        <v>1</v>
      </c>
      <c r="I987" s="245" t="s">
        <v>7837</v>
      </c>
      <c r="J987" s="98">
        <v>50</v>
      </c>
      <c r="K987" s="99" t="s">
        <v>7830</v>
      </c>
      <c r="L987" s="100" t="s">
        <v>63</v>
      </c>
      <c r="M987" s="100" t="s">
        <v>42</v>
      </c>
      <c r="N987" s="101" t="s">
        <v>7838</v>
      </c>
      <c r="O987" s="102" t="s">
        <v>7839</v>
      </c>
      <c r="P987" s="102"/>
      <c r="Q987" s="102" t="s">
        <v>7840</v>
      </c>
      <c r="R987" s="103">
        <v>42</v>
      </c>
      <c r="S987" s="103">
        <v>68</v>
      </c>
      <c r="T987" s="96" t="s">
        <v>96</v>
      </c>
      <c r="U987" s="96">
        <v>13</v>
      </c>
      <c r="V987" s="75">
        <f>U987*J987</f>
        <v>650</v>
      </c>
      <c r="W987" s="96" t="s">
        <v>3973</v>
      </c>
      <c r="X987" s="198" t="s">
        <v>111</v>
      </c>
      <c r="Y987" s="199" t="s">
        <v>2880</v>
      </c>
      <c r="Z987" s="169" t="s">
        <v>7841</v>
      </c>
      <c r="AA987" s="170" t="s">
        <v>774</v>
      </c>
      <c r="AB987" s="243" t="s">
        <v>897</v>
      </c>
      <c r="AC987" s="172">
        <v>4657.5</v>
      </c>
    </row>
    <row r="988" spans="1:29" s="200" customFormat="1" ht="62.25" customHeight="1" x14ac:dyDescent="0.25">
      <c r="A988" s="566">
        <v>45698</v>
      </c>
      <c r="B988" s="41" t="s">
        <v>7842</v>
      </c>
      <c r="C988" s="41" t="s">
        <v>7843</v>
      </c>
      <c r="D988" s="41"/>
      <c r="E988" s="42" t="s">
        <v>39</v>
      </c>
      <c r="F988" s="19">
        <v>1</v>
      </c>
      <c r="G988" s="471"/>
      <c r="H988" s="43"/>
      <c r="I988" s="245" t="s">
        <v>7844</v>
      </c>
      <c r="J988" s="45">
        <v>1000</v>
      </c>
      <c r="K988" s="46" t="s">
        <v>7845</v>
      </c>
      <c r="L988" s="47" t="s">
        <v>63</v>
      </c>
      <c r="M988" s="42" t="s">
        <v>42</v>
      </c>
      <c r="N988" s="77" t="s">
        <v>154</v>
      </c>
      <c r="O988" s="49" t="s">
        <v>7846</v>
      </c>
      <c r="P988" s="49"/>
      <c r="Q988" s="49" t="s">
        <v>7847</v>
      </c>
      <c r="R988" s="50">
        <v>16</v>
      </c>
      <c r="S988" s="50">
        <v>31</v>
      </c>
      <c r="T988" s="51" t="s">
        <v>158</v>
      </c>
      <c r="U988" s="51">
        <v>5</v>
      </c>
      <c r="V988" s="75">
        <f>U988*J988</f>
        <v>5000</v>
      </c>
      <c r="W988" s="51" t="s">
        <v>68</v>
      </c>
      <c r="X988" s="198" t="s">
        <v>7848</v>
      </c>
      <c r="Y988" s="199" t="s">
        <v>82</v>
      </c>
      <c r="Z988" s="169" t="s">
        <v>154</v>
      </c>
      <c r="AA988" s="170" t="s">
        <v>6927</v>
      </c>
      <c r="AB988" s="243" t="s">
        <v>485</v>
      </c>
      <c r="AC988" s="172">
        <v>12130</v>
      </c>
    </row>
    <row r="989" spans="1:29" s="200" customFormat="1" ht="48" customHeight="1" x14ac:dyDescent="0.25">
      <c r="A989" s="566">
        <v>45698</v>
      </c>
      <c r="B989" s="644" t="s">
        <v>7849</v>
      </c>
      <c r="C989" s="41" t="s">
        <v>7850</v>
      </c>
      <c r="D989" s="41" t="s">
        <v>7851</v>
      </c>
      <c r="E989" s="42" t="s">
        <v>39</v>
      </c>
      <c r="F989" s="19">
        <v>1</v>
      </c>
      <c r="G989" s="43"/>
      <c r="H989" s="43"/>
      <c r="I989" s="245" t="s">
        <v>7852</v>
      </c>
      <c r="J989" s="45">
        <v>20</v>
      </c>
      <c r="K989" s="46" t="s">
        <v>7781</v>
      </c>
      <c r="L989" s="47" t="s">
        <v>63</v>
      </c>
      <c r="M989" s="42" t="s">
        <v>42</v>
      </c>
      <c r="N989" s="77" t="s">
        <v>7853</v>
      </c>
      <c r="O989" s="49" t="s">
        <v>7854</v>
      </c>
      <c r="P989" s="49" t="s">
        <v>7680</v>
      </c>
      <c r="Q989" s="49" t="s">
        <v>7855</v>
      </c>
      <c r="R989" s="50">
        <v>58</v>
      </c>
      <c r="S989" s="50">
        <v>332</v>
      </c>
      <c r="T989" s="51" t="s">
        <v>47</v>
      </c>
      <c r="U989" s="51">
        <v>0</v>
      </c>
      <c r="V989" s="52">
        <f>U989*J989</f>
        <v>0</v>
      </c>
      <c r="W989" s="51" t="s">
        <v>350</v>
      </c>
      <c r="X989" s="198" t="s">
        <v>2127</v>
      </c>
      <c r="Y989" s="199" t="s">
        <v>2880</v>
      </c>
      <c r="Z989" s="169" t="s">
        <v>7856</v>
      </c>
      <c r="AA989" s="170" t="s">
        <v>7618</v>
      </c>
      <c r="AB989" s="243" t="s">
        <v>1330</v>
      </c>
      <c r="AC989" s="172">
        <v>2257.6</v>
      </c>
    </row>
    <row r="990" spans="1:29" ht="76.5" customHeight="1" x14ac:dyDescent="0.25">
      <c r="A990" s="566">
        <v>45695</v>
      </c>
      <c r="B990" s="41" t="s">
        <v>7857</v>
      </c>
      <c r="C990" s="41" t="s">
        <v>7858</v>
      </c>
      <c r="D990" s="41" t="s">
        <v>7859</v>
      </c>
      <c r="E990" s="42" t="s">
        <v>39</v>
      </c>
      <c r="F990" s="43"/>
      <c r="G990" s="43"/>
      <c r="H990" s="563" t="s">
        <v>1586</v>
      </c>
      <c r="I990" s="245" t="s">
        <v>7860</v>
      </c>
      <c r="J990" s="45">
        <v>279</v>
      </c>
      <c r="K990" s="46" t="s">
        <v>7861</v>
      </c>
      <c r="L990" s="47" t="s">
        <v>63</v>
      </c>
      <c r="M990" s="42" t="s">
        <v>42</v>
      </c>
      <c r="N990" s="77" t="s">
        <v>7862</v>
      </c>
      <c r="O990" s="49" t="s">
        <v>7863</v>
      </c>
      <c r="P990" s="49"/>
      <c r="Q990" s="49" t="s">
        <v>7864</v>
      </c>
      <c r="R990" s="50">
        <v>1</v>
      </c>
      <c r="S990" s="50">
        <v>1</v>
      </c>
      <c r="T990" s="51" t="s">
        <v>96</v>
      </c>
      <c r="U990" s="51">
        <v>0</v>
      </c>
      <c r="V990" s="52">
        <f>U990*J990</f>
        <v>0</v>
      </c>
      <c r="W990" s="51" t="s">
        <v>68</v>
      </c>
      <c r="X990" s="198" t="s">
        <v>4692</v>
      </c>
      <c r="Y990" s="168" t="s">
        <v>7004</v>
      </c>
      <c r="Z990" s="643" t="s">
        <v>4664</v>
      </c>
      <c r="AA990" s="170" t="s">
        <v>6927</v>
      </c>
      <c r="AB990" s="243" t="s">
        <v>7717</v>
      </c>
      <c r="AC990" s="35">
        <f>800+(4276.8*J990/360)</f>
        <v>4114.5200000000004</v>
      </c>
    </row>
    <row r="991" spans="1:29" s="200" customFormat="1" ht="89.25" customHeight="1" x14ac:dyDescent="0.25">
      <c r="A991" s="566">
        <v>45695</v>
      </c>
      <c r="B991" s="605"/>
      <c r="C991" s="596" t="s">
        <v>7865</v>
      </c>
      <c r="D991" s="596" t="s">
        <v>7866</v>
      </c>
      <c r="E991" s="607" t="s">
        <v>39</v>
      </c>
      <c r="F991" s="19">
        <v>1</v>
      </c>
      <c r="G991" s="608"/>
      <c r="H991" s="608"/>
      <c r="I991" s="245" t="s">
        <v>7867</v>
      </c>
      <c r="J991" s="609">
        <f>50-34</f>
        <v>16</v>
      </c>
      <c r="K991" s="610" t="s">
        <v>7868</v>
      </c>
      <c r="L991" s="611" t="s">
        <v>63</v>
      </c>
      <c r="M991" s="42" t="s">
        <v>42</v>
      </c>
      <c r="N991" s="690" t="s">
        <v>7869</v>
      </c>
      <c r="O991" s="49" t="s">
        <v>7870</v>
      </c>
      <c r="P991" s="49" t="s">
        <v>7871</v>
      </c>
      <c r="Q991" s="51" t="s">
        <v>7872</v>
      </c>
      <c r="R991" s="613">
        <v>46</v>
      </c>
      <c r="S991" s="613">
        <v>356</v>
      </c>
      <c r="T991" s="614" t="s">
        <v>47</v>
      </c>
      <c r="U991" s="614">
        <v>6</v>
      </c>
      <c r="V991" s="615">
        <f>U991*98</f>
        <v>588</v>
      </c>
      <c r="W991" s="614" t="s">
        <v>68</v>
      </c>
      <c r="X991" s="616" t="s">
        <v>7873</v>
      </c>
      <c r="Y991" s="691"/>
      <c r="Z991" s="692"/>
      <c r="AA991" s="693" t="s">
        <v>1346</v>
      </c>
      <c r="AB991" s="618" t="s">
        <v>1016</v>
      </c>
      <c r="AC991" s="631">
        <f>36597.12 * (50 / 98)</f>
        <v>18672</v>
      </c>
    </row>
    <row r="992" spans="1:29" s="200" customFormat="1" ht="53.25" customHeight="1" x14ac:dyDescent="0.25">
      <c r="A992" s="566">
        <v>45695</v>
      </c>
      <c r="B992" s="41" t="s">
        <v>7874</v>
      </c>
      <c r="C992" s="164" t="s">
        <v>7875</v>
      </c>
      <c r="D992" s="41"/>
      <c r="E992" s="42" t="s">
        <v>39</v>
      </c>
      <c r="F992" s="43"/>
      <c r="G992" s="43"/>
      <c r="H992" s="563" t="s">
        <v>1586</v>
      </c>
      <c r="I992" s="245" t="s">
        <v>7876</v>
      </c>
      <c r="J992" s="45">
        <v>11</v>
      </c>
      <c r="K992" s="46" t="s">
        <v>1643</v>
      </c>
      <c r="L992" s="47" t="s">
        <v>63</v>
      </c>
      <c r="M992" s="42" t="s">
        <v>42</v>
      </c>
      <c r="N992" s="77" t="s">
        <v>240</v>
      </c>
      <c r="O992" s="49" t="s">
        <v>7877</v>
      </c>
      <c r="P992" s="49" t="s">
        <v>7878</v>
      </c>
      <c r="Q992" s="49" t="s">
        <v>7879</v>
      </c>
      <c r="R992" s="50">
        <v>51</v>
      </c>
      <c r="S992" s="50">
        <v>556</v>
      </c>
      <c r="T992" s="51" t="s">
        <v>47</v>
      </c>
      <c r="U992" s="51">
        <v>8</v>
      </c>
      <c r="V992" s="52">
        <f>U992*J992</f>
        <v>88</v>
      </c>
      <c r="W992" s="51" t="s">
        <v>350</v>
      </c>
      <c r="X992" s="694" t="s">
        <v>7880</v>
      </c>
      <c r="Y992" s="199" t="s">
        <v>82</v>
      </c>
      <c r="Z992" s="169" t="s">
        <v>7331</v>
      </c>
      <c r="AA992" s="170" t="s">
        <v>7881</v>
      </c>
      <c r="AB992" s="243" t="s">
        <v>1781</v>
      </c>
      <c r="AC992" s="172">
        <v>4635.84</v>
      </c>
    </row>
    <row r="993" spans="1:31" s="200" customFormat="1" ht="59.25" customHeight="1" x14ac:dyDescent="0.25">
      <c r="A993" s="566">
        <v>45694</v>
      </c>
      <c r="B993" s="164" t="s">
        <v>6115</v>
      </c>
      <c r="C993" s="41" t="s">
        <v>7882</v>
      </c>
      <c r="D993" s="41"/>
      <c r="E993" s="42" t="s">
        <v>39</v>
      </c>
      <c r="F993" s="43"/>
      <c r="G993" s="43"/>
      <c r="H993" s="563" t="s">
        <v>1586</v>
      </c>
      <c r="I993" s="245" t="s">
        <v>7883</v>
      </c>
      <c r="J993" s="45">
        <v>20</v>
      </c>
      <c r="K993" s="46" t="s">
        <v>7884</v>
      </c>
      <c r="L993" s="47" t="s">
        <v>63</v>
      </c>
      <c r="M993" s="42" t="s">
        <v>42</v>
      </c>
      <c r="N993" s="77" t="s">
        <v>7885</v>
      </c>
      <c r="O993" s="49" t="s">
        <v>7886</v>
      </c>
      <c r="P993" s="49"/>
      <c r="Q993" s="49" t="s">
        <v>7887</v>
      </c>
      <c r="R993" s="50">
        <v>29</v>
      </c>
      <c r="S993" s="50">
        <v>126</v>
      </c>
      <c r="T993" s="51" t="s">
        <v>96</v>
      </c>
      <c r="U993" s="51">
        <v>5</v>
      </c>
      <c r="V993" s="52">
        <f>U993*J993</f>
        <v>100</v>
      </c>
      <c r="W993" s="51" t="s">
        <v>350</v>
      </c>
      <c r="X993" s="198" t="s">
        <v>934</v>
      </c>
      <c r="Y993" s="199" t="s">
        <v>82</v>
      </c>
      <c r="Z993" s="169" t="s">
        <v>7331</v>
      </c>
      <c r="AA993" s="170" t="s">
        <v>7618</v>
      </c>
      <c r="AB993" s="243" t="s">
        <v>1330</v>
      </c>
      <c r="AC993" s="172">
        <v>3843</v>
      </c>
    </row>
    <row r="994" spans="1:31" s="708" customFormat="1" ht="143.25" customHeight="1" x14ac:dyDescent="0.25">
      <c r="A994" s="566">
        <v>45694</v>
      </c>
      <c r="B994" s="695" t="s">
        <v>7888</v>
      </c>
      <c r="C994" s="696" t="s">
        <v>7889</v>
      </c>
      <c r="D994" s="144" t="s">
        <v>7890</v>
      </c>
      <c r="E994" s="697" t="s">
        <v>39</v>
      </c>
      <c r="F994" s="698"/>
      <c r="G994" s="698"/>
      <c r="H994" s="699" t="s">
        <v>1586</v>
      </c>
      <c r="I994" s="523" t="s">
        <v>7891</v>
      </c>
      <c r="J994" s="700">
        <v>5</v>
      </c>
      <c r="K994" s="701" t="s">
        <v>7892</v>
      </c>
      <c r="L994" s="42" t="s">
        <v>63</v>
      </c>
      <c r="M994" s="42" t="s">
        <v>42</v>
      </c>
      <c r="N994" s="152" t="s">
        <v>7893</v>
      </c>
      <c r="O994" s="702" t="s">
        <v>7894</v>
      </c>
      <c r="P994" s="702" t="s">
        <v>7895</v>
      </c>
      <c r="Q994" s="703" t="s">
        <v>7896</v>
      </c>
      <c r="R994" s="42">
        <v>57</v>
      </c>
      <c r="S994" s="42">
        <v>233</v>
      </c>
      <c r="T994" s="42" t="s">
        <v>47</v>
      </c>
      <c r="U994" s="42">
        <v>19</v>
      </c>
      <c r="V994" s="42">
        <v>95</v>
      </c>
      <c r="W994" s="31" t="s">
        <v>68</v>
      </c>
      <c r="X994" s="704" t="s">
        <v>7390</v>
      </c>
      <c r="Y994" s="691" t="s">
        <v>50</v>
      </c>
      <c r="Z994" s="169" t="s">
        <v>7331</v>
      </c>
      <c r="AA994" s="705" t="s">
        <v>3503</v>
      </c>
      <c r="AB994" s="706">
        <v>45561</v>
      </c>
      <c r="AC994" s="707">
        <f>900 + 1460</f>
        <v>2360</v>
      </c>
    </row>
    <row r="995" spans="1:31" s="200" customFormat="1" ht="139.5" customHeight="1" x14ac:dyDescent="0.25">
      <c r="A995" s="566">
        <v>45694</v>
      </c>
      <c r="B995" s="41" t="s">
        <v>7381</v>
      </c>
      <c r="C995" s="82" t="s">
        <v>7897</v>
      </c>
      <c r="D995" s="82" t="s">
        <v>7898</v>
      </c>
      <c r="E995" s="51" t="s">
        <v>39</v>
      </c>
      <c r="F995" s="43"/>
      <c r="G995" s="43"/>
      <c r="H995" s="563" t="s">
        <v>1586</v>
      </c>
      <c r="I995" s="245" t="s">
        <v>7899</v>
      </c>
      <c r="J995" s="45">
        <v>2</v>
      </c>
      <c r="K995" s="46" t="s">
        <v>7900</v>
      </c>
      <c r="L995" s="47" t="s">
        <v>63</v>
      </c>
      <c r="M995" s="42" t="s">
        <v>42</v>
      </c>
      <c r="N995" s="77" t="s">
        <v>7901</v>
      </c>
      <c r="O995" s="49" t="s">
        <v>7902</v>
      </c>
      <c r="P995" s="49" t="s">
        <v>7903</v>
      </c>
      <c r="Q995" s="49" t="s">
        <v>7904</v>
      </c>
      <c r="R995" s="50">
        <v>91</v>
      </c>
      <c r="S995" s="50">
        <v>377</v>
      </c>
      <c r="T995" s="51" t="s">
        <v>47</v>
      </c>
      <c r="U995" s="51">
        <v>158</v>
      </c>
      <c r="V995" s="52">
        <f>U995*J995</f>
        <v>316</v>
      </c>
      <c r="W995" s="51" t="s">
        <v>350</v>
      </c>
      <c r="X995" s="198" t="s">
        <v>7905</v>
      </c>
      <c r="Y995" s="199" t="s">
        <v>50</v>
      </c>
      <c r="Z995" s="169" t="s">
        <v>7906</v>
      </c>
      <c r="AA995" s="170" t="s">
        <v>7618</v>
      </c>
      <c r="AB995" s="243" t="s">
        <v>7907</v>
      </c>
      <c r="AC995" s="172">
        <v>5000</v>
      </c>
    </row>
    <row r="996" spans="1:31" s="200" customFormat="1" ht="109.5" customHeight="1" x14ac:dyDescent="0.25">
      <c r="A996" s="566">
        <v>45693</v>
      </c>
      <c r="B996" s="709" t="s">
        <v>7908</v>
      </c>
      <c r="C996" s="710" t="s">
        <v>7909</v>
      </c>
      <c r="D996" s="711" t="s">
        <v>7910</v>
      </c>
      <c r="E996" s="712" t="s">
        <v>39</v>
      </c>
      <c r="F996" s="228">
        <v>1</v>
      </c>
      <c r="G996" s="713"/>
      <c r="H996" s="713"/>
      <c r="I996" s="351" t="s">
        <v>7911</v>
      </c>
      <c r="J996" s="714">
        <v>85</v>
      </c>
      <c r="K996" s="715" t="s">
        <v>7912</v>
      </c>
      <c r="L996" s="716" t="s">
        <v>63</v>
      </c>
      <c r="M996" s="42" t="s">
        <v>42</v>
      </c>
      <c r="N996" s="401" t="s">
        <v>7913</v>
      </c>
      <c r="O996" s="49" t="s">
        <v>7914</v>
      </c>
      <c r="P996" s="49"/>
      <c r="Q996" s="51" t="s">
        <v>7915</v>
      </c>
      <c r="R996" s="613">
        <v>88</v>
      </c>
      <c r="S996" s="613">
        <v>350</v>
      </c>
      <c r="T996" s="614" t="s">
        <v>67</v>
      </c>
      <c r="U996" s="614">
        <v>0</v>
      </c>
      <c r="V996" s="615">
        <f>U996*J996</f>
        <v>0</v>
      </c>
      <c r="W996" s="614" t="s">
        <v>350</v>
      </c>
      <c r="X996" s="616" t="s">
        <v>6248</v>
      </c>
      <c r="Y996" s="199" t="s">
        <v>82</v>
      </c>
      <c r="Z996" s="169" t="s">
        <v>7331</v>
      </c>
      <c r="AA996" s="617" t="s">
        <v>2764</v>
      </c>
      <c r="AB996" s="618" t="s">
        <v>2535</v>
      </c>
      <c r="AC996" s="717">
        <f>18344.7*(J996/105)</f>
        <v>14850.471428571429</v>
      </c>
    </row>
    <row r="997" spans="1:31" s="200" customFormat="1" ht="60.75" customHeight="1" x14ac:dyDescent="0.25">
      <c r="A997" s="566">
        <v>45693</v>
      </c>
      <c r="B997" s="469" t="s">
        <v>7916</v>
      </c>
      <c r="C997" s="469" t="s">
        <v>7917</v>
      </c>
      <c r="D997" s="469"/>
      <c r="E997" s="470" t="s">
        <v>39</v>
      </c>
      <c r="F997" s="698"/>
      <c r="G997" s="19" t="s">
        <v>7918</v>
      </c>
      <c r="H997" s="471"/>
      <c r="I997" s="245" t="s">
        <v>7919</v>
      </c>
      <c r="J997" s="472">
        <v>1</v>
      </c>
      <c r="K997" s="46" t="s">
        <v>7920</v>
      </c>
      <c r="L997" s="47" t="s">
        <v>63</v>
      </c>
      <c r="M997" s="470" t="s">
        <v>42</v>
      </c>
      <c r="N997" s="333" t="s">
        <v>5418</v>
      </c>
      <c r="O997" s="474" t="s">
        <v>7921</v>
      </c>
      <c r="P997" s="474" t="s">
        <v>7922</v>
      </c>
      <c r="Q997" s="474" t="s">
        <v>7923</v>
      </c>
      <c r="R997" s="50">
        <v>20</v>
      </c>
      <c r="S997" s="50">
        <v>620</v>
      </c>
      <c r="T997" s="236" t="s">
        <v>47</v>
      </c>
      <c r="U997" s="236">
        <v>36</v>
      </c>
      <c r="V997" s="475">
        <f>U997*J997</f>
        <v>36</v>
      </c>
      <c r="W997" s="236" t="s">
        <v>350</v>
      </c>
      <c r="X997" s="476" t="s">
        <v>7013</v>
      </c>
      <c r="Y997" s="477" t="s">
        <v>50</v>
      </c>
      <c r="Z997" s="169" t="s">
        <v>7924</v>
      </c>
      <c r="AA997" s="240" t="s">
        <v>2215</v>
      </c>
      <c r="AB997" s="478" t="s">
        <v>2074</v>
      </c>
      <c r="AC997" s="479">
        <v>3031</v>
      </c>
    </row>
    <row r="998" spans="1:31" s="200" customFormat="1" ht="198" customHeight="1" x14ac:dyDescent="0.25">
      <c r="A998" s="566">
        <v>45693</v>
      </c>
      <c r="B998" s="596" t="s">
        <v>7925</v>
      </c>
      <c r="C998" s="596" t="s">
        <v>7926</v>
      </c>
      <c r="D998" s="718" t="s">
        <v>7927</v>
      </c>
      <c r="E998" s="607" t="s">
        <v>39</v>
      </c>
      <c r="F998" s="719"/>
      <c r="G998" s="719"/>
      <c r="H998" s="563" t="s">
        <v>1586</v>
      </c>
      <c r="I998" s="245" t="s">
        <v>7928</v>
      </c>
      <c r="J998" s="609">
        <v>5</v>
      </c>
      <c r="K998" s="610" t="s">
        <v>9990</v>
      </c>
      <c r="L998" s="721" t="s">
        <v>63</v>
      </c>
      <c r="M998" s="42" t="s">
        <v>42</v>
      </c>
      <c r="N998" s="722" t="s">
        <v>7929</v>
      </c>
      <c r="O998" s="49" t="s">
        <v>7914</v>
      </c>
      <c r="P998" s="49" t="s">
        <v>7930</v>
      </c>
      <c r="Q998" s="49" t="s">
        <v>7931</v>
      </c>
      <c r="R998" s="613">
        <v>113</v>
      </c>
      <c r="S998" s="613">
        <v>1050</v>
      </c>
      <c r="T998" s="614" t="s">
        <v>141</v>
      </c>
      <c r="U998" s="614">
        <v>8</v>
      </c>
      <c r="V998" s="615">
        <f>U998*J998</f>
        <v>40</v>
      </c>
      <c r="W998" s="51" t="s">
        <v>350</v>
      </c>
      <c r="X998" s="616" t="s">
        <v>5544</v>
      </c>
      <c r="Y998" s="199" t="s">
        <v>82</v>
      </c>
      <c r="Z998" s="169" t="s">
        <v>7932</v>
      </c>
      <c r="AA998" s="617" t="s">
        <v>2026</v>
      </c>
      <c r="AB998" s="618" t="s">
        <v>6817</v>
      </c>
      <c r="AC998" s="631">
        <f>4591+1350+1500</f>
        <v>7441</v>
      </c>
    </row>
    <row r="999" spans="1:31" ht="75" x14ac:dyDescent="0.25">
      <c r="A999" s="566">
        <v>45693</v>
      </c>
      <c r="B999" s="174" t="s">
        <v>7933</v>
      </c>
      <c r="C999" s="174" t="s">
        <v>7934</v>
      </c>
      <c r="D999" s="95"/>
      <c r="E999" s="96" t="s">
        <v>39</v>
      </c>
      <c r="F999" s="97"/>
      <c r="G999" s="97"/>
      <c r="H999" s="563" t="s">
        <v>1586</v>
      </c>
      <c r="I999" s="245" t="s">
        <v>7935</v>
      </c>
      <c r="J999" s="98">
        <v>5</v>
      </c>
      <c r="K999" s="99" t="s">
        <v>7936</v>
      </c>
      <c r="L999" s="100" t="s">
        <v>63</v>
      </c>
      <c r="M999" s="96" t="s">
        <v>42</v>
      </c>
      <c r="N999" s="101" t="s">
        <v>7937</v>
      </c>
      <c r="O999" s="102" t="s">
        <v>7938</v>
      </c>
      <c r="P999" s="102" t="s">
        <v>7939</v>
      </c>
      <c r="Q999" s="102" t="s">
        <v>7940</v>
      </c>
      <c r="R999" s="103">
        <v>73</v>
      </c>
      <c r="S999" s="103">
        <v>230</v>
      </c>
      <c r="T999" s="96" t="s">
        <v>47</v>
      </c>
      <c r="U999" s="96">
        <v>21</v>
      </c>
      <c r="V999" s="104">
        <f>U999*J999</f>
        <v>105</v>
      </c>
      <c r="W999" s="96" t="s">
        <v>221</v>
      </c>
      <c r="X999" s="198" t="s">
        <v>232</v>
      </c>
      <c r="Y999" s="168" t="s">
        <v>50</v>
      </c>
      <c r="Z999" s="169" t="s">
        <v>7419</v>
      </c>
      <c r="AA999" s="170" t="s">
        <v>7623</v>
      </c>
      <c r="AB999" s="243" t="s">
        <v>1781</v>
      </c>
      <c r="AC999" s="172">
        <v>4571.75</v>
      </c>
    </row>
    <row r="1000" spans="1:31" s="200" customFormat="1" ht="127.5" customHeight="1" x14ac:dyDescent="0.25">
      <c r="A1000" s="566">
        <v>45692</v>
      </c>
      <c r="B1000" s="605"/>
      <c r="C1000" s="596" t="s">
        <v>7865</v>
      </c>
      <c r="D1000" s="596" t="s">
        <v>7941</v>
      </c>
      <c r="E1000" s="607" t="s">
        <v>39</v>
      </c>
      <c r="F1000" s="19">
        <v>1</v>
      </c>
      <c r="G1000" s="608"/>
      <c r="H1000" s="608"/>
      <c r="I1000" s="245" t="s">
        <v>7942</v>
      </c>
      <c r="J1000" s="609">
        <v>34</v>
      </c>
      <c r="K1000" s="610" t="s">
        <v>7943</v>
      </c>
      <c r="L1000" s="611" t="s">
        <v>63</v>
      </c>
      <c r="M1000" s="42" t="s">
        <v>42</v>
      </c>
      <c r="N1000" s="690" t="s">
        <v>7944</v>
      </c>
      <c r="O1000" s="49" t="s">
        <v>7870</v>
      </c>
      <c r="P1000" s="49" t="s">
        <v>7871</v>
      </c>
      <c r="Q1000" s="51" t="s">
        <v>7872</v>
      </c>
      <c r="R1000" s="613">
        <v>46</v>
      </c>
      <c r="S1000" s="613">
        <v>356</v>
      </c>
      <c r="T1000" s="614" t="s">
        <v>47</v>
      </c>
      <c r="U1000" s="614">
        <v>6</v>
      </c>
      <c r="V1000" s="615">
        <f>U1000*98</f>
        <v>588</v>
      </c>
      <c r="W1000" s="614" t="s">
        <v>68</v>
      </c>
      <c r="X1000" s="616" t="s">
        <v>7873</v>
      </c>
      <c r="Y1000" s="691"/>
      <c r="Z1000" s="692"/>
      <c r="AA1000" s="693" t="s">
        <v>1346</v>
      </c>
      <c r="AB1000" s="618" t="s">
        <v>1016</v>
      </c>
      <c r="AC1000" s="631">
        <f>36597.12 * (50 / 98)</f>
        <v>18672</v>
      </c>
    </row>
    <row r="1001" spans="1:31" s="200" customFormat="1" ht="173.25" customHeight="1" x14ac:dyDescent="0.25">
      <c r="A1001" s="566">
        <v>45692</v>
      </c>
      <c r="B1001" s="41" t="s">
        <v>7945</v>
      </c>
      <c r="C1001" s="552" t="s">
        <v>7946</v>
      </c>
      <c r="D1001" s="41" t="s">
        <v>7947</v>
      </c>
      <c r="E1001" s="42" t="s">
        <v>39</v>
      </c>
      <c r="F1001" s="43"/>
      <c r="G1001" s="43"/>
      <c r="H1001" s="563" t="s">
        <v>1586</v>
      </c>
      <c r="I1001" s="245" t="s">
        <v>7948</v>
      </c>
      <c r="J1001" s="45">
        <v>32</v>
      </c>
      <c r="K1001" s="46" t="s">
        <v>7949</v>
      </c>
      <c r="L1001" s="277" t="s">
        <v>63</v>
      </c>
      <c r="M1001" s="42" t="s">
        <v>42</v>
      </c>
      <c r="N1001" s="77" t="s">
        <v>7950</v>
      </c>
      <c r="O1001" s="49" t="s">
        <v>7951</v>
      </c>
      <c r="P1001" s="49" t="s">
        <v>7952</v>
      </c>
      <c r="Q1001" s="49" t="s">
        <v>7953</v>
      </c>
      <c r="R1001" s="50">
        <v>147</v>
      </c>
      <c r="S1001" s="50">
        <v>957</v>
      </c>
      <c r="T1001" s="51" t="s">
        <v>180</v>
      </c>
      <c r="U1001" s="51">
        <v>72</v>
      </c>
      <c r="V1001" s="52">
        <f t="shared" ref="V1001:V1049" si="28">U1001*J1001</f>
        <v>2304</v>
      </c>
      <c r="W1001" s="51" t="s">
        <v>350</v>
      </c>
      <c r="X1001" s="198" t="s">
        <v>7954</v>
      </c>
      <c r="Y1001" s="199" t="s">
        <v>82</v>
      </c>
      <c r="Z1001" s="169" t="s">
        <v>7356</v>
      </c>
      <c r="AA1001" s="170" t="s">
        <v>7623</v>
      </c>
      <c r="AB1001" s="243" t="s">
        <v>7709</v>
      </c>
      <c r="AC1001" s="172">
        <v>19488.88</v>
      </c>
    </row>
    <row r="1002" spans="1:31" s="200" customFormat="1" ht="61.5" customHeight="1" x14ac:dyDescent="0.25">
      <c r="A1002" s="566">
        <v>45691</v>
      </c>
      <c r="B1002" s="164" t="s">
        <v>7955</v>
      </c>
      <c r="C1002" s="41" t="s">
        <v>7956</v>
      </c>
      <c r="D1002" s="41"/>
      <c r="E1002" s="42" t="s">
        <v>39</v>
      </c>
      <c r="F1002" s="43"/>
      <c r="G1002" s="43"/>
      <c r="H1002" s="563" t="s">
        <v>1586</v>
      </c>
      <c r="I1002" s="245" t="s">
        <v>7957</v>
      </c>
      <c r="J1002" s="45">
        <v>150</v>
      </c>
      <c r="K1002" s="46" t="s">
        <v>7958</v>
      </c>
      <c r="L1002" s="277" t="s">
        <v>63</v>
      </c>
      <c r="M1002" s="42" t="s">
        <v>42</v>
      </c>
      <c r="N1002" s="77" t="s">
        <v>240</v>
      </c>
      <c r="O1002" s="49" t="s">
        <v>7959</v>
      </c>
      <c r="P1002" s="49" t="s">
        <v>7960</v>
      </c>
      <c r="Q1002" s="49" t="s">
        <v>7961</v>
      </c>
      <c r="R1002" s="50">
        <v>3</v>
      </c>
      <c r="S1002" s="50">
        <v>14</v>
      </c>
      <c r="T1002" s="51" t="s">
        <v>47</v>
      </c>
      <c r="U1002" s="51">
        <v>0</v>
      </c>
      <c r="V1002" s="52">
        <f t="shared" si="28"/>
        <v>0</v>
      </c>
      <c r="W1002" s="51" t="s">
        <v>350</v>
      </c>
      <c r="X1002" s="198" t="s">
        <v>6055</v>
      </c>
      <c r="Y1002" s="199" t="s">
        <v>50</v>
      </c>
      <c r="Z1002" s="169" t="s">
        <v>7331</v>
      </c>
      <c r="AA1002" s="170" t="s">
        <v>7623</v>
      </c>
      <c r="AB1002" s="243" t="s">
        <v>7709</v>
      </c>
      <c r="AC1002" s="172">
        <v>5520</v>
      </c>
    </row>
    <row r="1003" spans="1:31" s="200" customFormat="1" ht="54" customHeight="1" x14ac:dyDescent="0.25">
      <c r="A1003" s="566">
        <v>45688</v>
      </c>
      <c r="B1003" s="164" t="s">
        <v>7962</v>
      </c>
      <c r="C1003" s="41" t="s">
        <v>7963</v>
      </c>
      <c r="D1003" s="41"/>
      <c r="E1003" s="42" t="s">
        <v>39</v>
      </c>
      <c r="F1003" s="43"/>
      <c r="G1003" s="43"/>
      <c r="H1003" s="563" t="s">
        <v>1586</v>
      </c>
      <c r="I1003" s="245" t="s">
        <v>7964</v>
      </c>
      <c r="J1003" s="45">
        <v>150</v>
      </c>
      <c r="K1003" s="46" t="s">
        <v>7965</v>
      </c>
      <c r="L1003" s="277" t="s">
        <v>63</v>
      </c>
      <c r="M1003" s="42" t="s">
        <v>42</v>
      </c>
      <c r="N1003" s="77" t="s">
        <v>5795</v>
      </c>
      <c r="O1003" s="49" t="s">
        <v>7961</v>
      </c>
      <c r="P1003" s="49"/>
      <c r="Q1003" s="49" t="s">
        <v>7966</v>
      </c>
      <c r="R1003" s="50">
        <v>5</v>
      </c>
      <c r="S1003" s="50">
        <v>7</v>
      </c>
      <c r="T1003" s="51" t="s">
        <v>96</v>
      </c>
      <c r="U1003" s="51">
        <v>0</v>
      </c>
      <c r="V1003" s="52">
        <f t="shared" si="28"/>
        <v>0</v>
      </c>
      <c r="W1003" s="51" t="s">
        <v>350</v>
      </c>
      <c r="X1003" s="198" t="s">
        <v>6055</v>
      </c>
      <c r="Y1003" s="199" t="s">
        <v>50</v>
      </c>
      <c r="Z1003" s="169" t="s">
        <v>7419</v>
      </c>
      <c r="AA1003" s="170" t="s">
        <v>7623</v>
      </c>
      <c r="AB1003" s="243" t="s">
        <v>7709</v>
      </c>
      <c r="AC1003" s="172">
        <v>4105</v>
      </c>
    </row>
    <row r="1004" spans="1:31" s="200" customFormat="1" ht="76.5" customHeight="1" x14ac:dyDescent="0.25">
      <c r="A1004" s="566">
        <v>45688</v>
      </c>
      <c r="B1004" s="493" t="s">
        <v>7967</v>
      </c>
      <c r="C1004" s="493" t="s">
        <v>7968</v>
      </c>
      <c r="D1004" s="494" t="s">
        <v>7969</v>
      </c>
      <c r="E1004" s="495" t="s">
        <v>39</v>
      </c>
      <c r="F1004" s="19">
        <v>1</v>
      </c>
      <c r="G1004" s="497"/>
      <c r="H1004" s="497"/>
      <c r="I1004" s="245" t="s">
        <v>7970</v>
      </c>
      <c r="J1004" s="499">
        <v>70</v>
      </c>
      <c r="K1004" s="498" t="s">
        <v>7971</v>
      </c>
      <c r="L1004" s="500" t="s">
        <v>63</v>
      </c>
      <c r="M1004" s="495" t="s">
        <v>42</v>
      </c>
      <c r="N1004" s="502" t="s">
        <v>5381</v>
      </c>
      <c r="O1004" s="503" t="s">
        <v>7972</v>
      </c>
      <c r="P1004" s="503" t="s">
        <v>7973</v>
      </c>
      <c r="Q1004" s="503" t="s">
        <v>7974</v>
      </c>
      <c r="R1004" s="504">
        <v>43</v>
      </c>
      <c r="S1004" s="504">
        <v>213</v>
      </c>
      <c r="T1004" s="495" t="s">
        <v>47</v>
      </c>
      <c r="U1004" s="495">
        <v>30</v>
      </c>
      <c r="V1004" s="75">
        <f t="shared" si="28"/>
        <v>2100</v>
      </c>
      <c r="W1004" s="495" t="s">
        <v>350</v>
      </c>
      <c r="X1004" s="198" t="s">
        <v>765</v>
      </c>
      <c r="Y1004" s="199" t="s">
        <v>50</v>
      </c>
      <c r="Z1004" s="169" t="s">
        <v>7419</v>
      </c>
      <c r="AA1004" s="170" t="s">
        <v>7546</v>
      </c>
      <c r="AB1004" s="243" t="s">
        <v>7975</v>
      </c>
      <c r="AC1004" s="172">
        <v>21247.8</v>
      </c>
    </row>
    <row r="1005" spans="1:31" s="200" customFormat="1" ht="111" customHeight="1" x14ac:dyDescent="0.25">
      <c r="A1005" s="566">
        <v>45687</v>
      </c>
      <c r="B1005" s="41" t="s">
        <v>7976</v>
      </c>
      <c r="C1005" s="41" t="s">
        <v>7977</v>
      </c>
      <c r="D1005" s="41" t="s">
        <v>7978</v>
      </c>
      <c r="E1005" s="42" t="s">
        <v>39</v>
      </c>
      <c r="F1005" s="19">
        <v>1</v>
      </c>
      <c r="G1005" s="43"/>
      <c r="H1005" s="43"/>
      <c r="I1005" s="245" t="s">
        <v>7979</v>
      </c>
      <c r="J1005" s="45">
        <v>2</v>
      </c>
      <c r="K1005" s="46" t="s">
        <v>7980</v>
      </c>
      <c r="L1005" s="277" t="s">
        <v>63</v>
      </c>
      <c r="M1005" s="42" t="s">
        <v>42</v>
      </c>
      <c r="N1005" s="77" t="s">
        <v>7981</v>
      </c>
      <c r="O1005" s="49" t="s">
        <v>7982</v>
      </c>
      <c r="P1005" s="49" t="s">
        <v>7983</v>
      </c>
      <c r="Q1005" s="49" t="s">
        <v>7984</v>
      </c>
      <c r="R1005" s="50">
        <v>24</v>
      </c>
      <c r="S1005" s="50">
        <v>47</v>
      </c>
      <c r="T1005" s="51" t="s">
        <v>47</v>
      </c>
      <c r="U1005" s="51">
        <v>13</v>
      </c>
      <c r="V1005" s="75">
        <f t="shared" si="28"/>
        <v>26</v>
      </c>
      <c r="W1005" s="51" t="s">
        <v>142</v>
      </c>
      <c r="X1005" s="198" t="s">
        <v>5906</v>
      </c>
      <c r="Y1005" s="199" t="s">
        <v>5907</v>
      </c>
      <c r="Z1005" s="449" t="s">
        <v>7985</v>
      </c>
      <c r="AA1005" s="170" t="s">
        <v>7986</v>
      </c>
      <c r="AB1005" s="243" t="s">
        <v>7987</v>
      </c>
      <c r="AC1005" s="35">
        <f>6120*J1005/250</f>
        <v>48.96</v>
      </c>
    </row>
    <row r="1006" spans="1:31" s="200" customFormat="1" ht="73.5" customHeight="1" x14ac:dyDescent="0.25">
      <c r="A1006" s="566">
        <v>45687</v>
      </c>
      <c r="B1006" s="164" t="s">
        <v>7988</v>
      </c>
      <c r="C1006" s="41" t="s">
        <v>7989</v>
      </c>
      <c r="D1006" s="723" t="s">
        <v>7990</v>
      </c>
      <c r="E1006" s="122" t="s">
        <v>39</v>
      </c>
      <c r="F1006" s="19">
        <v>1</v>
      </c>
      <c r="G1006" s="43"/>
      <c r="H1006" s="724"/>
      <c r="I1006" s="245" t="s">
        <v>7991</v>
      </c>
      <c r="J1006" s="45">
        <v>250</v>
      </c>
      <c r="K1006" s="46" t="s">
        <v>1857</v>
      </c>
      <c r="L1006" s="47" t="s">
        <v>63</v>
      </c>
      <c r="M1006" s="42" t="s">
        <v>42</v>
      </c>
      <c r="N1006" s="77" t="s">
        <v>7992</v>
      </c>
      <c r="O1006" s="49" t="s">
        <v>7993</v>
      </c>
      <c r="P1006" s="49" t="s">
        <v>7994</v>
      </c>
      <c r="Q1006" s="49" t="s">
        <v>7995</v>
      </c>
      <c r="R1006" s="50">
        <v>28</v>
      </c>
      <c r="S1006" s="50">
        <v>111</v>
      </c>
      <c r="T1006" s="51" t="s">
        <v>549</v>
      </c>
      <c r="U1006" s="51">
        <v>1</v>
      </c>
      <c r="V1006" s="52">
        <f t="shared" si="28"/>
        <v>250</v>
      </c>
      <c r="W1006" s="51" t="s">
        <v>7012</v>
      </c>
      <c r="X1006" s="198" t="s">
        <v>644</v>
      </c>
      <c r="Y1006" s="199" t="s">
        <v>3963</v>
      </c>
      <c r="Z1006" s="565"/>
      <c r="AA1006" s="170" t="s">
        <v>7563</v>
      </c>
      <c r="AB1006" s="243" t="s">
        <v>2074</v>
      </c>
      <c r="AC1006" s="172">
        <v>8642.5</v>
      </c>
      <c r="AE1006" s="725"/>
    </row>
    <row r="1007" spans="1:31" s="200" customFormat="1" ht="90" x14ac:dyDescent="0.25">
      <c r="A1007" s="566">
        <v>45687</v>
      </c>
      <c r="B1007" s="174" t="s">
        <v>7996</v>
      </c>
      <c r="C1007" s="174" t="s">
        <v>7997</v>
      </c>
      <c r="D1007" s="94"/>
      <c r="E1007" s="96" t="s">
        <v>39</v>
      </c>
      <c r="F1007" s="97"/>
      <c r="G1007" s="97"/>
      <c r="H1007" s="563" t="s">
        <v>1586</v>
      </c>
      <c r="I1007" s="245" t="s">
        <v>7998</v>
      </c>
      <c r="J1007" s="98">
        <v>5</v>
      </c>
      <c r="K1007" s="99" t="s">
        <v>7999</v>
      </c>
      <c r="L1007" s="466" t="s">
        <v>63</v>
      </c>
      <c r="M1007" s="96" t="s">
        <v>42</v>
      </c>
      <c r="N1007" s="101" t="s">
        <v>8000</v>
      </c>
      <c r="O1007" s="102" t="s">
        <v>8001</v>
      </c>
      <c r="P1007" s="102" t="s">
        <v>8002</v>
      </c>
      <c r="Q1007" s="102" t="s">
        <v>8003</v>
      </c>
      <c r="R1007" s="103">
        <v>111</v>
      </c>
      <c r="S1007" s="103">
        <v>434</v>
      </c>
      <c r="T1007" s="96" t="s">
        <v>180</v>
      </c>
      <c r="U1007" s="96">
        <v>12</v>
      </c>
      <c r="V1007" s="104">
        <f t="shared" si="28"/>
        <v>60</v>
      </c>
      <c r="W1007" s="96" t="s">
        <v>221</v>
      </c>
      <c r="X1007" s="198" t="s">
        <v>232</v>
      </c>
      <c r="Y1007" s="199" t="s">
        <v>50</v>
      </c>
      <c r="Z1007" s="169" t="s">
        <v>7331</v>
      </c>
      <c r="AA1007" s="170" t="s">
        <v>7623</v>
      </c>
      <c r="AB1007" s="243" t="s">
        <v>7709</v>
      </c>
      <c r="AC1007" s="172">
        <v>6241</v>
      </c>
    </row>
    <row r="1008" spans="1:31" ht="137.25" customHeight="1" x14ac:dyDescent="0.25">
      <c r="A1008" s="566">
        <v>45686</v>
      </c>
      <c r="B1008" s="174" t="s">
        <v>8004</v>
      </c>
      <c r="C1008" s="174" t="s">
        <v>8005</v>
      </c>
      <c r="D1008" s="95"/>
      <c r="E1008" s="96" t="s">
        <v>39</v>
      </c>
      <c r="F1008" s="97"/>
      <c r="G1008" s="97"/>
      <c r="H1008" s="563" t="s">
        <v>1586</v>
      </c>
      <c r="I1008" s="245" t="s">
        <v>8006</v>
      </c>
      <c r="J1008" s="98">
        <v>2</v>
      </c>
      <c r="K1008" s="165" t="s">
        <v>8007</v>
      </c>
      <c r="L1008" s="100" t="s">
        <v>63</v>
      </c>
      <c r="M1008" s="96" t="s">
        <v>42</v>
      </c>
      <c r="N1008" s="101" t="s">
        <v>8008</v>
      </c>
      <c r="O1008" s="102" t="s">
        <v>7846</v>
      </c>
      <c r="P1008" s="102" t="s">
        <v>8009</v>
      </c>
      <c r="Q1008" s="102" t="s">
        <v>8010</v>
      </c>
      <c r="R1008" s="103">
        <v>111</v>
      </c>
      <c r="S1008" s="103">
        <v>654</v>
      </c>
      <c r="T1008" s="96" t="s">
        <v>180</v>
      </c>
      <c r="U1008" s="96">
        <v>7</v>
      </c>
      <c r="V1008" s="104">
        <f t="shared" si="28"/>
        <v>14</v>
      </c>
      <c r="W1008" s="96" t="s">
        <v>350</v>
      </c>
      <c r="X1008" s="726" t="s">
        <v>8011</v>
      </c>
      <c r="Y1008" s="168" t="s">
        <v>50</v>
      </c>
      <c r="Z1008" s="169" t="s">
        <v>7331</v>
      </c>
      <c r="AA1008" s="170" t="s">
        <v>7623</v>
      </c>
      <c r="AB1008" s="243" t="s">
        <v>8012</v>
      </c>
      <c r="AC1008" s="172">
        <v>9135</v>
      </c>
    </row>
    <row r="1009" spans="1:31" s="200" customFormat="1" ht="60.75" customHeight="1" x14ac:dyDescent="0.25">
      <c r="A1009" s="566">
        <v>45686</v>
      </c>
      <c r="B1009" s="95" t="s">
        <v>8013</v>
      </c>
      <c r="C1009" s="95" t="s">
        <v>8014</v>
      </c>
      <c r="D1009" s="95"/>
      <c r="E1009" s="96" t="s">
        <v>39</v>
      </c>
      <c r="F1009" s="19">
        <v>1</v>
      </c>
      <c r="G1009" s="97"/>
      <c r="H1009" s="97"/>
      <c r="I1009" s="245" t="s">
        <v>8015</v>
      </c>
      <c r="J1009" s="98">
        <v>5</v>
      </c>
      <c r="K1009" s="99" t="s">
        <v>9991</v>
      </c>
      <c r="L1009" s="100" t="s">
        <v>63</v>
      </c>
      <c r="M1009" s="96" t="s">
        <v>42</v>
      </c>
      <c r="N1009" s="101" t="s">
        <v>8016</v>
      </c>
      <c r="O1009" s="102" t="s">
        <v>8017</v>
      </c>
      <c r="P1009" s="102" t="s">
        <v>7960</v>
      </c>
      <c r="Q1009" s="102" t="s">
        <v>8018</v>
      </c>
      <c r="R1009" s="103">
        <v>52</v>
      </c>
      <c r="S1009" s="103">
        <v>476</v>
      </c>
      <c r="T1009" s="96" t="s">
        <v>47</v>
      </c>
      <c r="U1009" s="96">
        <v>6</v>
      </c>
      <c r="V1009" s="104">
        <f t="shared" si="28"/>
        <v>30</v>
      </c>
      <c r="W1009" s="96" t="s">
        <v>221</v>
      </c>
      <c r="X1009" s="198" t="s">
        <v>232</v>
      </c>
      <c r="Y1009" s="199" t="s">
        <v>50</v>
      </c>
      <c r="Z1009" s="169" t="s">
        <v>8019</v>
      </c>
      <c r="AA1009" s="170" t="s">
        <v>100</v>
      </c>
      <c r="AB1009" s="243" t="s">
        <v>1841</v>
      </c>
      <c r="AC1009" s="172">
        <v>5773</v>
      </c>
    </row>
    <row r="1010" spans="1:31" s="200" customFormat="1" ht="161.25" x14ac:dyDescent="0.25">
      <c r="A1010" s="566">
        <v>45686</v>
      </c>
      <c r="B1010" s="164" t="s">
        <v>8020</v>
      </c>
      <c r="C1010" s="41" t="s">
        <v>8021</v>
      </c>
      <c r="D1010" s="41" t="s">
        <v>8022</v>
      </c>
      <c r="E1010" s="42" t="s">
        <v>39</v>
      </c>
      <c r="F1010" s="43"/>
      <c r="G1010" s="43"/>
      <c r="H1010" s="563" t="s">
        <v>1586</v>
      </c>
      <c r="I1010" s="245" t="s">
        <v>8023</v>
      </c>
      <c r="J1010" s="45">
        <v>25</v>
      </c>
      <c r="K1010" s="46" t="s">
        <v>8024</v>
      </c>
      <c r="L1010" s="277" t="s">
        <v>63</v>
      </c>
      <c r="M1010" s="42" t="s">
        <v>42</v>
      </c>
      <c r="N1010" s="77" t="s">
        <v>8025</v>
      </c>
      <c r="O1010" s="49" t="s">
        <v>8026</v>
      </c>
      <c r="P1010" s="49" t="s">
        <v>8027</v>
      </c>
      <c r="Q1010" s="49" t="s">
        <v>8018</v>
      </c>
      <c r="R1010" s="50">
        <v>37</v>
      </c>
      <c r="S1010" s="50">
        <v>680</v>
      </c>
      <c r="T1010" s="51" t="s">
        <v>47</v>
      </c>
      <c r="U1010" s="51">
        <v>5</v>
      </c>
      <c r="V1010" s="52">
        <f t="shared" si="28"/>
        <v>125</v>
      </c>
      <c r="W1010" s="51" t="s">
        <v>142</v>
      </c>
      <c r="X1010" s="198" t="s">
        <v>8028</v>
      </c>
      <c r="Y1010" s="199" t="s">
        <v>82</v>
      </c>
      <c r="Z1010" s="169" t="s">
        <v>8029</v>
      </c>
      <c r="AA1010" s="170" t="s">
        <v>7623</v>
      </c>
      <c r="AB1010" s="243" t="s">
        <v>8012</v>
      </c>
      <c r="AC1010" s="172">
        <v>8000</v>
      </c>
    </row>
    <row r="1011" spans="1:31" s="200" customFormat="1" ht="120" x14ac:dyDescent="0.25">
      <c r="A1011" s="566">
        <v>45686</v>
      </c>
      <c r="B1011" s="41" t="s">
        <v>7976</v>
      </c>
      <c r="C1011" s="41" t="s">
        <v>7977</v>
      </c>
      <c r="D1011" s="41" t="s">
        <v>8030</v>
      </c>
      <c r="E1011" s="42" t="s">
        <v>39</v>
      </c>
      <c r="F1011" s="19">
        <v>1</v>
      </c>
      <c r="G1011" s="43"/>
      <c r="H1011" s="43"/>
      <c r="I1011" s="245" t="s">
        <v>8031</v>
      </c>
      <c r="J1011" s="45">
        <v>248</v>
      </c>
      <c r="K1011" s="46" t="s">
        <v>8032</v>
      </c>
      <c r="L1011" s="277" t="s">
        <v>63</v>
      </c>
      <c r="M1011" s="42" t="s">
        <v>42</v>
      </c>
      <c r="N1011" s="77" t="s">
        <v>8033</v>
      </c>
      <c r="O1011" s="49" t="s">
        <v>7982</v>
      </c>
      <c r="P1011" s="49" t="s">
        <v>7983</v>
      </c>
      <c r="Q1011" s="49" t="s">
        <v>7984</v>
      </c>
      <c r="R1011" s="50">
        <v>24</v>
      </c>
      <c r="S1011" s="50">
        <v>47</v>
      </c>
      <c r="T1011" s="51" t="s">
        <v>47</v>
      </c>
      <c r="U1011" s="51">
        <v>13</v>
      </c>
      <c r="V1011" s="75">
        <f t="shared" si="28"/>
        <v>3224</v>
      </c>
      <c r="W1011" s="51" t="s">
        <v>142</v>
      </c>
      <c r="X1011" s="198" t="s">
        <v>5906</v>
      </c>
      <c r="Y1011" s="199" t="s">
        <v>5907</v>
      </c>
      <c r="Z1011" s="565"/>
      <c r="AA1011" s="170" t="s">
        <v>7986</v>
      </c>
      <c r="AB1011" s="243" t="s">
        <v>7987</v>
      </c>
      <c r="AC1011" s="35">
        <f>6120*J1011/250</f>
        <v>6071.04</v>
      </c>
    </row>
    <row r="1012" spans="1:31" ht="61.5" customHeight="1" x14ac:dyDescent="0.25">
      <c r="A1012" s="566">
        <v>45685</v>
      </c>
      <c r="B1012" s="192" t="s">
        <v>8034</v>
      </c>
      <c r="C1012" s="95" t="s">
        <v>8035</v>
      </c>
      <c r="D1012" s="95"/>
      <c r="E1012" s="319" t="s">
        <v>39</v>
      </c>
      <c r="F1012" s="97"/>
      <c r="G1012" s="97"/>
      <c r="H1012" s="563" t="s">
        <v>1586</v>
      </c>
      <c r="I1012" s="245" t="s">
        <v>8036</v>
      </c>
      <c r="J1012" s="98">
        <v>3</v>
      </c>
      <c r="K1012" s="99" t="s">
        <v>8037</v>
      </c>
      <c r="L1012" s="100" t="s">
        <v>63</v>
      </c>
      <c r="M1012" s="96" t="s">
        <v>42</v>
      </c>
      <c r="N1012" s="101" t="s">
        <v>8038</v>
      </c>
      <c r="O1012" s="102" t="s">
        <v>8039</v>
      </c>
      <c r="P1012" s="102" t="s">
        <v>8040</v>
      </c>
      <c r="Q1012" s="102" t="s">
        <v>8041</v>
      </c>
      <c r="R1012" s="103">
        <v>129</v>
      </c>
      <c r="S1012" s="103">
        <v>969</v>
      </c>
      <c r="T1012" s="96" t="s">
        <v>180</v>
      </c>
      <c r="U1012" s="96">
        <v>57</v>
      </c>
      <c r="V1012" s="104">
        <f t="shared" si="28"/>
        <v>171</v>
      </c>
      <c r="W1012" s="96" t="s">
        <v>350</v>
      </c>
      <c r="X1012" s="198" t="s">
        <v>4790</v>
      </c>
      <c r="Y1012" s="168" t="s">
        <v>50</v>
      </c>
      <c r="Z1012" s="427"/>
      <c r="AA1012" s="170" t="s">
        <v>8042</v>
      </c>
      <c r="AB1012" s="243" t="s">
        <v>6817</v>
      </c>
      <c r="AC1012" s="172">
        <v>4570</v>
      </c>
    </row>
    <row r="1013" spans="1:31" s="200" customFormat="1" ht="78" customHeight="1" x14ac:dyDescent="0.25">
      <c r="A1013" s="566">
        <v>45685</v>
      </c>
      <c r="B1013" s="95" t="s">
        <v>8043</v>
      </c>
      <c r="C1013" s="727" t="s">
        <v>8044</v>
      </c>
      <c r="D1013" s="95" t="s">
        <v>8045</v>
      </c>
      <c r="E1013" s="96" t="s">
        <v>39</v>
      </c>
      <c r="F1013" s="19">
        <v>1</v>
      </c>
      <c r="G1013" s="97"/>
      <c r="H1013" s="97"/>
      <c r="I1013" s="245" t="s">
        <v>8046</v>
      </c>
      <c r="J1013" s="98">
        <v>10</v>
      </c>
      <c r="K1013" s="99" t="s">
        <v>8037</v>
      </c>
      <c r="L1013" s="100" t="s">
        <v>63</v>
      </c>
      <c r="M1013" s="96" t="s">
        <v>42</v>
      </c>
      <c r="N1013" s="101" t="s">
        <v>8047</v>
      </c>
      <c r="O1013" s="102" t="s">
        <v>8048</v>
      </c>
      <c r="P1013" s="102" t="s">
        <v>8049</v>
      </c>
      <c r="Q1013" s="102" t="s">
        <v>8050</v>
      </c>
      <c r="R1013" s="103">
        <v>111</v>
      </c>
      <c r="S1013" s="103">
        <v>1004</v>
      </c>
      <c r="T1013" s="96" t="s">
        <v>180</v>
      </c>
      <c r="U1013" s="96">
        <v>32</v>
      </c>
      <c r="V1013" s="104">
        <f t="shared" si="28"/>
        <v>320</v>
      </c>
      <c r="W1013" s="96" t="s">
        <v>350</v>
      </c>
      <c r="X1013" s="198" t="s">
        <v>3495</v>
      </c>
      <c r="Y1013" s="199" t="s">
        <v>7004</v>
      </c>
      <c r="Z1013" s="626" t="s">
        <v>8051</v>
      </c>
      <c r="AA1013" s="170" t="s">
        <v>7623</v>
      </c>
      <c r="AB1013" s="243" t="s">
        <v>6817</v>
      </c>
      <c r="AC1013" s="172">
        <v>8487.2000000000007</v>
      </c>
    </row>
    <row r="1014" spans="1:31" s="200" customFormat="1" ht="167.25" customHeight="1" x14ac:dyDescent="0.25">
      <c r="A1014" s="566">
        <v>45684</v>
      </c>
      <c r="B1014" s="192" t="s">
        <v>8052</v>
      </c>
      <c r="C1014" s="95" t="s">
        <v>8053</v>
      </c>
      <c r="D1014" s="95"/>
      <c r="E1014" s="96" t="s">
        <v>39</v>
      </c>
      <c r="F1014" s="19">
        <v>1</v>
      </c>
      <c r="G1014" s="97"/>
      <c r="H1014" s="97"/>
      <c r="I1014" s="245" t="s">
        <v>8054</v>
      </c>
      <c r="J1014" s="98">
        <v>3</v>
      </c>
      <c r="K1014" s="99" t="s">
        <v>8037</v>
      </c>
      <c r="L1014" s="100" t="s">
        <v>63</v>
      </c>
      <c r="M1014" s="96" t="s">
        <v>42</v>
      </c>
      <c r="N1014" s="101" t="s">
        <v>8055</v>
      </c>
      <c r="O1014" s="102" t="s">
        <v>8056</v>
      </c>
      <c r="P1014" s="102" t="s">
        <v>8057</v>
      </c>
      <c r="Q1014" s="102" t="s">
        <v>8058</v>
      </c>
      <c r="R1014" s="103">
        <v>106</v>
      </c>
      <c r="S1014" s="103">
        <v>608</v>
      </c>
      <c r="T1014" s="96" t="s">
        <v>141</v>
      </c>
      <c r="U1014" s="96">
        <v>38</v>
      </c>
      <c r="V1014" s="104">
        <f t="shared" si="28"/>
        <v>114</v>
      </c>
      <c r="W1014" s="96" t="s">
        <v>350</v>
      </c>
      <c r="X1014" s="198" t="s">
        <v>5544</v>
      </c>
      <c r="Y1014" s="199" t="s">
        <v>144</v>
      </c>
      <c r="Z1014" s="565"/>
      <c r="AA1014" s="170" t="s">
        <v>7881</v>
      </c>
      <c r="AB1014" s="243" t="s">
        <v>7709</v>
      </c>
      <c r="AC1014" s="172">
        <v>8352</v>
      </c>
    </row>
    <row r="1015" spans="1:31" s="200" customFormat="1" ht="76.5" customHeight="1" x14ac:dyDescent="0.25">
      <c r="A1015" s="566">
        <v>45684</v>
      </c>
      <c r="B1015" s="41" t="s">
        <v>8059</v>
      </c>
      <c r="C1015" s="41" t="s">
        <v>8060</v>
      </c>
      <c r="D1015" s="41" t="s">
        <v>8061</v>
      </c>
      <c r="E1015" s="42" t="s">
        <v>39</v>
      </c>
      <c r="F1015" s="43"/>
      <c r="G1015" s="19">
        <v>1</v>
      </c>
      <c r="H1015" s="43"/>
      <c r="I1015" s="245" t="s">
        <v>8062</v>
      </c>
      <c r="J1015" s="45">
        <v>150</v>
      </c>
      <c r="K1015" s="46" t="s">
        <v>8063</v>
      </c>
      <c r="L1015" s="47" t="s">
        <v>63</v>
      </c>
      <c r="M1015" s="42" t="s">
        <v>42</v>
      </c>
      <c r="N1015" s="77" t="s">
        <v>8064</v>
      </c>
      <c r="O1015" s="49" t="s">
        <v>8065</v>
      </c>
      <c r="P1015" s="49" t="s">
        <v>8066</v>
      </c>
      <c r="Q1015" s="49" t="s">
        <v>7011</v>
      </c>
      <c r="R1015" s="50">
        <v>22</v>
      </c>
      <c r="S1015" s="50">
        <v>36</v>
      </c>
      <c r="T1015" s="51" t="s">
        <v>47</v>
      </c>
      <c r="U1015" s="51">
        <v>0</v>
      </c>
      <c r="V1015" s="52">
        <f t="shared" si="28"/>
        <v>0</v>
      </c>
      <c r="W1015" s="51" t="s">
        <v>7012</v>
      </c>
      <c r="X1015" s="198" t="s">
        <v>8067</v>
      </c>
      <c r="Y1015" s="199" t="s">
        <v>5907</v>
      </c>
      <c r="Z1015" s="565"/>
      <c r="AA1015" s="170" t="s">
        <v>1199</v>
      </c>
      <c r="AB1015" s="243" t="s">
        <v>1830</v>
      </c>
      <c r="AC1015" s="172">
        <v>6238.5</v>
      </c>
      <c r="AE1015" s="725"/>
    </row>
    <row r="1016" spans="1:31" s="200" customFormat="1" ht="106.5" customHeight="1" x14ac:dyDescent="0.25">
      <c r="A1016" s="566">
        <v>45684</v>
      </c>
      <c r="B1016" s="41" t="s">
        <v>8068</v>
      </c>
      <c r="C1016" s="41" t="s">
        <v>8069</v>
      </c>
      <c r="D1016" s="728" t="s">
        <v>8070</v>
      </c>
      <c r="E1016" s="42" t="s">
        <v>39</v>
      </c>
      <c r="F1016" s="19">
        <v>1</v>
      </c>
      <c r="G1016" s="43"/>
      <c r="H1016" s="43"/>
      <c r="I1016" s="245" t="s">
        <v>8071</v>
      </c>
      <c r="J1016" s="45">
        <v>10</v>
      </c>
      <c r="K1016" s="46" t="s">
        <v>8063</v>
      </c>
      <c r="L1016" s="47" t="s">
        <v>63</v>
      </c>
      <c r="M1016" s="42" t="s">
        <v>42</v>
      </c>
      <c r="N1016" s="77" t="s">
        <v>8072</v>
      </c>
      <c r="O1016" s="49" t="s">
        <v>8073</v>
      </c>
      <c r="P1016" s="49" t="s">
        <v>8074</v>
      </c>
      <c r="Q1016" s="49" t="s">
        <v>8075</v>
      </c>
      <c r="R1016" s="50">
        <v>86</v>
      </c>
      <c r="S1016" s="50">
        <v>573</v>
      </c>
      <c r="T1016" s="51" t="s">
        <v>180</v>
      </c>
      <c r="U1016" s="51">
        <v>95</v>
      </c>
      <c r="V1016" s="52">
        <f t="shared" si="28"/>
        <v>950</v>
      </c>
      <c r="W1016" s="51" t="s">
        <v>221</v>
      </c>
      <c r="X1016" s="198" t="s">
        <v>8076</v>
      </c>
      <c r="Y1016" s="199" t="s">
        <v>70</v>
      </c>
      <c r="Z1016" s="565"/>
      <c r="AA1016" s="170" t="s">
        <v>6927</v>
      </c>
      <c r="AB1016" s="243" t="s">
        <v>2047</v>
      </c>
      <c r="AC1016" s="172">
        <v>8487</v>
      </c>
    </row>
    <row r="1017" spans="1:31" s="200" customFormat="1" ht="75" x14ac:dyDescent="0.25">
      <c r="A1017" s="566">
        <v>45681</v>
      </c>
      <c r="B1017" s="41" t="s">
        <v>8077</v>
      </c>
      <c r="C1017" s="41" t="s">
        <v>8078</v>
      </c>
      <c r="D1017" s="41"/>
      <c r="E1017" s="42" t="s">
        <v>39</v>
      </c>
      <c r="F1017" s="43"/>
      <c r="G1017" s="19">
        <v>1</v>
      </c>
      <c r="H1017" s="43"/>
      <c r="I1017" s="245" t="s">
        <v>8079</v>
      </c>
      <c r="J1017" s="45">
        <v>10</v>
      </c>
      <c r="K1017" s="46" t="s">
        <v>8080</v>
      </c>
      <c r="L1017" s="277" t="s">
        <v>63</v>
      </c>
      <c r="M1017" s="42" t="s">
        <v>42</v>
      </c>
      <c r="N1017" s="77" t="s">
        <v>8081</v>
      </c>
      <c r="O1017" s="49" t="s">
        <v>8082</v>
      </c>
      <c r="P1017" s="49"/>
      <c r="Q1017" s="49" t="s">
        <v>8083</v>
      </c>
      <c r="R1017" s="50">
        <v>48</v>
      </c>
      <c r="S1017" s="50">
        <v>783</v>
      </c>
      <c r="T1017" s="51" t="s">
        <v>96</v>
      </c>
      <c r="U1017" s="51">
        <v>1</v>
      </c>
      <c r="V1017" s="52">
        <f t="shared" si="28"/>
        <v>10</v>
      </c>
      <c r="W1017" s="51" t="s">
        <v>350</v>
      </c>
      <c r="X1017" s="198" t="s">
        <v>7536</v>
      </c>
      <c r="Y1017" s="199" t="s">
        <v>82</v>
      </c>
      <c r="Z1017" s="565"/>
      <c r="AA1017" s="617" t="s">
        <v>1199</v>
      </c>
      <c r="AB1017" s="243" t="s">
        <v>1781</v>
      </c>
      <c r="AC1017" s="172">
        <v>6876.3</v>
      </c>
    </row>
    <row r="1018" spans="1:31" s="200" customFormat="1" ht="135" x14ac:dyDescent="0.25">
      <c r="A1018" s="566">
        <v>45681</v>
      </c>
      <c r="B1018" s="41" t="s">
        <v>8084</v>
      </c>
      <c r="C1018" s="41" t="s">
        <v>8085</v>
      </c>
      <c r="D1018" s="729" t="s">
        <v>8086</v>
      </c>
      <c r="E1018" s="42" t="s">
        <v>39</v>
      </c>
      <c r="F1018" s="43"/>
      <c r="G1018" s="19">
        <v>1</v>
      </c>
      <c r="H1018" s="43"/>
      <c r="I1018" s="245" t="s">
        <v>8087</v>
      </c>
      <c r="J1018" s="45">
        <v>50</v>
      </c>
      <c r="K1018" s="46" t="s">
        <v>8080</v>
      </c>
      <c r="L1018" s="47" t="s">
        <v>63</v>
      </c>
      <c r="M1018" s="42" t="s">
        <v>42</v>
      </c>
      <c r="N1018" s="77" t="s">
        <v>8088</v>
      </c>
      <c r="O1018" s="49" t="s">
        <v>8089</v>
      </c>
      <c r="P1018" s="49" t="s">
        <v>8090</v>
      </c>
      <c r="Q1018" s="49" t="s">
        <v>8091</v>
      </c>
      <c r="R1018" s="50">
        <v>66</v>
      </c>
      <c r="S1018" s="50">
        <v>309</v>
      </c>
      <c r="T1018" s="51" t="s">
        <v>180</v>
      </c>
      <c r="U1018" s="51">
        <v>29</v>
      </c>
      <c r="V1018" s="52">
        <f t="shared" si="28"/>
        <v>1450</v>
      </c>
      <c r="W1018" s="51" t="s">
        <v>350</v>
      </c>
      <c r="X1018" s="198" t="s">
        <v>8092</v>
      </c>
      <c r="Y1018" s="199" t="s">
        <v>50</v>
      </c>
      <c r="Z1018" s="565"/>
      <c r="AA1018" s="170" t="s">
        <v>7881</v>
      </c>
      <c r="AB1018" s="243" t="s">
        <v>7709</v>
      </c>
      <c r="AC1018" s="172">
        <v>8117.5</v>
      </c>
    </row>
    <row r="1019" spans="1:31" s="200" customFormat="1" ht="225" x14ac:dyDescent="0.25">
      <c r="A1019" s="566">
        <v>45680</v>
      </c>
      <c r="B1019" s="273" t="s">
        <v>5812</v>
      </c>
      <c r="C1019" s="41" t="s">
        <v>8093</v>
      </c>
      <c r="D1019" s="41" t="s">
        <v>8094</v>
      </c>
      <c r="E1019" s="42" t="s">
        <v>39</v>
      </c>
      <c r="F1019" s="19">
        <v>1</v>
      </c>
      <c r="G1019" s="123"/>
      <c r="H1019" s="43"/>
      <c r="I1019" s="245" t="s">
        <v>8095</v>
      </c>
      <c r="J1019" s="45">
        <v>500</v>
      </c>
      <c r="K1019" s="46" t="s">
        <v>8096</v>
      </c>
      <c r="L1019" s="47" t="s">
        <v>63</v>
      </c>
      <c r="M1019" s="42" t="s">
        <v>42</v>
      </c>
      <c r="N1019" s="77" t="s">
        <v>1563</v>
      </c>
      <c r="O1019" s="49" t="s">
        <v>8097</v>
      </c>
      <c r="P1019" s="49"/>
      <c r="Q1019" s="49" t="s">
        <v>8098</v>
      </c>
      <c r="R1019" s="50">
        <v>30</v>
      </c>
      <c r="S1019" s="50">
        <v>124</v>
      </c>
      <c r="T1019" s="51" t="s">
        <v>67</v>
      </c>
      <c r="U1019" s="51">
        <v>4</v>
      </c>
      <c r="V1019" s="75">
        <f t="shared" si="28"/>
        <v>2000</v>
      </c>
      <c r="W1019" s="51" t="s">
        <v>350</v>
      </c>
      <c r="X1019" s="198" t="s">
        <v>6839</v>
      </c>
      <c r="Y1019" s="199" t="s">
        <v>82</v>
      </c>
      <c r="Z1019" s="565"/>
      <c r="AA1019" s="170" t="s">
        <v>7986</v>
      </c>
      <c r="AB1019" s="243" t="s">
        <v>485</v>
      </c>
      <c r="AC1019" s="172">
        <v>13855</v>
      </c>
    </row>
    <row r="1020" spans="1:31" s="307" customFormat="1" ht="229.5" customHeight="1" x14ac:dyDescent="0.25">
      <c r="A1020" s="566">
        <v>45679</v>
      </c>
      <c r="B1020" s="41" t="s">
        <v>8099</v>
      </c>
      <c r="C1020" s="570" t="s">
        <v>8100</v>
      </c>
      <c r="D1020" s="164" t="s">
        <v>8101</v>
      </c>
      <c r="E1020" s="42" t="s">
        <v>39</v>
      </c>
      <c r="F1020" s="43"/>
      <c r="G1020" s="19">
        <v>1</v>
      </c>
      <c r="H1020" s="43"/>
      <c r="I1020" s="245" t="s">
        <v>8102</v>
      </c>
      <c r="J1020" s="45">
        <v>5</v>
      </c>
      <c r="K1020" s="46" t="s">
        <v>1964</v>
      </c>
      <c r="L1020" s="47" t="s">
        <v>63</v>
      </c>
      <c r="M1020" s="42" t="s">
        <v>42</v>
      </c>
      <c r="N1020" s="77" t="s">
        <v>8103</v>
      </c>
      <c r="O1020" s="49" t="s">
        <v>8104</v>
      </c>
      <c r="P1020" s="49"/>
      <c r="Q1020" s="49" t="s">
        <v>8105</v>
      </c>
      <c r="R1020" s="50">
        <v>38</v>
      </c>
      <c r="S1020" s="50">
        <v>581</v>
      </c>
      <c r="T1020" s="51" t="s">
        <v>96</v>
      </c>
      <c r="U1020" s="51">
        <v>27</v>
      </c>
      <c r="V1020" s="52">
        <f t="shared" si="28"/>
        <v>135</v>
      </c>
      <c r="W1020" s="51" t="s">
        <v>350</v>
      </c>
      <c r="X1020" s="198" t="s">
        <v>8106</v>
      </c>
      <c r="Y1020" s="199" t="s">
        <v>144</v>
      </c>
      <c r="Z1020" s="565"/>
      <c r="AA1020" s="170" t="s">
        <v>6927</v>
      </c>
      <c r="AB1020" s="243" t="s">
        <v>485</v>
      </c>
      <c r="AC1020" s="172">
        <v>4117.5</v>
      </c>
    </row>
    <row r="1021" spans="1:31" s="200" customFormat="1" ht="56.25" customHeight="1" x14ac:dyDescent="0.25">
      <c r="A1021" s="566">
        <v>45679</v>
      </c>
      <c r="B1021" s="121" t="s">
        <v>8107</v>
      </c>
      <c r="C1021" s="507" t="s">
        <v>8108</v>
      </c>
      <c r="D1021" s="121"/>
      <c r="E1021" s="122" t="s">
        <v>39</v>
      </c>
      <c r="F1021" s="19">
        <v>1</v>
      </c>
      <c r="G1021" s="123"/>
      <c r="H1021" s="123"/>
      <c r="I1021" s="351" t="s">
        <v>8109</v>
      </c>
      <c r="J1021" s="124">
        <v>50</v>
      </c>
      <c r="K1021" s="125" t="s">
        <v>9992</v>
      </c>
      <c r="L1021" s="126" t="s">
        <v>63</v>
      </c>
      <c r="M1021" s="42" t="s">
        <v>42</v>
      </c>
      <c r="N1021" s="216" t="s">
        <v>1563</v>
      </c>
      <c r="O1021" s="129" t="s">
        <v>8110</v>
      </c>
      <c r="P1021" s="129" t="s">
        <v>8111</v>
      </c>
      <c r="Q1021" s="129" t="s">
        <v>8112</v>
      </c>
      <c r="R1021" s="217">
        <v>112</v>
      </c>
      <c r="S1021" s="217">
        <v>512</v>
      </c>
      <c r="T1021" s="130" t="s">
        <v>141</v>
      </c>
      <c r="U1021" s="130">
        <v>3</v>
      </c>
      <c r="V1021" s="352">
        <f t="shared" si="28"/>
        <v>150</v>
      </c>
      <c r="W1021" s="130" t="s">
        <v>350</v>
      </c>
      <c r="X1021" s="131" t="s">
        <v>881</v>
      </c>
      <c r="Y1021" s="353" t="s">
        <v>50</v>
      </c>
      <c r="Z1021" s="730"/>
      <c r="AA1021" s="134" t="s">
        <v>2179</v>
      </c>
      <c r="AB1021" s="354" t="s">
        <v>2074</v>
      </c>
      <c r="AC1021" s="136">
        <v>8177</v>
      </c>
    </row>
    <row r="1022" spans="1:31" s="200" customFormat="1" ht="165" x14ac:dyDescent="0.25">
      <c r="A1022" s="566">
        <v>45679</v>
      </c>
      <c r="B1022" s="164" t="s">
        <v>8113</v>
      </c>
      <c r="C1022" s="41" t="s">
        <v>8114</v>
      </c>
      <c r="D1022" s="41" t="s">
        <v>8115</v>
      </c>
      <c r="E1022" s="42" t="s">
        <v>39</v>
      </c>
      <c r="F1022" s="19">
        <v>2</v>
      </c>
      <c r="G1022" s="43"/>
      <c r="H1022" s="43"/>
      <c r="I1022" s="245" t="s">
        <v>8116</v>
      </c>
      <c r="J1022" s="45">
        <v>30</v>
      </c>
      <c r="K1022" s="46" t="s">
        <v>8117</v>
      </c>
      <c r="L1022" s="277" t="s">
        <v>63</v>
      </c>
      <c r="M1022" s="42" t="s">
        <v>42</v>
      </c>
      <c r="N1022" s="77" t="s">
        <v>240</v>
      </c>
      <c r="O1022" s="49" t="s">
        <v>8118</v>
      </c>
      <c r="P1022" s="49" t="s">
        <v>8119</v>
      </c>
      <c r="Q1022" s="49" t="s">
        <v>8120</v>
      </c>
      <c r="R1022" s="50">
        <v>62</v>
      </c>
      <c r="S1022" s="50">
        <v>317</v>
      </c>
      <c r="T1022" s="51" t="s">
        <v>47</v>
      </c>
      <c r="U1022" s="51">
        <v>19</v>
      </c>
      <c r="V1022" s="52">
        <f t="shared" si="28"/>
        <v>570</v>
      </c>
      <c r="W1022" s="51" t="s">
        <v>68</v>
      </c>
      <c r="X1022" s="198" t="s">
        <v>4692</v>
      </c>
      <c r="Y1022" s="199" t="s">
        <v>7004</v>
      </c>
      <c r="Z1022" s="565"/>
      <c r="AA1022" s="170" t="s">
        <v>1763</v>
      </c>
      <c r="AB1022" s="243" t="s">
        <v>485</v>
      </c>
      <c r="AC1022" s="172">
        <v>6253.5</v>
      </c>
    </row>
    <row r="1023" spans="1:31" s="200" customFormat="1" ht="120" customHeight="1" x14ac:dyDescent="0.25">
      <c r="A1023" s="566">
        <v>45678</v>
      </c>
      <c r="B1023" s="596" t="s">
        <v>8121</v>
      </c>
      <c r="C1023" s="731" t="s">
        <v>8122</v>
      </c>
      <c r="D1023" s="596" t="s">
        <v>8123</v>
      </c>
      <c r="E1023" s="607" t="s">
        <v>39</v>
      </c>
      <c r="F1023" s="608"/>
      <c r="G1023" s="608"/>
      <c r="H1023" s="19">
        <v>1</v>
      </c>
      <c r="I1023" s="245" t="s">
        <v>8124</v>
      </c>
      <c r="J1023" s="609">
        <v>8</v>
      </c>
      <c r="K1023" s="610" t="s">
        <v>9993</v>
      </c>
      <c r="L1023" s="611" t="s">
        <v>63</v>
      </c>
      <c r="M1023" s="42" t="s">
        <v>42</v>
      </c>
      <c r="N1023" s="401" t="s">
        <v>240</v>
      </c>
      <c r="O1023" s="49" t="s">
        <v>8126</v>
      </c>
      <c r="P1023" s="49" t="s">
        <v>8127</v>
      </c>
      <c r="Q1023" s="49" t="s">
        <v>8105</v>
      </c>
      <c r="R1023" s="613">
        <v>76</v>
      </c>
      <c r="S1023" s="613">
        <v>262</v>
      </c>
      <c r="T1023" s="614" t="s">
        <v>47</v>
      </c>
      <c r="U1023" s="614">
        <v>3</v>
      </c>
      <c r="V1023" s="615">
        <f t="shared" si="28"/>
        <v>24</v>
      </c>
      <c r="W1023" s="51" t="s">
        <v>350</v>
      </c>
      <c r="X1023" s="616" t="s">
        <v>6091</v>
      </c>
      <c r="Y1023" s="199" t="s">
        <v>82</v>
      </c>
      <c r="Z1023" s="643" t="s">
        <v>4664</v>
      </c>
      <c r="AA1023" s="617" t="s">
        <v>8128</v>
      </c>
      <c r="AB1023" s="618" t="s">
        <v>7491</v>
      </c>
      <c r="AC1023" s="619">
        <v>3470.8</v>
      </c>
    </row>
    <row r="1024" spans="1:31" s="200" customFormat="1" ht="75" x14ac:dyDescent="0.25">
      <c r="A1024" s="566">
        <v>45678</v>
      </c>
      <c r="B1024" s="164" t="s">
        <v>8129</v>
      </c>
      <c r="C1024" s="41" t="s">
        <v>8130</v>
      </c>
      <c r="D1024" s="41"/>
      <c r="E1024" s="42" t="s">
        <v>39</v>
      </c>
      <c r="F1024" s="19">
        <v>1</v>
      </c>
      <c r="G1024" s="43"/>
      <c r="H1024" s="43"/>
      <c r="I1024" s="245" t="s">
        <v>8131</v>
      </c>
      <c r="J1024" s="45">
        <v>25</v>
      </c>
      <c r="K1024" s="46" t="s">
        <v>8125</v>
      </c>
      <c r="L1024" s="277" t="s">
        <v>63</v>
      </c>
      <c r="M1024" s="42" t="s">
        <v>42</v>
      </c>
      <c r="N1024" s="77" t="s">
        <v>8132</v>
      </c>
      <c r="O1024" s="49" t="s">
        <v>8133</v>
      </c>
      <c r="P1024" s="49" t="s">
        <v>8127</v>
      </c>
      <c r="Q1024" s="49" t="s">
        <v>8105</v>
      </c>
      <c r="R1024" s="50">
        <v>81</v>
      </c>
      <c r="S1024" s="50">
        <v>418</v>
      </c>
      <c r="T1024" s="51" t="s">
        <v>47</v>
      </c>
      <c r="U1024" s="51">
        <v>1</v>
      </c>
      <c r="V1024" s="52">
        <f t="shared" si="28"/>
        <v>25</v>
      </c>
      <c r="W1024" s="51" t="s">
        <v>142</v>
      </c>
      <c r="X1024" s="198" t="s">
        <v>732</v>
      </c>
      <c r="Y1024" s="199" t="s">
        <v>70</v>
      </c>
      <c r="Z1024" s="565"/>
      <c r="AA1024" s="170" t="s">
        <v>1763</v>
      </c>
      <c r="AB1024" s="243" t="s">
        <v>7491</v>
      </c>
      <c r="AC1024" s="172">
        <v>6575</v>
      </c>
    </row>
    <row r="1025" spans="1:31" s="200" customFormat="1" ht="253.5" customHeight="1" x14ac:dyDescent="0.25">
      <c r="A1025" s="566">
        <v>45678</v>
      </c>
      <c r="B1025" s="585" t="s">
        <v>8134</v>
      </c>
      <c r="C1025" s="586" t="s">
        <v>8135</v>
      </c>
      <c r="D1025" s="586" t="s">
        <v>8136</v>
      </c>
      <c r="E1025" s="587" t="s">
        <v>39</v>
      </c>
      <c r="F1025" s="588"/>
      <c r="G1025" s="588"/>
      <c r="H1025" s="19">
        <v>1</v>
      </c>
      <c r="I1025" s="245" t="s">
        <v>8137</v>
      </c>
      <c r="J1025" s="589">
        <v>3</v>
      </c>
      <c r="K1025" s="673" t="s">
        <v>8138</v>
      </c>
      <c r="L1025" s="591" t="s">
        <v>63</v>
      </c>
      <c r="M1025" s="587" t="s">
        <v>42</v>
      </c>
      <c r="N1025" s="592" t="s">
        <v>8139</v>
      </c>
      <c r="O1025" s="593" t="s">
        <v>8140</v>
      </c>
      <c r="P1025" s="593" t="s">
        <v>8141</v>
      </c>
      <c r="Q1025" s="593" t="s">
        <v>8105</v>
      </c>
      <c r="R1025" s="594">
        <v>64</v>
      </c>
      <c r="S1025" s="594">
        <v>579</v>
      </c>
      <c r="T1025" s="587" t="s">
        <v>47</v>
      </c>
      <c r="U1025" s="587">
        <v>22</v>
      </c>
      <c r="V1025" s="732">
        <f t="shared" si="28"/>
        <v>66</v>
      </c>
      <c r="W1025" s="587" t="s">
        <v>142</v>
      </c>
      <c r="X1025" s="30" t="s">
        <v>8142</v>
      </c>
      <c r="Y1025" s="199" t="s">
        <v>7004</v>
      </c>
      <c r="Z1025" s="565"/>
      <c r="AA1025" s="170" t="s">
        <v>1712</v>
      </c>
      <c r="AB1025" s="243" t="s">
        <v>7745</v>
      </c>
      <c r="AC1025" s="172">
        <v>6350.2</v>
      </c>
    </row>
    <row r="1026" spans="1:31" s="200" customFormat="1" ht="196.5" customHeight="1" x14ac:dyDescent="0.25">
      <c r="A1026" s="566">
        <v>45678</v>
      </c>
      <c r="B1026" s="568"/>
      <c r="C1026" s="733" t="s">
        <v>8143</v>
      </c>
      <c r="D1026" s="605" t="s">
        <v>8144</v>
      </c>
      <c r="E1026" s="734" t="s">
        <v>39</v>
      </c>
      <c r="F1026" s="735"/>
      <c r="G1026" s="735"/>
      <c r="H1026" s="19">
        <v>1</v>
      </c>
      <c r="I1026" s="599" t="s">
        <v>8145</v>
      </c>
      <c r="J1026" s="610">
        <f>215-100</f>
        <v>115</v>
      </c>
      <c r="K1026" s="861" t="s">
        <v>9994</v>
      </c>
      <c r="L1026" s="613" t="s">
        <v>63</v>
      </c>
      <c r="M1026" s="42" t="s">
        <v>42</v>
      </c>
      <c r="N1026" s="401" t="s">
        <v>8146</v>
      </c>
      <c r="O1026" s="702" t="s">
        <v>8147</v>
      </c>
      <c r="P1026" s="702" t="s">
        <v>8148</v>
      </c>
      <c r="Q1026" s="50" t="s">
        <v>8149</v>
      </c>
      <c r="R1026" s="613">
        <v>81</v>
      </c>
      <c r="S1026" s="613">
        <v>274</v>
      </c>
      <c r="T1026" s="614" t="s">
        <v>180</v>
      </c>
      <c r="U1026" s="614">
        <v>2</v>
      </c>
      <c r="V1026" s="615">
        <f t="shared" si="28"/>
        <v>230</v>
      </c>
      <c r="W1026" s="614" t="s">
        <v>350</v>
      </c>
      <c r="X1026" s="616" t="s">
        <v>265</v>
      </c>
      <c r="Y1026" s="736" t="s">
        <v>82</v>
      </c>
      <c r="Z1026" s="643" t="s">
        <v>8150</v>
      </c>
      <c r="AA1026" s="693" t="s">
        <v>1622</v>
      </c>
      <c r="AB1026" s="737" t="s">
        <v>8151</v>
      </c>
      <c r="AC1026" s="631">
        <f>18748*115/215</f>
        <v>10028</v>
      </c>
      <c r="AE1026" s="738">
        <v>45677</v>
      </c>
    </row>
    <row r="1027" spans="1:31" s="200" customFormat="1" ht="120" x14ac:dyDescent="0.25">
      <c r="A1027" s="566">
        <v>45678</v>
      </c>
      <c r="B1027" s="41" t="s">
        <v>8152</v>
      </c>
      <c r="C1027" s="41" t="s">
        <v>8153</v>
      </c>
      <c r="D1027" s="41" t="s">
        <v>8154</v>
      </c>
      <c r="E1027" s="42" t="s">
        <v>39</v>
      </c>
      <c r="F1027" s="43"/>
      <c r="G1027" s="19">
        <v>1</v>
      </c>
      <c r="H1027" s="43"/>
      <c r="I1027" s="739" t="s">
        <v>8155</v>
      </c>
      <c r="J1027" s="45">
        <v>100</v>
      </c>
      <c r="K1027" s="46" t="s">
        <v>8156</v>
      </c>
      <c r="L1027" s="47" t="s">
        <v>63</v>
      </c>
      <c r="M1027" s="42" t="s">
        <v>42</v>
      </c>
      <c r="N1027" s="77" t="s">
        <v>8157</v>
      </c>
      <c r="O1027" s="49" t="s">
        <v>8158</v>
      </c>
      <c r="P1027" s="49" t="s">
        <v>8159</v>
      </c>
      <c r="Q1027" s="49" t="s">
        <v>8160</v>
      </c>
      <c r="R1027" s="50">
        <v>27</v>
      </c>
      <c r="S1027" s="50">
        <v>220</v>
      </c>
      <c r="T1027" s="51" t="s">
        <v>47</v>
      </c>
      <c r="U1027" s="51">
        <v>3</v>
      </c>
      <c r="V1027" s="52">
        <f t="shared" si="28"/>
        <v>300</v>
      </c>
      <c r="W1027" s="51" t="s">
        <v>142</v>
      </c>
      <c r="X1027" s="198" t="s">
        <v>331</v>
      </c>
      <c r="Y1027" s="199" t="s">
        <v>8161</v>
      </c>
      <c r="Z1027" s="740" t="s">
        <v>8162</v>
      </c>
      <c r="AA1027" s="170" t="s">
        <v>7881</v>
      </c>
      <c r="AB1027" s="243" t="s">
        <v>8163</v>
      </c>
      <c r="AC1027" s="172">
        <v>6910</v>
      </c>
      <c r="AE1027" s="738">
        <v>45671</v>
      </c>
    </row>
    <row r="1028" spans="1:31" s="200" customFormat="1" ht="93.75" customHeight="1" x14ac:dyDescent="0.25">
      <c r="A1028" s="566">
        <v>45678</v>
      </c>
      <c r="B1028" s="605"/>
      <c r="C1028" s="741" t="s">
        <v>7818</v>
      </c>
      <c r="D1028" s="742" t="s">
        <v>7819</v>
      </c>
      <c r="E1028" s="51" t="s">
        <v>39</v>
      </c>
      <c r="F1028" s="743"/>
      <c r="G1028" s="743"/>
      <c r="H1028" s="19">
        <v>1</v>
      </c>
      <c r="I1028" s="245" t="s">
        <v>8164</v>
      </c>
      <c r="J1028" s="110">
        <v>360</v>
      </c>
      <c r="K1028" s="111" t="s">
        <v>8165</v>
      </c>
      <c r="L1028" s="47" t="s">
        <v>63</v>
      </c>
      <c r="M1028" s="42" t="s">
        <v>42</v>
      </c>
      <c r="N1028" s="744" t="s">
        <v>8166</v>
      </c>
      <c r="O1028" s="49" t="s">
        <v>8167</v>
      </c>
      <c r="P1028" s="49" t="s">
        <v>8168</v>
      </c>
      <c r="Q1028" s="49" t="s">
        <v>8169</v>
      </c>
      <c r="R1028" s="50">
        <v>6</v>
      </c>
      <c r="S1028" s="50">
        <v>14</v>
      </c>
      <c r="T1028" s="51" t="s">
        <v>47</v>
      </c>
      <c r="U1028" s="51">
        <v>0</v>
      </c>
      <c r="V1028" s="52">
        <f t="shared" si="28"/>
        <v>0</v>
      </c>
      <c r="W1028" s="51" t="s">
        <v>142</v>
      </c>
      <c r="X1028" s="198" t="s">
        <v>1243</v>
      </c>
      <c r="Y1028" s="199" t="s">
        <v>7004</v>
      </c>
      <c r="Z1028" s="565"/>
      <c r="AA1028" s="170" t="s">
        <v>7826</v>
      </c>
      <c r="AB1028" s="243" t="s">
        <v>2430</v>
      </c>
      <c r="AC1028" s="35">
        <f>6555*(360/750)</f>
        <v>3146.4</v>
      </c>
    </row>
    <row r="1029" spans="1:31" s="307" customFormat="1" ht="53.25" customHeight="1" x14ac:dyDescent="0.25">
      <c r="A1029" s="566">
        <v>45677</v>
      </c>
      <c r="B1029" s="41" t="s">
        <v>8170</v>
      </c>
      <c r="C1029" s="41" t="s">
        <v>8171</v>
      </c>
      <c r="D1029" s="41"/>
      <c r="E1029" s="42" t="s">
        <v>39</v>
      </c>
      <c r="F1029" s="19">
        <v>1</v>
      </c>
      <c r="G1029" s="467"/>
      <c r="H1029" s="43"/>
      <c r="I1029" s="245" t="s">
        <v>8172</v>
      </c>
      <c r="J1029" s="45">
        <v>25</v>
      </c>
      <c r="K1029" s="46" t="s">
        <v>8200</v>
      </c>
      <c r="L1029" s="277" t="s">
        <v>63</v>
      </c>
      <c r="M1029" s="42" t="s">
        <v>42</v>
      </c>
      <c r="N1029" s="77" t="s">
        <v>8173</v>
      </c>
      <c r="O1029" s="49" t="s">
        <v>8174</v>
      </c>
      <c r="P1029" s="49"/>
      <c r="Q1029" s="49" t="s">
        <v>8175</v>
      </c>
      <c r="R1029" s="50">
        <v>116</v>
      </c>
      <c r="S1029" s="50">
        <v>564</v>
      </c>
      <c r="T1029" s="51" t="s">
        <v>67</v>
      </c>
      <c r="U1029" s="51">
        <v>7</v>
      </c>
      <c r="V1029" s="52">
        <f t="shared" si="28"/>
        <v>175</v>
      </c>
      <c r="W1029" s="51" t="s">
        <v>350</v>
      </c>
      <c r="X1029" s="198" t="s">
        <v>1004</v>
      </c>
      <c r="Y1029" s="199" t="s">
        <v>82</v>
      </c>
      <c r="Z1029" s="565"/>
      <c r="AA1029" s="170" t="s">
        <v>1763</v>
      </c>
      <c r="AB1029" s="243" t="s">
        <v>7907</v>
      </c>
      <c r="AC1029" s="172">
        <v>8198.75</v>
      </c>
      <c r="AE1029" s="738">
        <v>45673</v>
      </c>
    </row>
    <row r="1030" spans="1:31" s="200" customFormat="1" ht="69.75" customHeight="1" x14ac:dyDescent="0.25">
      <c r="A1030" s="566">
        <v>45677</v>
      </c>
      <c r="B1030" s="95" t="s">
        <v>8176</v>
      </c>
      <c r="C1030" s="95" t="s">
        <v>8177</v>
      </c>
      <c r="D1030" s="95" t="s">
        <v>8178</v>
      </c>
      <c r="E1030" s="96" t="s">
        <v>39</v>
      </c>
      <c r="F1030" s="97"/>
      <c r="G1030" s="19">
        <v>1</v>
      </c>
      <c r="H1030" s="97"/>
      <c r="I1030" s="245" t="s">
        <v>8179</v>
      </c>
      <c r="J1030" s="98">
        <v>150</v>
      </c>
      <c r="K1030" s="99" t="s">
        <v>8180</v>
      </c>
      <c r="L1030" s="100" t="s">
        <v>63</v>
      </c>
      <c r="M1030" s="96" t="s">
        <v>42</v>
      </c>
      <c r="N1030" s="101" t="s">
        <v>240</v>
      </c>
      <c r="O1030" s="102" t="s">
        <v>8181</v>
      </c>
      <c r="P1030" s="102" t="s">
        <v>8182</v>
      </c>
      <c r="Q1030" s="102" t="s">
        <v>8183</v>
      </c>
      <c r="R1030" s="103">
        <v>3</v>
      </c>
      <c r="S1030" s="103">
        <v>14</v>
      </c>
      <c r="T1030" s="96" t="s">
        <v>47</v>
      </c>
      <c r="U1030" s="96">
        <v>0</v>
      </c>
      <c r="V1030" s="104">
        <f t="shared" si="28"/>
        <v>0</v>
      </c>
      <c r="W1030" s="96" t="s">
        <v>350</v>
      </c>
      <c r="X1030" s="198" t="s">
        <v>6055</v>
      </c>
      <c r="Y1030" s="199" t="s">
        <v>50</v>
      </c>
      <c r="Z1030" s="565"/>
      <c r="AA1030" s="170" t="s">
        <v>7623</v>
      </c>
      <c r="AB1030" s="243" t="s">
        <v>7709</v>
      </c>
      <c r="AC1030" s="172">
        <v>7725</v>
      </c>
    </row>
    <row r="1031" spans="1:31" s="200" customFormat="1" ht="69.75" customHeight="1" x14ac:dyDescent="0.25">
      <c r="A1031" s="566">
        <v>45677</v>
      </c>
      <c r="C1031" s="41" t="s">
        <v>7643</v>
      </c>
      <c r="D1031" s="41" t="s">
        <v>7644</v>
      </c>
      <c r="E1031" s="42" t="s">
        <v>39</v>
      </c>
      <c r="F1031" s="43"/>
      <c r="G1031" s="19">
        <v>1</v>
      </c>
      <c r="H1031" s="608"/>
      <c r="I1031" s="245" t="s">
        <v>8184</v>
      </c>
      <c r="J1031" s="45">
        <v>33</v>
      </c>
      <c r="K1031" s="46" t="s">
        <v>8185</v>
      </c>
      <c r="L1031" s="47" t="s">
        <v>63</v>
      </c>
      <c r="M1031" s="637" t="s">
        <v>42</v>
      </c>
      <c r="N1031" s="77" t="s">
        <v>8186</v>
      </c>
      <c r="O1031" s="49" t="s">
        <v>7648</v>
      </c>
      <c r="P1031" s="638" t="s">
        <v>7649</v>
      </c>
      <c r="Q1031" s="49" t="s">
        <v>7650</v>
      </c>
      <c r="R1031" s="50">
        <v>106</v>
      </c>
      <c r="S1031" s="50">
        <v>290</v>
      </c>
      <c r="T1031" s="51" t="s">
        <v>141</v>
      </c>
      <c r="U1031" s="51">
        <v>1</v>
      </c>
      <c r="V1031" s="52">
        <f t="shared" si="28"/>
        <v>33</v>
      </c>
      <c r="W1031" s="51" t="s">
        <v>48</v>
      </c>
      <c r="X1031" s="198" t="s">
        <v>2234</v>
      </c>
      <c r="Y1031" s="199" t="s">
        <v>144</v>
      </c>
      <c r="Z1031" s="565"/>
      <c r="AA1031" s="170" t="s">
        <v>7651</v>
      </c>
      <c r="AB1031" s="243" t="s">
        <v>2310</v>
      </c>
      <c r="AC1031" s="35">
        <f>7640*(33/100)</f>
        <v>2521.2000000000003</v>
      </c>
    </row>
    <row r="1032" spans="1:31" s="200" customFormat="1" ht="225.75" customHeight="1" x14ac:dyDescent="0.25">
      <c r="A1032" s="566">
        <v>45677</v>
      </c>
      <c r="B1032" s="95"/>
      <c r="C1032" s="95" t="s">
        <v>8187</v>
      </c>
      <c r="D1032" s="95" t="s">
        <v>8188</v>
      </c>
      <c r="E1032" s="96" t="s">
        <v>39</v>
      </c>
      <c r="F1032" s="19">
        <v>1</v>
      </c>
      <c r="G1032" s="97"/>
      <c r="H1032" s="97"/>
      <c r="I1032" s="245" t="s">
        <v>8189</v>
      </c>
      <c r="J1032" s="98">
        <v>15</v>
      </c>
      <c r="K1032" s="99" t="s">
        <v>8190</v>
      </c>
      <c r="L1032" s="100" t="s">
        <v>63</v>
      </c>
      <c r="M1032" s="96" t="s">
        <v>42</v>
      </c>
      <c r="N1032" s="101" t="s">
        <v>8191</v>
      </c>
      <c r="O1032" s="102" t="s">
        <v>8192</v>
      </c>
      <c r="P1032" s="102" t="s">
        <v>8193</v>
      </c>
      <c r="Q1032" s="102" t="s">
        <v>8194</v>
      </c>
      <c r="R1032" s="103">
        <v>188</v>
      </c>
      <c r="S1032" s="103">
        <v>677</v>
      </c>
      <c r="T1032" s="96" t="s">
        <v>933</v>
      </c>
      <c r="U1032" s="96">
        <v>28</v>
      </c>
      <c r="V1032" s="104">
        <f t="shared" si="28"/>
        <v>420</v>
      </c>
      <c r="W1032" s="96" t="s">
        <v>350</v>
      </c>
      <c r="X1032" s="198" t="s">
        <v>934</v>
      </c>
      <c r="Y1032" s="199" t="s">
        <v>82</v>
      </c>
      <c r="Z1032" s="740" t="s">
        <v>8195</v>
      </c>
      <c r="AA1032" s="170" t="s">
        <v>7881</v>
      </c>
      <c r="AB1032" s="243" t="s">
        <v>1781</v>
      </c>
      <c r="AC1032" s="172">
        <v>20466.099999999999</v>
      </c>
      <c r="AE1032" s="738">
        <v>45672</v>
      </c>
    </row>
    <row r="1033" spans="1:31" s="200" customFormat="1" ht="100.5" customHeight="1" x14ac:dyDescent="0.25">
      <c r="A1033" s="566">
        <v>45677</v>
      </c>
      <c r="B1033" s="164" t="s">
        <v>8196</v>
      </c>
      <c r="C1033" s="41" t="s">
        <v>8197</v>
      </c>
      <c r="D1033" s="745" t="s">
        <v>8198</v>
      </c>
      <c r="E1033" s="42" t="s">
        <v>39</v>
      </c>
      <c r="F1033" s="19">
        <v>1</v>
      </c>
      <c r="G1033" s="467"/>
      <c r="H1033" s="467"/>
      <c r="I1033" s="245" t="s">
        <v>8199</v>
      </c>
      <c r="J1033" s="45">
        <v>10</v>
      </c>
      <c r="K1033" s="46" t="s">
        <v>8200</v>
      </c>
      <c r="L1033" s="47" t="s">
        <v>63</v>
      </c>
      <c r="M1033" s="42" t="s">
        <v>42</v>
      </c>
      <c r="N1033" s="77" t="s">
        <v>8201</v>
      </c>
      <c r="O1033" s="49" t="s">
        <v>8202</v>
      </c>
      <c r="P1033" s="49" t="s">
        <v>8203</v>
      </c>
      <c r="Q1033" s="49" t="s">
        <v>8204</v>
      </c>
      <c r="R1033" s="50">
        <v>172</v>
      </c>
      <c r="S1033" s="50">
        <v>807</v>
      </c>
      <c r="T1033" s="51" t="s">
        <v>2482</v>
      </c>
      <c r="U1033" s="51">
        <v>51</v>
      </c>
      <c r="V1033" s="52">
        <f t="shared" si="28"/>
        <v>510</v>
      </c>
      <c r="W1033" s="51" t="s">
        <v>350</v>
      </c>
      <c r="X1033" s="198" t="s">
        <v>2483</v>
      </c>
      <c r="Y1033" s="199" t="s">
        <v>82</v>
      </c>
      <c r="Z1033" s="565"/>
      <c r="AA1033" s="170" t="s">
        <v>2026</v>
      </c>
      <c r="AB1033" s="243" t="s">
        <v>2074</v>
      </c>
      <c r="AC1033" s="172">
        <v>18653</v>
      </c>
      <c r="AE1033" s="738">
        <v>45671</v>
      </c>
    </row>
    <row r="1034" spans="1:31" s="200" customFormat="1" ht="229.5" customHeight="1" x14ac:dyDescent="0.25">
      <c r="A1034" s="566">
        <v>45674</v>
      </c>
      <c r="B1034" s="746" t="s">
        <v>8205</v>
      </c>
      <c r="C1034" s="586" t="s">
        <v>8206</v>
      </c>
      <c r="D1034" s="414" t="s">
        <v>8207</v>
      </c>
      <c r="E1034" s="587" t="s">
        <v>39</v>
      </c>
      <c r="F1034" s="19">
        <v>2</v>
      </c>
      <c r="G1034" s="588"/>
      <c r="H1034" s="588"/>
      <c r="I1034" s="245" t="s">
        <v>8208</v>
      </c>
      <c r="J1034" s="589">
        <v>6</v>
      </c>
      <c r="K1034" s="747" t="s">
        <v>8209</v>
      </c>
      <c r="L1034" s="591" t="s">
        <v>63</v>
      </c>
      <c r="M1034" s="587" t="s">
        <v>42</v>
      </c>
      <c r="N1034" s="748" t="s">
        <v>8210</v>
      </c>
      <c r="O1034" s="593" t="s">
        <v>8211</v>
      </c>
      <c r="P1034" s="593" t="s">
        <v>8212</v>
      </c>
      <c r="Q1034" s="593" t="s">
        <v>8213</v>
      </c>
      <c r="R1034" s="594">
        <v>77</v>
      </c>
      <c r="S1034" s="594">
        <v>385</v>
      </c>
      <c r="T1034" s="587" t="s">
        <v>180</v>
      </c>
      <c r="U1034" s="587">
        <v>61</v>
      </c>
      <c r="V1034" s="732">
        <f t="shared" si="28"/>
        <v>366</v>
      </c>
      <c r="W1034" s="587" t="s">
        <v>221</v>
      </c>
      <c r="X1034" s="198" t="s">
        <v>232</v>
      </c>
      <c r="Y1034" s="199" t="s">
        <v>50</v>
      </c>
      <c r="Z1034" s="740" t="s">
        <v>8214</v>
      </c>
      <c r="AA1034" s="170" t="s">
        <v>8215</v>
      </c>
      <c r="AB1034" s="243" t="s">
        <v>7745</v>
      </c>
      <c r="AC1034" s="172">
        <v>13142.5</v>
      </c>
    </row>
    <row r="1035" spans="1:31" s="200" customFormat="1" ht="37.5" customHeight="1" x14ac:dyDescent="0.25">
      <c r="A1035" s="566">
        <v>45674</v>
      </c>
      <c r="B1035" s="174" t="s">
        <v>6115</v>
      </c>
      <c r="C1035" s="95" t="s">
        <v>8216</v>
      </c>
      <c r="D1035" s="95"/>
      <c r="E1035" s="96" t="s">
        <v>39</v>
      </c>
      <c r="F1035" s="97"/>
      <c r="G1035" s="19">
        <v>1</v>
      </c>
      <c r="H1035" s="97"/>
      <c r="I1035" s="245" t="s">
        <v>8217</v>
      </c>
      <c r="J1035" s="98">
        <v>150</v>
      </c>
      <c r="K1035" s="482" t="s">
        <v>9995</v>
      </c>
      <c r="L1035" s="100" t="s">
        <v>63</v>
      </c>
      <c r="M1035" s="96" t="s">
        <v>42</v>
      </c>
      <c r="N1035" s="101" t="s">
        <v>5795</v>
      </c>
      <c r="O1035" s="102" t="s">
        <v>8174</v>
      </c>
      <c r="P1035" s="102"/>
      <c r="Q1035" s="102" t="s">
        <v>8218</v>
      </c>
      <c r="R1035" s="103">
        <v>5</v>
      </c>
      <c r="S1035" s="103">
        <v>7</v>
      </c>
      <c r="T1035" s="96" t="s">
        <v>96</v>
      </c>
      <c r="U1035" s="96">
        <v>0</v>
      </c>
      <c r="V1035" s="104">
        <f t="shared" si="28"/>
        <v>0</v>
      </c>
      <c r="W1035" s="96" t="s">
        <v>350</v>
      </c>
      <c r="X1035" s="198" t="s">
        <v>6055</v>
      </c>
      <c r="Y1035" s="199" t="s">
        <v>50</v>
      </c>
      <c r="Z1035" s="565"/>
      <c r="AA1035" s="170" t="s">
        <v>7623</v>
      </c>
      <c r="AB1035" s="243" t="s">
        <v>8012</v>
      </c>
      <c r="AC1035" s="172">
        <v>6885</v>
      </c>
    </row>
    <row r="1036" spans="1:31" ht="291.75" customHeight="1" x14ac:dyDescent="0.25">
      <c r="A1036" s="566">
        <v>45674</v>
      </c>
      <c r="B1036" s="95" t="s">
        <v>8219</v>
      </c>
      <c r="C1036" s="95" t="s">
        <v>8220</v>
      </c>
      <c r="D1036" s="749" t="s">
        <v>8221</v>
      </c>
      <c r="E1036" s="96" t="s">
        <v>39</v>
      </c>
      <c r="F1036" s="510"/>
      <c r="G1036" s="510"/>
      <c r="H1036" s="19">
        <v>1</v>
      </c>
      <c r="I1036" s="245" t="s">
        <v>8222</v>
      </c>
      <c r="J1036" s="98">
        <v>15</v>
      </c>
      <c r="K1036" s="165" t="s">
        <v>8223</v>
      </c>
      <c r="L1036" s="100" t="s">
        <v>63</v>
      </c>
      <c r="M1036" s="96" t="s">
        <v>42</v>
      </c>
      <c r="N1036" s="750" t="s">
        <v>8224</v>
      </c>
      <c r="O1036" s="102" t="s">
        <v>8225</v>
      </c>
      <c r="P1036" s="102" t="s">
        <v>8226</v>
      </c>
      <c r="Q1036" s="102" t="s">
        <v>8227</v>
      </c>
      <c r="R1036" s="103">
        <v>164</v>
      </c>
      <c r="S1036" s="103">
        <v>871</v>
      </c>
      <c r="T1036" s="96" t="s">
        <v>141</v>
      </c>
      <c r="U1036" s="96">
        <v>9</v>
      </c>
      <c r="V1036" s="104">
        <f t="shared" si="28"/>
        <v>135</v>
      </c>
      <c r="W1036" s="96" t="s">
        <v>350</v>
      </c>
      <c r="X1036" s="198" t="s">
        <v>934</v>
      </c>
      <c r="Y1036" s="168" t="s">
        <v>82</v>
      </c>
      <c r="Z1036" s="740" t="s">
        <v>8228</v>
      </c>
      <c r="AA1036" s="170" t="s">
        <v>7881</v>
      </c>
      <c r="AB1036" s="243" t="s">
        <v>8229</v>
      </c>
      <c r="AC1036" s="172">
        <v>20933.2</v>
      </c>
      <c r="AE1036" s="738">
        <v>45671</v>
      </c>
    </row>
    <row r="1037" spans="1:31" ht="50.25" customHeight="1" x14ac:dyDescent="0.25">
      <c r="A1037" s="566">
        <v>45674</v>
      </c>
      <c r="B1037" s="41" t="s">
        <v>8230</v>
      </c>
      <c r="C1037" s="41" t="s">
        <v>8153</v>
      </c>
      <c r="D1037" s="41" t="s">
        <v>8231</v>
      </c>
      <c r="E1037" s="42" t="s">
        <v>39</v>
      </c>
      <c r="F1037" s="19">
        <v>1</v>
      </c>
      <c r="G1037" s="43"/>
      <c r="H1037" s="43"/>
      <c r="I1037" s="245" t="s">
        <v>8232</v>
      </c>
      <c r="J1037" s="45">
        <v>30</v>
      </c>
      <c r="K1037" s="46" t="s">
        <v>8233</v>
      </c>
      <c r="L1037" s="47" t="s">
        <v>63</v>
      </c>
      <c r="M1037" s="42" t="s">
        <v>42</v>
      </c>
      <c r="N1037" s="77" t="s">
        <v>8234</v>
      </c>
      <c r="O1037" s="49" t="s">
        <v>8235</v>
      </c>
      <c r="P1037" s="49"/>
      <c r="Q1037" s="49" t="s">
        <v>8236</v>
      </c>
      <c r="R1037" s="50">
        <v>20</v>
      </c>
      <c r="S1037" s="50">
        <v>183</v>
      </c>
      <c r="T1037" s="51" t="s">
        <v>393</v>
      </c>
      <c r="U1037" s="51">
        <v>30</v>
      </c>
      <c r="V1037" s="52">
        <f t="shared" si="28"/>
        <v>900</v>
      </c>
      <c r="W1037" s="51" t="s">
        <v>4564</v>
      </c>
      <c r="X1037" s="198" t="s">
        <v>2816</v>
      </c>
      <c r="Y1037" s="168" t="s">
        <v>50</v>
      </c>
      <c r="Z1037" s="427"/>
      <c r="AA1037" s="170" t="s">
        <v>1611</v>
      </c>
      <c r="AB1037" s="243" t="s">
        <v>8163</v>
      </c>
      <c r="AC1037" s="172">
        <v>5475.2</v>
      </c>
      <c r="AE1037" s="738">
        <v>45671</v>
      </c>
    </row>
    <row r="1038" spans="1:31" s="200" customFormat="1" ht="270" x14ac:dyDescent="0.25">
      <c r="A1038" s="566">
        <v>45674</v>
      </c>
      <c r="B1038" s="95" t="s">
        <v>8237</v>
      </c>
      <c r="C1038" s="95" t="s">
        <v>8238</v>
      </c>
      <c r="D1038" s="95"/>
      <c r="E1038" s="96" t="s">
        <v>39</v>
      </c>
      <c r="F1038" s="97"/>
      <c r="G1038" s="97"/>
      <c r="H1038" s="19">
        <v>1</v>
      </c>
      <c r="I1038" s="245" t="s">
        <v>8239</v>
      </c>
      <c r="J1038" s="98">
        <v>26</v>
      </c>
      <c r="K1038" s="99" t="s">
        <v>9996</v>
      </c>
      <c r="L1038" s="100" t="s">
        <v>63</v>
      </c>
      <c r="M1038" s="96" t="s">
        <v>42</v>
      </c>
      <c r="N1038" s="101" t="s">
        <v>8240</v>
      </c>
      <c r="O1038" s="102" t="s">
        <v>8241</v>
      </c>
      <c r="P1038" s="102"/>
      <c r="Q1038" s="102" t="s">
        <v>8160</v>
      </c>
      <c r="R1038" s="103">
        <v>136</v>
      </c>
      <c r="S1038" s="103">
        <v>964</v>
      </c>
      <c r="T1038" s="96" t="s">
        <v>582</v>
      </c>
      <c r="U1038" s="96">
        <v>39</v>
      </c>
      <c r="V1038" s="104">
        <f t="shared" si="28"/>
        <v>1014</v>
      </c>
      <c r="W1038" s="96" t="s">
        <v>350</v>
      </c>
      <c r="X1038" s="198" t="s">
        <v>1004</v>
      </c>
      <c r="Y1038" s="199" t="s">
        <v>82</v>
      </c>
      <c r="Z1038" s="565"/>
      <c r="AA1038" s="170" t="s">
        <v>6927</v>
      </c>
      <c r="AB1038" s="243" t="s">
        <v>7717</v>
      </c>
      <c r="AC1038" s="172">
        <v>20673.64</v>
      </c>
    </row>
    <row r="1039" spans="1:31" s="200" customFormat="1" ht="106.5" customHeight="1" x14ac:dyDescent="0.25">
      <c r="A1039" s="566">
        <v>45673</v>
      </c>
      <c r="B1039" s="176" t="s">
        <v>8242</v>
      </c>
      <c r="C1039" s="176" t="s">
        <v>8243</v>
      </c>
      <c r="D1039" s="176"/>
      <c r="E1039" s="178" t="s">
        <v>39</v>
      </c>
      <c r="F1039" s="179"/>
      <c r="G1039" s="179"/>
      <c r="H1039" s="19">
        <v>1</v>
      </c>
      <c r="I1039" s="245" t="s">
        <v>8244</v>
      </c>
      <c r="J1039" s="180">
        <v>55</v>
      </c>
      <c r="K1039" s="751" t="s">
        <v>8245</v>
      </c>
      <c r="L1039" s="275" t="s">
        <v>63</v>
      </c>
      <c r="M1039" s="319" t="s">
        <v>42</v>
      </c>
      <c r="N1039" s="183" t="s">
        <v>8246</v>
      </c>
      <c r="O1039" s="184"/>
      <c r="P1039" s="184"/>
      <c r="Q1039" s="184" t="s">
        <v>8247</v>
      </c>
      <c r="R1039" s="182">
        <v>65</v>
      </c>
      <c r="S1039" s="182">
        <v>167</v>
      </c>
      <c r="T1039" s="178" t="s">
        <v>47</v>
      </c>
      <c r="U1039" s="178">
        <v>3</v>
      </c>
      <c r="V1039" s="185">
        <f t="shared" si="28"/>
        <v>165</v>
      </c>
      <c r="W1039" s="178" t="s">
        <v>350</v>
      </c>
      <c r="X1039" s="752" t="s">
        <v>765</v>
      </c>
      <c r="Y1039" s="199" t="s">
        <v>50</v>
      </c>
      <c r="Z1039" s="565"/>
      <c r="AA1039" s="170" t="s">
        <v>6927</v>
      </c>
      <c r="AB1039" s="243" t="s">
        <v>7717</v>
      </c>
      <c r="AC1039" s="172">
        <v>48275.95</v>
      </c>
      <c r="AE1039" s="753">
        <v>45672</v>
      </c>
    </row>
    <row r="1040" spans="1:31" s="200" customFormat="1" ht="279" customHeight="1" x14ac:dyDescent="0.25">
      <c r="A1040" s="566">
        <v>45672</v>
      </c>
      <c r="B1040" s="144" t="s">
        <v>8248</v>
      </c>
      <c r="C1040" s="144" t="s">
        <v>8249</v>
      </c>
      <c r="D1040" s="144"/>
      <c r="E1040" s="145" t="s">
        <v>39</v>
      </c>
      <c r="F1040" s="19">
        <v>2</v>
      </c>
      <c r="G1040" s="146"/>
      <c r="H1040" s="146"/>
      <c r="I1040" s="523" t="s">
        <v>8250</v>
      </c>
      <c r="J1040" s="149">
        <v>20</v>
      </c>
      <c r="K1040" s="150" t="s">
        <v>2081</v>
      </c>
      <c r="L1040" s="47" t="s">
        <v>63</v>
      </c>
      <c r="M1040" s="145" t="s">
        <v>42</v>
      </c>
      <c r="N1040" s="152" t="s">
        <v>8251</v>
      </c>
      <c r="O1040" s="153" t="s">
        <v>8252</v>
      </c>
      <c r="P1040" s="153" t="s">
        <v>8253</v>
      </c>
      <c r="Q1040" s="153" t="s">
        <v>8254</v>
      </c>
      <c r="R1040" s="154">
        <v>55</v>
      </c>
      <c r="S1040" s="154">
        <v>317</v>
      </c>
      <c r="T1040" s="155" t="s">
        <v>549</v>
      </c>
      <c r="U1040" s="155">
        <v>37</v>
      </c>
      <c r="V1040" s="156">
        <f t="shared" si="28"/>
        <v>740</v>
      </c>
      <c r="W1040" s="155" t="s">
        <v>3973</v>
      </c>
      <c r="X1040" s="526" t="s">
        <v>6849</v>
      </c>
      <c r="Y1040" s="527" t="s">
        <v>144</v>
      </c>
      <c r="Z1040" s="664"/>
      <c r="AA1040" s="529" t="s">
        <v>7563</v>
      </c>
      <c r="AB1040" s="530" t="s">
        <v>2074</v>
      </c>
      <c r="AC1040" s="531">
        <f>4172+1050</f>
        <v>5222</v>
      </c>
    </row>
    <row r="1041" spans="1:105" ht="234.75" customHeight="1" x14ac:dyDescent="0.25">
      <c r="A1041" s="566">
        <v>45672</v>
      </c>
      <c r="B1041" s="164" t="s">
        <v>8255</v>
      </c>
      <c r="C1041" s="41" t="s">
        <v>8256</v>
      </c>
      <c r="D1041" s="41" t="s">
        <v>8257</v>
      </c>
      <c r="E1041" s="42" t="s">
        <v>39</v>
      </c>
      <c r="F1041" s="19">
        <v>2</v>
      </c>
      <c r="G1041" s="43"/>
      <c r="H1041" s="43"/>
      <c r="I1041" s="245" t="s">
        <v>8258</v>
      </c>
      <c r="J1041" s="45">
        <v>20</v>
      </c>
      <c r="K1041" s="150" t="s">
        <v>2081</v>
      </c>
      <c r="L1041" s="47" t="s">
        <v>63</v>
      </c>
      <c r="M1041" s="42" t="s">
        <v>42</v>
      </c>
      <c r="N1041" s="77" t="s">
        <v>8259</v>
      </c>
      <c r="O1041" s="49" t="s">
        <v>8260</v>
      </c>
      <c r="P1041" s="49" t="s">
        <v>8261</v>
      </c>
      <c r="Q1041" s="49" t="s">
        <v>8262</v>
      </c>
      <c r="R1041" s="50">
        <v>47</v>
      </c>
      <c r="S1041" s="50">
        <v>222</v>
      </c>
      <c r="T1041" s="51" t="s">
        <v>549</v>
      </c>
      <c r="U1041" s="51">
        <v>41</v>
      </c>
      <c r="V1041" s="52">
        <f t="shared" si="28"/>
        <v>820</v>
      </c>
      <c r="W1041" s="51" t="s">
        <v>3973</v>
      </c>
      <c r="X1041" s="198" t="s">
        <v>6849</v>
      </c>
      <c r="Y1041" s="168" t="s">
        <v>144</v>
      </c>
      <c r="Z1041" s="427"/>
      <c r="AA1041" s="170" t="s">
        <v>7563</v>
      </c>
      <c r="AB1041" s="243" t="s">
        <v>2074</v>
      </c>
      <c r="AC1041" s="172">
        <f>3350+1000</f>
        <v>4350</v>
      </c>
    </row>
    <row r="1042" spans="1:105" s="200" customFormat="1" ht="122.25" customHeight="1" x14ac:dyDescent="0.25">
      <c r="A1042" s="566">
        <v>45671</v>
      </c>
      <c r="B1042" s="586" t="s">
        <v>8263</v>
      </c>
      <c r="C1042" s="586" t="s">
        <v>8264</v>
      </c>
      <c r="D1042" s="754"/>
      <c r="E1042" s="587" t="s">
        <v>39</v>
      </c>
      <c r="F1042" s="19">
        <v>1</v>
      </c>
      <c r="G1042" s="588"/>
      <c r="H1042" s="588"/>
      <c r="I1042" s="245" t="s">
        <v>8265</v>
      </c>
      <c r="J1042" s="589">
        <v>45</v>
      </c>
      <c r="K1042" s="755" t="s">
        <v>8266</v>
      </c>
      <c r="L1042" s="591" t="s">
        <v>63</v>
      </c>
      <c r="M1042" s="587" t="s">
        <v>42</v>
      </c>
      <c r="N1042" s="756" t="s">
        <v>8267</v>
      </c>
      <c r="O1042" s="593" t="s">
        <v>8268</v>
      </c>
      <c r="P1042" s="593"/>
      <c r="Q1042" s="593" t="s">
        <v>8269</v>
      </c>
      <c r="R1042" s="594">
        <v>54</v>
      </c>
      <c r="S1042" s="594">
        <v>169</v>
      </c>
      <c r="T1042" s="587" t="s">
        <v>96</v>
      </c>
      <c r="U1042" s="587">
        <v>6</v>
      </c>
      <c r="V1042" s="732">
        <f t="shared" si="28"/>
        <v>270</v>
      </c>
      <c r="W1042" s="587" t="s">
        <v>350</v>
      </c>
      <c r="X1042" s="752" t="s">
        <v>765</v>
      </c>
      <c r="Y1042" s="199" t="s">
        <v>50</v>
      </c>
      <c r="Z1042" s="565"/>
      <c r="AA1042" s="170" t="s">
        <v>1901</v>
      </c>
      <c r="AB1042" s="243" t="s">
        <v>8270</v>
      </c>
      <c r="AC1042" s="172">
        <v>25321</v>
      </c>
    </row>
    <row r="1043" spans="1:105" s="200" customFormat="1" ht="60.75" customHeight="1" x14ac:dyDescent="0.25">
      <c r="A1043" s="566">
        <v>45671</v>
      </c>
      <c r="B1043" s="757" t="s">
        <v>8271</v>
      </c>
      <c r="C1043" s="758" t="s">
        <v>8272</v>
      </c>
      <c r="D1043" s="586" t="s">
        <v>8273</v>
      </c>
      <c r="E1043" s="587" t="s">
        <v>39</v>
      </c>
      <c r="F1043" s="588"/>
      <c r="G1043" s="588"/>
      <c r="H1043" s="19">
        <v>1</v>
      </c>
      <c r="I1043" s="245" t="s">
        <v>8274</v>
      </c>
      <c r="J1043" s="589">
        <v>35</v>
      </c>
      <c r="K1043" s="590" t="s">
        <v>8266</v>
      </c>
      <c r="L1043" s="591" t="s">
        <v>63</v>
      </c>
      <c r="M1043" s="587" t="s">
        <v>42</v>
      </c>
      <c r="N1043" s="592" t="s">
        <v>8275</v>
      </c>
      <c r="O1043" s="593" t="s">
        <v>8276</v>
      </c>
      <c r="P1043" s="593" t="s">
        <v>8253</v>
      </c>
      <c r="Q1043" s="593" t="s">
        <v>8277</v>
      </c>
      <c r="R1043" s="594">
        <v>87</v>
      </c>
      <c r="S1043" s="594">
        <v>351</v>
      </c>
      <c r="T1043" s="587" t="s">
        <v>47</v>
      </c>
      <c r="U1043" s="587">
        <v>14</v>
      </c>
      <c r="V1043" s="732">
        <f t="shared" si="28"/>
        <v>490</v>
      </c>
      <c r="W1043" s="587" t="s">
        <v>350</v>
      </c>
      <c r="X1043" s="752" t="s">
        <v>765</v>
      </c>
      <c r="Y1043" s="199" t="s">
        <v>50</v>
      </c>
      <c r="Z1043" s="565"/>
      <c r="AA1043" s="170" t="s">
        <v>6927</v>
      </c>
      <c r="AB1043" s="243" t="s">
        <v>7717</v>
      </c>
      <c r="AC1043" s="172">
        <v>22962.6</v>
      </c>
    </row>
    <row r="1044" spans="1:105" s="769" customFormat="1" ht="46.5" customHeight="1" x14ac:dyDescent="0.25">
      <c r="A1044" s="566">
        <v>45670</v>
      </c>
      <c r="B1044" s="759" t="s">
        <v>8278</v>
      </c>
      <c r="C1044" s="760" t="s">
        <v>8279</v>
      </c>
      <c r="D1044" s="702" t="s">
        <v>8280</v>
      </c>
      <c r="E1044" s="50" t="s">
        <v>39</v>
      </c>
      <c r="F1044" s="19">
        <v>1</v>
      </c>
      <c r="G1044" s="761"/>
      <c r="H1044" s="761"/>
      <c r="I1044" s="245" t="s">
        <v>8281</v>
      </c>
      <c r="J1044" s="762">
        <v>75</v>
      </c>
      <c r="K1044" s="46" t="s">
        <v>8282</v>
      </c>
      <c r="L1044" s="47" t="s">
        <v>63</v>
      </c>
      <c r="M1044" s="42" t="s">
        <v>42</v>
      </c>
      <c r="N1044" s="232" t="s">
        <v>8283</v>
      </c>
      <c r="O1044" s="702" t="s">
        <v>8284</v>
      </c>
      <c r="P1044" s="233"/>
      <c r="Q1044" s="234" t="s">
        <v>8285</v>
      </c>
      <c r="R1044" s="235">
        <v>39</v>
      </c>
      <c r="S1044" s="235">
        <v>90</v>
      </c>
      <c r="T1044" s="235" t="s">
        <v>96</v>
      </c>
      <c r="U1044" s="230">
        <v>0</v>
      </c>
      <c r="V1044" s="230">
        <f t="shared" si="28"/>
        <v>0</v>
      </c>
      <c r="W1044" s="763" t="s">
        <v>221</v>
      </c>
      <c r="X1044" s="764" t="s">
        <v>3680</v>
      </c>
      <c r="Y1044" s="765" t="s">
        <v>8286</v>
      </c>
      <c r="Z1044" s="766"/>
      <c r="AA1044" s="765" t="s">
        <v>2026</v>
      </c>
      <c r="AB1044" s="767" t="s">
        <v>2074</v>
      </c>
      <c r="AC1044" s="768">
        <v>4075</v>
      </c>
    </row>
    <row r="1045" spans="1:105" s="200" customFormat="1" ht="62.25" customHeight="1" x14ac:dyDescent="0.25">
      <c r="A1045" s="566">
        <v>45670</v>
      </c>
      <c r="B1045" s="41" t="s">
        <v>8287</v>
      </c>
      <c r="C1045" s="41" t="s">
        <v>8288</v>
      </c>
      <c r="D1045" s="41"/>
      <c r="E1045" s="770" t="s">
        <v>39</v>
      </c>
      <c r="F1045" s="19">
        <v>1</v>
      </c>
      <c r="G1045" s="43"/>
      <c r="H1045" s="43"/>
      <c r="I1045" s="245" t="s">
        <v>8289</v>
      </c>
      <c r="J1045" s="45">
        <v>120</v>
      </c>
      <c r="K1045" s="46" t="s">
        <v>8290</v>
      </c>
      <c r="L1045" s="47" t="s">
        <v>63</v>
      </c>
      <c r="M1045" s="42" t="s">
        <v>42</v>
      </c>
      <c r="N1045" s="77" t="s">
        <v>240</v>
      </c>
      <c r="O1045" s="49" t="s">
        <v>8291</v>
      </c>
      <c r="P1045" s="49"/>
      <c r="Q1045" s="49" t="s">
        <v>8292</v>
      </c>
      <c r="R1045" s="50">
        <v>16</v>
      </c>
      <c r="S1045" s="50">
        <v>21</v>
      </c>
      <c r="T1045" s="51" t="s">
        <v>96</v>
      </c>
      <c r="U1045" s="51">
        <v>1</v>
      </c>
      <c r="V1045" s="52">
        <f t="shared" si="28"/>
        <v>120</v>
      </c>
      <c r="W1045" s="51" t="s">
        <v>142</v>
      </c>
      <c r="X1045" s="198" t="s">
        <v>2952</v>
      </c>
      <c r="Y1045" s="199" t="s">
        <v>82</v>
      </c>
      <c r="Z1045" s="565"/>
      <c r="AA1045" s="170" t="s">
        <v>1199</v>
      </c>
      <c r="AB1045" s="243" t="s">
        <v>2074</v>
      </c>
      <c r="AC1045" s="172">
        <v>2952</v>
      </c>
    </row>
    <row r="1046" spans="1:105" ht="229.5" customHeight="1" x14ac:dyDescent="0.25">
      <c r="A1046" s="566">
        <v>45670</v>
      </c>
      <c r="B1046" s="586" t="s">
        <v>8293</v>
      </c>
      <c r="C1046" s="585" t="s">
        <v>8294</v>
      </c>
      <c r="D1046" s="771" t="s">
        <v>8295</v>
      </c>
      <c r="E1046" s="319" t="s">
        <v>39</v>
      </c>
      <c r="F1046" s="19">
        <v>1</v>
      </c>
      <c r="G1046" s="588"/>
      <c r="H1046" s="588"/>
      <c r="I1046" s="245" t="s">
        <v>8296</v>
      </c>
      <c r="J1046" s="589">
        <v>9</v>
      </c>
      <c r="K1046" s="673" t="s">
        <v>8297</v>
      </c>
      <c r="L1046" s="591" t="s">
        <v>63</v>
      </c>
      <c r="M1046" s="587" t="s">
        <v>42</v>
      </c>
      <c r="N1046" s="592" t="s">
        <v>8298</v>
      </c>
      <c r="O1046" s="593" t="s">
        <v>8299</v>
      </c>
      <c r="P1046" s="593" t="s">
        <v>8300</v>
      </c>
      <c r="Q1046" s="593" t="s">
        <v>8254</v>
      </c>
      <c r="R1046" s="594">
        <v>112</v>
      </c>
      <c r="S1046" s="594">
        <v>938</v>
      </c>
      <c r="T1046" s="587" t="s">
        <v>549</v>
      </c>
      <c r="U1046" s="587">
        <v>21</v>
      </c>
      <c r="V1046" s="732">
        <f t="shared" si="28"/>
        <v>189</v>
      </c>
      <c r="W1046" s="587" t="s">
        <v>350</v>
      </c>
      <c r="X1046" s="30" t="s">
        <v>8142</v>
      </c>
      <c r="Y1046" s="168" t="s">
        <v>7004</v>
      </c>
      <c r="Z1046" s="427"/>
      <c r="AA1046" s="170" t="s">
        <v>1199</v>
      </c>
      <c r="AB1046" s="243" t="s">
        <v>8301</v>
      </c>
      <c r="AC1046" s="172">
        <v>8211.2000000000007</v>
      </c>
    </row>
    <row r="1047" spans="1:105" s="200" customFormat="1" ht="103.5" customHeight="1" x14ac:dyDescent="0.25">
      <c r="A1047" s="566">
        <v>45670</v>
      </c>
      <c r="B1047" s="586" t="s">
        <v>8302</v>
      </c>
      <c r="C1047" s="586" t="s">
        <v>8303</v>
      </c>
      <c r="D1047" s="586" t="s">
        <v>8304</v>
      </c>
      <c r="E1047" s="587" t="s">
        <v>39</v>
      </c>
      <c r="F1047" s="588"/>
      <c r="G1047" s="588"/>
      <c r="H1047" s="19">
        <v>1</v>
      </c>
      <c r="I1047" s="245" t="s">
        <v>8305</v>
      </c>
      <c r="J1047" s="589">
        <v>55</v>
      </c>
      <c r="K1047" s="673" t="s">
        <v>8297</v>
      </c>
      <c r="L1047" s="591" t="s">
        <v>63</v>
      </c>
      <c r="M1047" s="587" t="s">
        <v>42</v>
      </c>
      <c r="N1047" s="592" t="s">
        <v>8306</v>
      </c>
      <c r="O1047" s="593" t="s">
        <v>8307</v>
      </c>
      <c r="P1047" s="593" t="s">
        <v>8308</v>
      </c>
      <c r="Q1047" s="593" t="s">
        <v>8309</v>
      </c>
      <c r="R1047" s="594">
        <v>175</v>
      </c>
      <c r="S1047" s="594">
        <v>604</v>
      </c>
      <c r="T1047" s="587" t="s">
        <v>2482</v>
      </c>
      <c r="U1047" s="587">
        <v>26</v>
      </c>
      <c r="V1047" s="732">
        <f t="shared" si="28"/>
        <v>1430</v>
      </c>
      <c r="W1047" s="587" t="s">
        <v>350</v>
      </c>
      <c r="X1047" s="752" t="s">
        <v>765</v>
      </c>
      <c r="Y1047" s="199" t="s">
        <v>50</v>
      </c>
      <c r="Z1047" s="643" t="s">
        <v>8310</v>
      </c>
      <c r="AA1047" s="170" t="s">
        <v>8311</v>
      </c>
      <c r="AB1047" s="243" t="s">
        <v>8312</v>
      </c>
      <c r="AC1047" s="172">
        <v>60457.25</v>
      </c>
    </row>
    <row r="1048" spans="1:105" s="777" customFormat="1" ht="213" customHeight="1" x14ac:dyDescent="0.25">
      <c r="A1048" s="566">
        <v>45667</v>
      </c>
      <c r="B1048" s="772" t="s">
        <v>8313</v>
      </c>
      <c r="C1048" s="773" t="s">
        <v>8314</v>
      </c>
      <c r="D1048" s="176"/>
      <c r="E1048" s="178" t="s">
        <v>8315</v>
      </c>
      <c r="F1048" s="774"/>
      <c r="G1048" s="774"/>
      <c r="H1048" s="19" t="s">
        <v>1877</v>
      </c>
      <c r="I1048" s="245" t="s">
        <v>8316</v>
      </c>
      <c r="J1048" s="180">
        <v>60</v>
      </c>
      <c r="K1048" s="751" t="s">
        <v>8317</v>
      </c>
      <c r="L1048" s="775" t="s">
        <v>2399</v>
      </c>
      <c r="M1048" s="776" t="s">
        <v>42</v>
      </c>
      <c r="N1048" s="183" t="s">
        <v>8318</v>
      </c>
      <c r="O1048" s="184" t="s">
        <v>8319</v>
      </c>
      <c r="P1048" s="184"/>
      <c r="Q1048" s="184" t="s">
        <v>8320</v>
      </c>
      <c r="R1048" s="182">
        <v>2</v>
      </c>
      <c r="S1048" s="182">
        <v>5</v>
      </c>
      <c r="T1048" s="178">
        <v>0</v>
      </c>
      <c r="U1048" s="178">
        <v>1</v>
      </c>
      <c r="V1048" s="185">
        <f t="shared" si="28"/>
        <v>60</v>
      </c>
      <c r="W1048" s="178" t="s">
        <v>350</v>
      </c>
      <c r="X1048" s="752" t="s">
        <v>765</v>
      </c>
      <c r="Y1048" s="199" t="s">
        <v>50</v>
      </c>
      <c r="Z1048" s="565"/>
      <c r="AA1048" s="170" t="s">
        <v>2179</v>
      </c>
      <c r="AB1048" s="243" t="s">
        <v>8321</v>
      </c>
      <c r="AC1048" s="172">
        <v>11232</v>
      </c>
      <c r="AE1048" s="200"/>
      <c r="AF1048" s="200"/>
      <c r="AG1048" s="200"/>
      <c r="AH1048" s="200"/>
      <c r="AI1048" s="200"/>
      <c r="AJ1048" s="200"/>
      <c r="AK1048" s="200"/>
      <c r="AL1048" s="200"/>
      <c r="AM1048" s="200"/>
      <c r="AN1048" s="200"/>
      <c r="AO1048" s="200"/>
      <c r="AP1048" s="200"/>
      <c r="AQ1048" s="200"/>
      <c r="AR1048" s="200"/>
      <c r="AS1048" s="200"/>
      <c r="AT1048" s="200"/>
      <c r="AU1048" s="200"/>
      <c r="AV1048" s="200"/>
      <c r="AW1048" s="200"/>
      <c r="AX1048" s="200"/>
      <c r="AY1048" s="200"/>
      <c r="AZ1048" s="200"/>
      <c r="BA1048" s="200"/>
      <c r="BB1048" s="200"/>
      <c r="BC1048" s="200"/>
      <c r="BD1048" s="200"/>
      <c r="BE1048" s="200"/>
      <c r="BF1048" s="200"/>
      <c r="BG1048" s="200"/>
      <c r="BH1048" s="200"/>
      <c r="BI1048" s="200"/>
      <c r="BJ1048" s="200"/>
      <c r="BK1048" s="200"/>
      <c r="BL1048" s="200"/>
      <c r="BM1048" s="200"/>
      <c r="BN1048" s="200"/>
      <c r="BO1048" s="200"/>
      <c r="BP1048" s="200"/>
      <c r="BQ1048" s="200"/>
      <c r="BR1048" s="200"/>
      <c r="BS1048" s="200"/>
      <c r="BT1048" s="200"/>
      <c r="BU1048" s="200"/>
      <c r="BV1048" s="200"/>
      <c r="BW1048" s="200"/>
      <c r="BX1048" s="200"/>
      <c r="BY1048" s="200"/>
      <c r="BZ1048" s="200"/>
      <c r="CA1048" s="200"/>
      <c r="CB1048" s="200"/>
      <c r="CC1048" s="200"/>
      <c r="CD1048" s="200"/>
      <c r="CE1048" s="200"/>
      <c r="CF1048" s="200"/>
      <c r="CG1048" s="200"/>
      <c r="CH1048" s="200"/>
      <c r="CI1048" s="200"/>
      <c r="CJ1048" s="200"/>
      <c r="CK1048" s="200"/>
      <c r="CL1048" s="200"/>
      <c r="CM1048" s="200"/>
      <c r="CN1048" s="200"/>
      <c r="CO1048" s="200"/>
      <c r="CP1048" s="200"/>
      <c r="CQ1048" s="200"/>
      <c r="CR1048" s="200"/>
      <c r="CS1048" s="200"/>
      <c r="CT1048" s="200"/>
      <c r="CU1048" s="200"/>
      <c r="CV1048" s="200"/>
      <c r="CW1048" s="200"/>
      <c r="CX1048" s="200"/>
      <c r="CY1048" s="200"/>
      <c r="CZ1048" s="200"/>
      <c r="DA1048" s="200"/>
    </row>
    <row r="1049" spans="1:105" s="200" customFormat="1" ht="366" customHeight="1" x14ac:dyDescent="0.25">
      <c r="A1049" s="566">
        <v>45667</v>
      </c>
      <c r="B1049" s="585" t="s">
        <v>8322</v>
      </c>
      <c r="C1049" s="586" t="s">
        <v>8323</v>
      </c>
      <c r="D1049" s="586" t="s">
        <v>8324</v>
      </c>
      <c r="E1049" s="587" t="s">
        <v>39</v>
      </c>
      <c r="F1049" s="588"/>
      <c r="G1049" s="588"/>
      <c r="H1049" s="19">
        <v>1</v>
      </c>
      <c r="I1049" s="245" t="s">
        <v>8325</v>
      </c>
      <c r="J1049" s="589">
        <v>6</v>
      </c>
      <c r="K1049" s="673" t="s">
        <v>8326</v>
      </c>
      <c r="L1049" s="591" t="s">
        <v>63</v>
      </c>
      <c r="M1049" s="587" t="s">
        <v>42</v>
      </c>
      <c r="N1049" s="778" t="s">
        <v>8327</v>
      </c>
      <c r="O1049" s="593" t="s">
        <v>8328</v>
      </c>
      <c r="P1049" s="593" t="s">
        <v>8329</v>
      </c>
      <c r="Q1049" s="593" t="s">
        <v>8330</v>
      </c>
      <c r="R1049" s="594">
        <v>113</v>
      </c>
      <c r="S1049" s="594">
        <v>942</v>
      </c>
      <c r="T1049" s="587" t="s">
        <v>549</v>
      </c>
      <c r="U1049" s="587">
        <v>21</v>
      </c>
      <c r="V1049" s="732">
        <f t="shared" si="28"/>
        <v>126</v>
      </c>
      <c r="W1049" s="587" t="s">
        <v>350</v>
      </c>
      <c r="X1049" s="30" t="s">
        <v>8142</v>
      </c>
      <c r="Y1049" s="199" t="s">
        <v>7004</v>
      </c>
      <c r="Z1049" s="565"/>
      <c r="AA1049" s="170" t="s">
        <v>8215</v>
      </c>
      <c r="AB1049" s="243" t="s">
        <v>8301</v>
      </c>
      <c r="AC1049" s="172">
        <v>8411.7999999999993</v>
      </c>
    </row>
    <row r="1050" spans="1:105" ht="152.25" customHeight="1" x14ac:dyDescent="0.25">
      <c r="A1050" s="566">
        <v>45667</v>
      </c>
      <c r="B1050" s="164" t="s">
        <v>8331</v>
      </c>
      <c r="C1050" s="164" t="s">
        <v>8332</v>
      </c>
      <c r="D1050" s="41" t="s">
        <v>8333</v>
      </c>
      <c r="E1050" s="130" t="s">
        <v>39</v>
      </c>
      <c r="F1050" s="19">
        <v>1</v>
      </c>
      <c r="G1050" s="43"/>
      <c r="H1050" s="43"/>
      <c r="I1050" s="245" t="s">
        <v>8334</v>
      </c>
      <c r="J1050" s="779" t="s">
        <v>8335</v>
      </c>
      <c r="K1050" s="125" t="s">
        <v>8336</v>
      </c>
      <c r="L1050" s="47" t="s">
        <v>63</v>
      </c>
      <c r="M1050" s="42" t="s">
        <v>42</v>
      </c>
      <c r="N1050" s="77" t="s">
        <v>8337</v>
      </c>
      <c r="O1050" s="49" t="s">
        <v>8338</v>
      </c>
      <c r="P1050" s="49" t="s">
        <v>8339</v>
      </c>
      <c r="Q1050" s="49" t="s">
        <v>8340</v>
      </c>
      <c r="R1050" s="50">
        <v>66</v>
      </c>
      <c r="S1050" s="50">
        <v>309</v>
      </c>
      <c r="T1050" s="51" t="s">
        <v>180</v>
      </c>
      <c r="U1050" s="51">
        <v>29</v>
      </c>
      <c r="V1050" s="52">
        <f>U1050*100</f>
        <v>2900</v>
      </c>
      <c r="W1050" s="51" t="s">
        <v>350</v>
      </c>
      <c r="X1050" s="198" t="s">
        <v>8092</v>
      </c>
      <c r="Y1050" s="168" t="s">
        <v>50</v>
      </c>
      <c r="Z1050" s="643" t="s">
        <v>8341</v>
      </c>
      <c r="AA1050" s="170" t="s">
        <v>1901</v>
      </c>
      <c r="AB1050" s="243" t="s">
        <v>2074</v>
      </c>
      <c r="AC1050" s="172">
        <f>11414+1250</f>
        <v>12664</v>
      </c>
    </row>
    <row r="1051" spans="1:105" s="200" customFormat="1" ht="213" customHeight="1" x14ac:dyDescent="0.25">
      <c r="A1051" s="566">
        <v>45666</v>
      </c>
      <c r="B1051" s="41" t="s">
        <v>8342</v>
      </c>
      <c r="C1051" s="164" t="s">
        <v>8343</v>
      </c>
      <c r="D1051" s="41"/>
      <c r="E1051" s="145" t="s">
        <v>39</v>
      </c>
      <c r="F1051" s="43"/>
      <c r="G1051" s="43"/>
      <c r="H1051" s="19">
        <v>1</v>
      </c>
      <c r="I1051" s="245" t="s">
        <v>8344</v>
      </c>
      <c r="J1051" s="45">
        <v>5</v>
      </c>
      <c r="K1051" s="46" t="s">
        <v>8345</v>
      </c>
      <c r="L1051" s="47" t="s">
        <v>63</v>
      </c>
      <c r="M1051" s="42" t="s">
        <v>42</v>
      </c>
      <c r="N1051" s="77" t="s">
        <v>8346</v>
      </c>
      <c r="O1051" s="49" t="s">
        <v>8347</v>
      </c>
      <c r="P1051" s="49" t="s">
        <v>8348</v>
      </c>
      <c r="Q1051" s="49" t="s">
        <v>8349</v>
      </c>
      <c r="R1051" s="50">
        <v>131</v>
      </c>
      <c r="S1051" s="50">
        <v>1139</v>
      </c>
      <c r="T1051" s="51" t="s">
        <v>180</v>
      </c>
      <c r="U1051" s="51">
        <v>32</v>
      </c>
      <c r="V1051" s="52">
        <f t="shared" ref="V1051:V1073" si="29">U1051*J1051</f>
        <v>160</v>
      </c>
      <c r="W1051" s="51" t="s">
        <v>350</v>
      </c>
      <c r="X1051" s="198" t="s">
        <v>960</v>
      </c>
      <c r="Y1051" s="199" t="s">
        <v>50</v>
      </c>
      <c r="Z1051" s="565"/>
      <c r="AA1051" s="170" t="s">
        <v>7563</v>
      </c>
      <c r="AB1051" s="243" t="s">
        <v>2074</v>
      </c>
      <c r="AC1051" s="172">
        <v>9011.25</v>
      </c>
    </row>
    <row r="1052" spans="1:105" s="200" customFormat="1" ht="123.75" customHeight="1" x14ac:dyDescent="0.25">
      <c r="A1052" s="566">
        <v>45666</v>
      </c>
      <c r="B1052" s="669" t="s">
        <v>8350</v>
      </c>
      <c r="C1052" s="586" t="s">
        <v>8351</v>
      </c>
      <c r="D1052" s="780" t="s">
        <v>8352</v>
      </c>
      <c r="E1052" s="556" t="s">
        <v>1379</v>
      </c>
      <c r="F1052" s="19">
        <v>1</v>
      </c>
      <c r="G1052" s="781"/>
      <c r="H1052" s="781"/>
      <c r="I1052" s="245" t="s">
        <v>8353</v>
      </c>
      <c r="J1052" s="589">
        <v>3</v>
      </c>
      <c r="K1052" s="673" t="s">
        <v>8354</v>
      </c>
      <c r="L1052" s="591" t="s">
        <v>63</v>
      </c>
      <c r="M1052" s="587" t="s">
        <v>42</v>
      </c>
      <c r="N1052" s="592" t="s">
        <v>8355</v>
      </c>
      <c r="O1052" s="593" t="s">
        <v>8356</v>
      </c>
      <c r="P1052" s="593"/>
      <c r="Q1052" s="593" t="s">
        <v>8357</v>
      </c>
      <c r="R1052" s="594">
        <v>67</v>
      </c>
      <c r="S1052" s="594">
        <v>764</v>
      </c>
      <c r="T1052" s="587" t="s">
        <v>67</v>
      </c>
      <c r="U1052" s="587">
        <v>15</v>
      </c>
      <c r="V1052" s="732">
        <f t="shared" si="29"/>
        <v>45</v>
      </c>
      <c r="W1052" s="587" t="s">
        <v>350</v>
      </c>
      <c r="X1052" s="30" t="s">
        <v>8142</v>
      </c>
      <c r="Y1052" s="199" t="s">
        <v>7004</v>
      </c>
      <c r="Z1052" s="565"/>
      <c r="AA1052" s="170" t="s">
        <v>8128</v>
      </c>
      <c r="AB1052" s="243" t="s">
        <v>7769</v>
      </c>
      <c r="AC1052" s="172">
        <v>4418.6000000000004</v>
      </c>
    </row>
    <row r="1053" spans="1:105" s="777" customFormat="1" ht="108" customHeight="1" x14ac:dyDescent="0.25">
      <c r="A1053" s="566">
        <v>45666</v>
      </c>
      <c r="B1053" s="164" t="s">
        <v>8358</v>
      </c>
      <c r="C1053" s="782" t="s">
        <v>8359</v>
      </c>
      <c r="D1053" s="570"/>
      <c r="E1053" s="770" t="s">
        <v>39</v>
      </c>
      <c r="F1053" s="537"/>
      <c r="G1053" s="537"/>
      <c r="H1053" s="19">
        <v>1</v>
      </c>
      <c r="I1053" s="245" t="s">
        <v>8360</v>
      </c>
      <c r="J1053" s="45">
        <v>60</v>
      </c>
      <c r="K1053" s="46" t="s">
        <v>8361</v>
      </c>
      <c r="L1053" s="47" t="s">
        <v>63</v>
      </c>
      <c r="M1053" s="42" t="s">
        <v>42</v>
      </c>
      <c r="N1053" s="77" t="s">
        <v>8362</v>
      </c>
      <c r="O1053" s="49" t="s">
        <v>8363</v>
      </c>
      <c r="P1053" s="49"/>
      <c r="Q1053" s="49" t="s">
        <v>8364</v>
      </c>
      <c r="R1053" s="50">
        <v>39</v>
      </c>
      <c r="S1053" s="50">
        <v>87</v>
      </c>
      <c r="T1053" s="51" t="s">
        <v>96</v>
      </c>
      <c r="U1053" s="51">
        <v>3</v>
      </c>
      <c r="V1053" s="52">
        <f t="shared" si="29"/>
        <v>180</v>
      </c>
      <c r="W1053" s="51" t="s">
        <v>4564</v>
      </c>
      <c r="X1053" s="198" t="s">
        <v>265</v>
      </c>
      <c r="Y1053" s="199" t="s">
        <v>82</v>
      </c>
      <c r="Z1053" s="643" t="s">
        <v>8150</v>
      </c>
      <c r="AA1053" s="170" t="s">
        <v>1199</v>
      </c>
      <c r="AB1053" s="243" t="s">
        <v>8270</v>
      </c>
      <c r="AC1053" s="172">
        <v>4112.3999999999996</v>
      </c>
      <c r="AE1053" s="200"/>
      <c r="AF1053" s="200"/>
      <c r="AG1053" s="200"/>
      <c r="AH1053" s="200"/>
    </row>
    <row r="1054" spans="1:105" s="200" customFormat="1" ht="78" customHeight="1" x14ac:dyDescent="0.25">
      <c r="A1054" s="566">
        <v>45666</v>
      </c>
      <c r="B1054" s="176" t="s">
        <v>8365</v>
      </c>
      <c r="C1054" s="176" t="s">
        <v>8366</v>
      </c>
      <c r="D1054" s="176"/>
      <c r="E1054" s="178" t="s">
        <v>39</v>
      </c>
      <c r="F1054" s="19">
        <v>2</v>
      </c>
      <c r="G1054" s="179"/>
      <c r="H1054" s="179"/>
      <c r="I1054" s="245" t="s">
        <v>8367</v>
      </c>
      <c r="J1054" s="180">
        <v>60</v>
      </c>
      <c r="K1054" s="751" t="s">
        <v>8368</v>
      </c>
      <c r="L1054" s="275" t="s">
        <v>63</v>
      </c>
      <c r="M1054" s="178" t="s">
        <v>42</v>
      </c>
      <c r="N1054" s="783" t="s">
        <v>8369</v>
      </c>
      <c r="O1054" s="184" t="s">
        <v>8370</v>
      </c>
      <c r="P1054" s="184"/>
      <c r="Q1054" s="184" t="s">
        <v>8371</v>
      </c>
      <c r="R1054" s="182">
        <v>54</v>
      </c>
      <c r="S1054" s="182">
        <v>169</v>
      </c>
      <c r="T1054" s="178" t="s">
        <v>96</v>
      </c>
      <c r="U1054" s="178">
        <v>6</v>
      </c>
      <c r="V1054" s="185">
        <f t="shared" si="29"/>
        <v>360</v>
      </c>
      <c r="W1054" s="178" t="s">
        <v>350</v>
      </c>
      <c r="X1054" s="752" t="s">
        <v>765</v>
      </c>
      <c r="Y1054" s="199" t="s">
        <v>50</v>
      </c>
      <c r="Z1054" s="784"/>
      <c r="AA1054" s="170" t="s">
        <v>1901</v>
      </c>
      <c r="AB1054" s="243" t="s">
        <v>8270</v>
      </c>
      <c r="AC1054" s="172">
        <v>53500</v>
      </c>
    </row>
    <row r="1055" spans="1:105" ht="45" customHeight="1" x14ac:dyDescent="0.25">
      <c r="A1055" s="566">
        <v>45666</v>
      </c>
      <c r="B1055" s="785" t="s">
        <v>8372</v>
      </c>
      <c r="C1055" s="785" t="s">
        <v>8373</v>
      </c>
      <c r="D1055" s="785"/>
      <c r="E1055" s="786" t="s">
        <v>39</v>
      </c>
      <c r="F1055" s="787"/>
      <c r="G1055" s="787"/>
      <c r="H1055" s="19">
        <v>1</v>
      </c>
      <c r="I1055" s="245" t="s">
        <v>8374</v>
      </c>
      <c r="J1055" s="788">
        <v>50</v>
      </c>
      <c r="K1055" s="789" t="s">
        <v>2175</v>
      </c>
      <c r="L1055" s="790" t="s">
        <v>63</v>
      </c>
      <c r="M1055" s="495" t="s">
        <v>42</v>
      </c>
      <c r="N1055" s="791" t="s">
        <v>8375</v>
      </c>
      <c r="O1055" s="792"/>
      <c r="P1055" s="792"/>
      <c r="Q1055" s="792"/>
      <c r="R1055" s="793">
        <v>2</v>
      </c>
      <c r="S1055" s="793">
        <v>4</v>
      </c>
      <c r="T1055" s="786" t="s">
        <v>393</v>
      </c>
      <c r="U1055" s="786">
        <v>11</v>
      </c>
      <c r="V1055" s="794">
        <f t="shared" si="29"/>
        <v>550</v>
      </c>
      <c r="W1055" s="786" t="s">
        <v>350</v>
      </c>
      <c r="X1055" s="752" t="s">
        <v>765</v>
      </c>
      <c r="Y1055" s="168" t="s">
        <v>50</v>
      </c>
      <c r="Z1055" s="427"/>
      <c r="AA1055" s="170" t="s">
        <v>8311</v>
      </c>
      <c r="AB1055" s="243" t="s">
        <v>8376</v>
      </c>
      <c r="AC1055" s="172">
        <v>11920</v>
      </c>
    </row>
    <row r="1056" spans="1:105" s="200" customFormat="1" ht="105.75" customHeight="1" x14ac:dyDescent="0.25">
      <c r="A1056" s="566">
        <v>45665</v>
      </c>
      <c r="B1056" s="164" t="s">
        <v>8377</v>
      </c>
      <c r="C1056" s="164" t="s">
        <v>8378</v>
      </c>
      <c r="D1056" s="41" t="s">
        <v>8379</v>
      </c>
      <c r="E1056" s="770" t="s">
        <v>39</v>
      </c>
      <c r="F1056" s="19">
        <v>1</v>
      </c>
      <c r="G1056" s="467"/>
      <c r="H1056" s="467"/>
      <c r="I1056" s="245" t="s">
        <v>8380</v>
      </c>
      <c r="J1056" s="45">
        <v>3</v>
      </c>
      <c r="K1056" s="46" t="s">
        <v>8381</v>
      </c>
      <c r="L1056" s="47" t="s">
        <v>63</v>
      </c>
      <c r="M1056" s="42" t="s">
        <v>42</v>
      </c>
      <c r="N1056" s="77" t="s">
        <v>8382</v>
      </c>
      <c r="O1056" s="49" t="s">
        <v>8383</v>
      </c>
      <c r="P1056" s="49"/>
      <c r="Q1056" s="49" t="s">
        <v>8384</v>
      </c>
      <c r="R1056" s="50">
        <v>109</v>
      </c>
      <c r="S1056" s="50">
        <v>341</v>
      </c>
      <c r="T1056" s="51" t="s">
        <v>67</v>
      </c>
      <c r="U1056" s="51">
        <v>56</v>
      </c>
      <c r="V1056" s="52">
        <f t="shared" si="29"/>
        <v>168</v>
      </c>
      <c r="W1056" s="51" t="s">
        <v>350</v>
      </c>
      <c r="X1056" s="198" t="s">
        <v>8385</v>
      </c>
      <c r="Y1056" s="199" t="s">
        <v>82</v>
      </c>
      <c r="Z1056" s="565"/>
      <c r="AA1056" s="170" t="s">
        <v>1199</v>
      </c>
      <c r="AB1056" s="243" t="s">
        <v>1830</v>
      </c>
      <c r="AC1056" s="172">
        <v>4089.9</v>
      </c>
    </row>
    <row r="1057" spans="1:29" s="200" customFormat="1" ht="165" x14ac:dyDescent="0.25">
      <c r="A1057" s="566">
        <v>45665</v>
      </c>
      <c r="B1057" s="595" t="s">
        <v>8205</v>
      </c>
      <c r="C1057" s="596" t="s">
        <v>8386</v>
      </c>
      <c r="D1057" s="795" t="s">
        <v>8387</v>
      </c>
      <c r="E1057" s="770" t="s">
        <v>39</v>
      </c>
      <c r="F1057" s="19">
        <v>1</v>
      </c>
      <c r="G1057" s="796"/>
      <c r="H1057" s="796"/>
      <c r="I1057" s="351" t="s">
        <v>8388</v>
      </c>
      <c r="J1057" s="797">
        <v>10</v>
      </c>
      <c r="K1057" s="610" t="s">
        <v>9997</v>
      </c>
      <c r="L1057" s="611" t="s">
        <v>63</v>
      </c>
      <c r="M1057" s="42" t="s">
        <v>42</v>
      </c>
      <c r="N1057" s="798" t="s">
        <v>8389</v>
      </c>
      <c r="O1057" s="49" t="s">
        <v>8390</v>
      </c>
      <c r="P1057" s="49" t="s">
        <v>8391</v>
      </c>
      <c r="Q1057" s="49" t="s">
        <v>8392</v>
      </c>
      <c r="R1057" s="613">
        <v>95</v>
      </c>
      <c r="S1057" s="613">
        <v>601</v>
      </c>
      <c r="T1057" s="614" t="s">
        <v>180</v>
      </c>
      <c r="U1057" s="614">
        <v>16</v>
      </c>
      <c r="V1057" s="615">
        <f t="shared" si="29"/>
        <v>160</v>
      </c>
      <c r="W1057" s="614" t="s">
        <v>68</v>
      </c>
      <c r="X1057" s="616" t="s">
        <v>8393</v>
      </c>
      <c r="Y1057" s="199" t="s">
        <v>70</v>
      </c>
      <c r="Z1057" s="799" t="s">
        <v>8394</v>
      </c>
      <c r="AA1057" s="617" t="s">
        <v>1712</v>
      </c>
      <c r="AB1057" s="618" t="s">
        <v>7769</v>
      </c>
      <c r="AC1057" s="619">
        <v>5692.8</v>
      </c>
    </row>
    <row r="1058" spans="1:29" s="200" customFormat="1" ht="225" x14ac:dyDescent="0.25">
      <c r="A1058" s="566">
        <v>45665</v>
      </c>
      <c r="B1058" s="605"/>
      <c r="C1058" s="41" t="s">
        <v>8395</v>
      </c>
      <c r="D1058" s="800" t="s">
        <v>8396</v>
      </c>
      <c r="E1058" s="42" t="s">
        <v>39</v>
      </c>
      <c r="F1058" s="19">
        <v>1</v>
      </c>
      <c r="G1058" s="467"/>
      <c r="H1058" s="467"/>
      <c r="I1058" s="245" t="s">
        <v>8397</v>
      </c>
      <c r="J1058" s="45">
        <v>18</v>
      </c>
      <c r="K1058" s="610" t="s">
        <v>9997</v>
      </c>
      <c r="L1058" s="47" t="s">
        <v>63</v>
      </c>
      <c r="M1058" s="42" t="s">
        <v>42</v>
      </c>
      <c r="N1058" s="77" t="s">
        <v>8398</v>
      </c>
      <c r="O1058" s="49" t="s">
        <v>8399</v>
      </c>
      <c r="P1058" s="49" t="s">
        <v>8400</v>
      </c>
      <c r="Q1058" s="49" t="s">
        <v>8401</v>
      </c>
      <c r="R1058" s="50">
        <v>42</v>
      </c>
      <c r="S1058" s="50">
        <v>114</v>
      </c>
      <c r="T1058" s="51" t="s">
        <v>47</v>
      </c>
      <c r="U1058" s="51">
        <v>12</v>
      </c>
      <c r="V1058" s="52">
        <f t="shared" si="29"/>
        <v>216</v>
      </c>
      <c r="W1058" s="51" t="s">
        <v>350</v>
      </c>
      <c r="X1058" s="198" t="s">
        <v>8402</v>
      </c>
      <c r="Y1058" s="199" t="s">
        <v>7004</v>
      </c>
      <c r="Z1058" s="799" t="s">
        <v>8403</v>
      </c>
      <c r="AA1058" s="170" t="s">
        <v>7768</v>
      </c>
      <c r="AB1058" s="243" t="s">
        <v>7769</v>
      </c>
      <c r="AC1058" s="172">
        <v>3837.6</v>
      </c>
    </row>
    <row r="1059" spans="1:29" s="200" customFormat="1" ht="106.5" customHeight="1" x14ac:dyDescent="0.25">
      <c r="A1059" s="566">
        <v>45665</v>
      </c>
      <c r="B1059" s="164" t="s">
        <v>8404</v>
      </c>
      <c r="C1059" s="71" t="s">
        <v>8405</v>
      </c>
      <c r="D1059" s="71"/>
      <c r="E1059" s="122" t="s">
        <v>39</v>
      </c>
      <c r="F1059" s="365"/>
      <c r="G1059" s="365"/>
      <c r="H1059" s="19">
        <v>1</v>
      </c>
      <c r="I1059" s="245" t="s">
        <v>8406</v>
      </c>
      <c r="J1059" s="45">
        <v>60</v>
      </c>
      <c r="K1059" s="46" t="s">
        <v>8361</v>
      </c>
      <c r="L1059" s="47" t="s">
        <v>63</v>
      </c>
      <c r="M1059" s="42" t="s">
        <v>42</v>
      </c>
      <c r="N1059" s="77" t="s">
        <v>8407</v>
      </c>
      <c r="O1059" s="49" t="s">
        <v>8408</v>
      </c>
      <c r="P1059" s="49" t="s">
        <v>8383</v>
      </c>
      <c r="Q1059" s="49" t="s">
        <v>8384</v>
      </c>
      <c r="R1059" s="50">
        <v>58</v>
      </c>
      <c r="S1059" s="50">
        <v>181</v>
      </c>
      <c r="T1059" s="51" t="s">
        <v>47</v>
      </c>
      <c r="U1059" s="51">
        <v>43</v>
      </c>
      <c r="V1059" s="52">
        <f t="shared" si="29"/>
        <v>2580</v>
      </c>
      <c r="W1059" s="51" t="s">
        <v>4564</v>
      </c>
      <c r="X1059" s="198" t="s">
        <v>265</v>
      </c>
      <c r="Y1059" s="199" t="s">
        <v>82</v>
      </c>
      <c r="Z1059" s="643" t="s">
        <v>8150</v>
      </c>
      <c r="AA1059" s="170" t="s">
        <v>2215</v>
      </c>
      <c r="AB1059" s="243" t="s">
        <v>2074</v>
      </c>
      <c r="AC1059" s="172">
        <v>8026</v>
      </c>
    </row>
    <row r="1060" spans="1:29" ht="60" x14ac:dyDescent="0.25">
      <c r="A1060" s="566">
        <v>45665</v>
      </c>
      <c r="B1060" s="176" t="s">
        <v>8409</v>
      </c>
      <c r="C1060" s="772" t="s">
        <v>8410</v>
      </c>
      <c r="D1060" s="176"/>
      <c r="E1060" s="801" t="s">
        <v>39</v>
      </c>
      <c r="F1060" s="179"/>
      <c r="G1060" s="774">
        <v>1</v>
      </c>
      <c r="H1060" s="774">
        <v>1</v>
      </c>
      <c r="I1060" s="245" t="s">
        <v>8411</v>
      </c>
      <c r="J1060" s="180">
        <v>4</v>
      </c>
      <c r="K1060" s="181" t="s">
        <v>8412</v>
      </c>
      <c r="L1060" s="275" t="s">
        <v>63</v>
      </c>
      <c r="M1060" s="178" t="s">
        <v>42</v>
      </c>
      <c r="N1060" s="183" t="s">
        <v>8413</v>
      </c>
      <c r="O1060" s="184"/>
      <c r="P1060" s="184"/>
      <c r="Q1060" s="184" t="s">
        <v>8414</v>
      </c>
      <c r="R1060" s="182">
        <v>158</v>
      </c>
      <c r="S1060" s="182">
        <v>695</v>
      </c>
      <c r="T1060" s="178" t="s">
        <v>582</v>
      </c>
      <c r="U1060" s="178">
        <v>18</v>
      </c>
      <c r="V1060" s="185">
        <f t="shared" si="29"/>
        <v>72</v>
      </c>
      <c r="W1060" s="178" t="s">
        <v>350</v>
      </c>
      <c r="X1060" s="752" t="s">
        <v>765</v>
      </c>
      <c r="Y1060" s="168" t="s">
        <v>50</v>
      </c>
      <c r="Z1060" s="427"/>
      <c r="AA1060" s="170" t="s">
        <v>8311</v>
      </c>
      <c r="AB1060" s="243" t="s">
        <v>7987</v>
      </c>
      <c r="AC1060" s="172">
        <v>27158.799999999999</v>
      </c>
    </row>
    <row r="1061" spans="1:29" ht="49.5" customHeight="1" x14ac:dyDescent="0.25">
      <c r="A1061" s="566">
        <v>45665</v>
      </c>
      <c r="B1061" s="176" t="s">
        <v>8409</v>
      </c>
      <c r="C1061" s="802" t="s">
        <v>8415</v>
      </c>
      <c r="D1061" s="177"/>
      <c r="E1061" s="178" t="s">
        <v>39</v>
      </c>
      <c r="F1061" s="179"/>
      <c r="G1061" s="179"/>
      <c r="H1061" s="179"/>
      <c r="I1061" s="245" t="s">
        <v>8416</v>
      </c>
      <c r="J1061" s="180">
        <v>4</v>
      </c>
      <c r="K1061" s="181" t="s">
        <v>8417</v>
      </c>
      <c r="L1061" s="275" t="s">
        <v>63</v>
      </c>
      <c r="M1061" s="178" t="s">
        <v>8418</v>
      </c>
      <c r="N1061" s="183" t="s">
        <v>8375</v>
      </c>
      <c r="O1061" s="184"/>
      <c r="P1061" s="184"/>
      <c r="Q1061" s="184" t="s">
        <v>8414</v>
      </c>
      <c r="R1061" s="182">
        <v>27</v>
      </c>
      <c r="S1061" s="182">
        <v>175</v>
      </c>
      <c r="T1061" s="178" t="s">
        <v>96</v>
      </c>
      <c r="U1061" s="178">
        <v>7</v>
      </c>
      <c r="V1061" s="185">
        <f t="shared" si="29"/>
        <v>28</v>
      </c>
      <c r="W1061" s="178" t="s">
        <v>350</v>
      </c>
      <c r="X1061" s="752" t="s">
        <v>765</v>
      </c>
      <c r="Y1061" s="168" t="s">
        <v>50</v>
      </c>
      <c r="Z1061" s="427"/>
      <c r="AA1061" s="170" t="s">
        <v>8311</v>
      </c>
      <c r="AB1061" s="243" t="s">
        <v>8376</v>
      </c>
      <c r="AC1061" s="172">
        <v>9736</v>
      </c>
    </row>
    <row r="1062" spans="1:29" s="200" customFormat="1" ht="46.5" customHeight="1" x14ac:dyDescent="0.25">
      <c r="A1062" s="566">
        <v>45665</v>
      </c>
      <c r="B1062" s="494" t="s">
        <v>8419</v>
      </c>
      <c r="C1062" s="494" t="s">
        <v>8420</v>
      </c>
      <c r="D1062" s="494"/>
      <c r="E1062" s="495" t="s">
        <v>39</v>
      </c>
      <c r="F1062" s="497"/>
      <c r="G1062" s="803"/>
      <c r="H1062" s="19">
        <v>2</v>
      </c>
      <c r="I1062" s="245" t="s">
        <v>8421</v>
      </c>
      <c r="J1062" s="499">
        <v>55</v>
      </c>
      <c r="K1062" s="516" t="s">
        <v>2175</v>
      </c>
      <c r="L1062" s="804" t="s">
        <v>2399</v>
      </c>
      <c r="M1062" s="495" t="s">
        <v>42</v>
      </c>
      <c r="N1062" s="502" t="s">
        <v>8422</v>
      </c>
      <c r="O1062" s="805"/>
      <c r="P1062" s="805"/>
      <c r="Q1062" s="805"/>
      <c r="R1062" s="504">
        <v>0</v>
      </c>
      <c r="S1062" s="504">
        <v>0</v>
      </c>
      <c r="T1062" s="495">
        <v>0</v>
      </c>
      <c r="U1062" s="495">
        <v>11</v>
      </c>
      <c r="V1062" s="505">
        <f t="shared" si="29"/>
        <v>605</v>
      </c>
      <c r="W1062" s="495" t="s">
        <v>350</v>
      </c>
      <c r="X1062" s="752" t="s">
        <v>765</v>
      </c>
      <c r="Y1062" s="199" t="s">
        <v>50</v>
      </c>
      <c r="Z1062" s="643" t="s">
        <v>8423</v>
      </c>
      <c r="AA1062" s="170" t="s">
        <v>2179</v>
      </c>
      <c r="AB1062" s="243" t="s">
        <v>8321</v>
      </c>
      <c r="AC1062" s="172">
        <v>14337.65</v>
      </c>
    </row>
    <row r="1063" spans="1:29" s="200" customFormat="1" ht="155.25" customHeight="1" x14ac:dyDescent="0.25">
      <c r="A1063" s="566">
        <v>45664</v>
      </c>
      <c r="B1063" s="164" t="s">
        <v>7759</v>
      </c>
      <c r="C1063" s="586" t="s">
        <v>8424</v>
      </c>
      <c r="D1063" s="780" t="s">
        <v>8425</v>
      </c>
      <c r="E1063" s="587" t="s">
        <v>39</v>
      </c>
      <c r="F1063" s="806"/>
      <c r="G1063" s="806"/>
      <c r="H1063" s="19">
        <v>1</v>
      </c>
      <c r="I1063" s="245" t="s">
        <v>8426</v>
      </c>
      <c r="J1063" s="589">
        <v>3</v>
      </c>
      <c r="K1063" s="747" t="s">
        <v>8427</v>
      </c>
      <c r="L1063" s="591" t="s">
        <v>63</v>
      </c>
      <c r="M1063" s="587" t="s">
        <v>8418</v>
      </c>
      <c r="N1063" s="592" t="s">
        <v>8428</v>
      </c>
      <c r="O1063" s="593" t="s">
        <v>8429</v>
      </c>
      <c r="P1063" s="593" t="s">
        <v>8430</v>
      </c>
      <c r="Q1063" s="593" t="s">
        <v>8431</v>
      </c>
      <c r="R1063" s="594">
        <v>77</v>
      </c>
      <c r="S1063" s="594">
        <v>677</v>
      </c>
      <c r="T1063" s="587" t="s">
        <v>180</v>
      </c>
      <c r="U1063" s="587">
        <v>18</v>
      </c>
      <c r="V1063" s="732">
        <f t="shared" si="29"/>
        <v>54</v>
      </c>
      <c r="W1063" s="587" t="s">
        <v>142</v>
      </c>
      <c r="X1063" s="30" t="s">
        <v>8142</v>
      </c>
      <c r="Y1063" s="199" t="s">
        <v>7004</v>
      </c>
      <c r="Z1063" s="565"/>
      <c r="AA1063" s="170" t="s">
        <v>8215</v>
      </c>
      <c r="AB1063" s="243" t="s">
        <v>7745</v>
      </c>
      <c r="AC1063" s="172">
        <v>5913</v>
      </c>
    </row>
    <row r="1064" spans="1:29" ht="43.5" customHeight="1" x14ac:dyDescent="0.25">
      <c r="A1064" s="566">
        <v>45664</v>
      </c>
      <c r="B1064" s="164" t="s">
        <v>8432</v>
      </c>
      <c r="C1064" s="41" t="s">
        <v>8433</v>
      </c>
      <c r="D1064" s="41"/>
      <c r="E1064" s="42" t="s">
        <v>39</v>
      </c>
      <c r="F1064" s="43"/>
      <c r="G1064" s="467"/>
      <c r="H1064" s="19">
        <v>1</v>
      </c>
      <c r="I1064" s="245" t="s">
        <v>8434</v>
      </c>
      <c r="J1064" s="149">
        <v>70</v>
      </c>
      <c r="K1064" s="46" t="s">
        <v>9998</v>
      </c>
      <c r="L1064" s="47" t="s">
        <v>63</v>
      </c>
      <c r="M1064" s="42" t="s">
        <v>42</v>
      </c>
      <c r="N1064" s="77" t="s">
        <v>8435</v>
      </c>
      <c r="O1064" s="49" t="s">
        <v>8436</v>
      </c>
      <c r="P1064" s="49"/>
      <c r="Q1064" s="49" t="s">
        <v>8437</v>
      </c>
      <c r="R1064" s="50">
        <v>22</v>
      </c>
      <c r="S1064" s="50">
        <v>42</v>
      </c>
      <c r="T1064" s="51" t="s">
        <v>96</v>
      </c>
      <c r="U1064" s="51">
        <v>15</v>
      </c>
      <c r="V1064" s="52">
        <f t="shared" si="29"/>
        <v>1050</v>
      </c>
      <c r="W1064" s="51" t="s">
        <v>68</v>
      </c>
      <c r="X1064" s="198" t="s">
        <v>511</v>
      </c>
      <c r="Y1064" s="168" t="s">
        <v>144</v>
      </c>
      <c r="Z1064" s="427"/>
      <c r="AA1064" s="170" t="s">
        <v>1199</v>
      </c>
      <c r="AB1064" s="243" t="s">
        <v>1830</v>
      </c>
      <c r="AC1064" s="172">
        <v>4468.5</v>
      </c>
    </row>
    <row r="1065" spans="1:29" s="200" customFormat="1" ht="75" x14ac:dyDescent="0.25">
      <c r="A1065" s="566">
        <v>45664</v>
      </c>
      <c r="B1065" s="164" t="s">
        <v>8358</v>
      </c>
      <c r="C1065" s="41" t="s">
        <v>8438</v>
      </c>
      <c r="D1065" s="41"/>
      <c r="E1065" s="42" t="s">
        <v>39</v>
      </c>
      <c r="F1065" s="19">
        <v>1</v>
      </c>
      <c r="G1065" s="43"/>
      <c r="H1065" s="43"/>
      <c r="I1065" s="245" t="s">
        <v>8439</v>
      </c>
      <c r="J1065" s="45">
        <v>140</v>
      </c>
      <c r="K1065" s="46" t="s">
        <v>9999</v>
      </c>
      <c r="L1065" s="47" t="s">
        <v>63</v>
      </c>
      <c r="M1065" s="42" t="s">
        <v>42</v>
      </c>
      <c r="N1065" s="77" t="s">
        <v>240</v>
      </c>
      <c r="O1065" s="49" t="s">
        <v>8440</v>
      </c>
      <c r="P1065" s="49"/>
      <c r="Q1065" s="49" t="s">
        <v>8441</v>
      </c>
      <c r="R1065" s="50">
        <v>22</v>
      </c>
      <c r="S1065" s="50">
        <v>53</v>
      </c>
      <c r="T1065" s="51" t="s">
        <v>96</v>
      </c>
      <c r="U1065" s="51">
        <v>5</v>
      </c>
      <c r="V1065" s="52">
        <f t="shared" si="29"/>
        <v>700</v>
      </c>
      <c r="W1065" s="51" t="s">
        <v>350</v>
      </c>
      <c r="X1065" s="198" t="s">
        <v>2604</v>
      </c>
      <c r="Y1065" s="199" t="s">
        <v>144</v>
      </c>
      <c r="Z1065" s="565"/>
      <c r="AA1065" s="170" t="s">
        <v>1901</v>
      </c>
      <c r="AB1065" s="243" t="s">
        <v>8270</v>
      </c>
      <c r="AC1065" s="172">
        <v>4621.2</v>
      </c>
    </row>
    <row r="1066" spans="1:29" s="200" customFormat="1" ht="60" customHeight="1" x14ac:dyDescent="0.25">
      <c r="A1066" s="566">
        <v>45664</v>
      </c>
      <c r="B1066" s="595" t="s">
        <v>8205</v>
      </c>
      <c r="C1066" s="807" t="s">
        <v>8442</v>
      </c>
      <c r="D1066" s="233"/>
      <c r="E1066" s="235" t="s">
        <v>39</v>
      </c>
      <c r="F1066" s="808"/>
      <c r="G1066" s="19">
        <v>1</v>
      </c>
      <c r="H1066" s="808"/>
      <c r="I1066" s="245" t="s">
        <v>8443</v>
      </c>
      <c r="J1066" s="125">
        <v>85</v>
      </c>
      <c r="K1066" s="809" t="s">
        <v>10000</v>
      </c>
      <c r="L1066" s="47" t="s">
        <v>63</v>
      </c>
      <c r="M1066" s="31" t="s">
        <v>42</v>
      </c>
      <c r="N1066" s="232" t="s">
        <v>779</v>
      </c>
      <c r="O1066" s="448" t="s">
        <v>8445</v>
      </c>
      <c r="P1066" s="49" t="s">
        <v>8446</v>
      </c>
      <c r="Q1066" s="49" t="s">
        <v>8447</v>
      </c>
      <c r="R1066" s="50">
        <v>80</v>
      </c>
      <c r="S1066" s="50">
        <v>132</v>
      </c>
      <c r="T1066" s="51" t="s">
        <v>47</v>
      </c>
      <c r="U1066" s="51">
        <v>18</v>
      </c>
      <c r="V1066" s="52">
        <f t="shared" si="29"/>
        <v>1530</v>
      </c>
      <c r="W1066" s="51" t="s">
        <v>350</v>
      </c>
      <c r="X1066" s="198" t="s">
        <v>2604</v>
      </c>
      <c r="Y1066" s="199" t="s">
        <v>144</v>
      </c>
      <c r="Z1066" s="810" t="s">
        <v>6056</v>
      </c>
      <c r="AA1066" s="170" t="s">
        <v>1712</v>
      </c>
      <c r="AB1066" s="243" t="s">
        <v>7769</v>
      </c>
      <c r="AC1066" s="172">
        <v>5898</v>
      </c>
    </row>
    <row r="1067" spans="1:29" s="200" customFormat="1" ht="273.75" customHeight="1" x14ac:dyDescent="0.25">
      <c r="A1067" s="566">
        <v>45664</v>
      </c>
      <c r="B1067" s="585" t="s">
        <v>8448</v>
      </c>
      <c r="C1067" s="811" t="s">
        <v>8449</v>
      </c>
      <c r="D1067" s="586"/>
      <c r="E1067" s="587" t="s">
        <v>39</v>
      </c>
      <c r="F1067" s="812"/>
      <c r="G1067" s="812"/>
      <c r="H1067" s="19">
        <v>1</v>
      </c>
      <c r="I1067" s="245" t="s">
        <v>8450</v>
      </c>
      <c r="J1067" s="589">
        <v>6</v>
      </c>
      <c r="K1067" s="673" t="s">
        <v>8451</v>
      </c>
      <c r="L1067" s="591" t="s">
        <v>63</v>
      </c>
      <c r="M1067" s="587" t="s">
        <v>42</v>
      </c>
      <c r="N1067" s="592" t="s">
        <v>8452</v>
      </c>
      <c r="O1067" s="593" t="s">
        <v>8453</v>
      </c>
      <c r="P1067" s="593" t="s">
        <v>8454</v>
      </c>
      <c r="Q1067" s="593" t="s">
        <v>8455</v>
      </c>
      <c r="R1067" s="594">
        <v>82</v>
      </c>
      <c r="S1067" s="594">
        <v>979</v>
      </c>
      <c r="T1067" s="587" t="s">
        <v>180</v>
      </c>
      <c r="U1067" s="587">
        <v>21</v>
      </c>
      <c r="V1067" s="732">
        <f t="shared" si="29"/>
        <v>126</v>
      </c>
      <c r="W1067" s="587" t="s">
        <v>142</v>
      </c>
      <c r="X1067" s="30" t="s">
        <v>8142</v>
      </c>
      <c r="Y1067" s="199" t="s">
        <v>7004</v>
      </c>
      <c r="Z1067" s="643" t="s">
        <v>8456</v>
      </c>
      <c r="AA1067" s="170" t="s">
        <v>1712</v>
      </c>
      <c r="AB1067" s="243" t="s">
        <v>6109</v>
      </c>
      <c r="AC1067" s="172">
        <v>9088.2999999999993</v>
      </c>
    </row>
    <row r="1068" spans="1:29" s="200" customFormat="1" ht="135" x14ac:dyDescent="0.25">
      <c r="A1068" s="566">
        <v>45663</v>
      </c>
      <c r="B1068" s="586"/>
      <c r="C1068" s="586" t="s">
        <v>8457</v>
      </c>
      <c r="D1068" s="586"/>
      <c r="E1068" s="587" t="s">
        <v>39</v>
      </c>
      <c r="F1068" s="19">
        <v>1</v>
      </c>
      <c r="G1068" s="588"/>
      <c r="H1068" s="588"/>
      <c r="I1068" s="245" t="s">
        <v>8458</v>
      </c>
      <c r="J1068" s="589">
        <v>25</v>
      </c>
      <c r="K1068" s="673" t="s">
        <v>10001</v>
      </c>
      <c r="L1068" s="591" t="s">
        <v>63</v>
      </c>
      <c r="M1068" s="587" t="s">
        <v>42</v>
      </c>
      <c r="N1068" s="592" t="s">
        <v>8459</v>
      </c>
      <c r="O1068" s="593" t="s">
        <v>8460</v>
      </c>
      <c r="P1068" s="593" t="s">
        <v>8461</v>
      </c>
      <c r="Q1068" s="593" t="s">
        <v>8462</v>
      </c>
      <c r="R1068" s="594">
        <v>150</v>
      </c>
      <c r="S1068" s="594">
        <v>328</v>
      </c>
      <c r="T1068" s="587" t="s">
        <v>180</v>
      </c>
      <c r="U1068" s="587">
        <v>12</v>
      </c>
      <c r="V1068" s="732">
        <f t="shared" si="29"/>
        <v>300</v>
      </c>
      <c r="W1068" s="813" t="s">
        <v>8463</v>
      </c>
      <c r="X1068" s="198" t="s">
        <v>8464</v>
      </c>
      <c r="Y1068" s="199" t="s">
        <v>82</v>
      </c>
      <c r="Z1068" s="565"/>
      <c r="AA1068" s="170" t="s">
        <v>2026</v>
      </c>
      <c r="AB1068" s="243" t="s">
        <v>7564</v>
      </c>
      <c r="AC1068" s="172">
        <v>13730</v>
      </c>
    </row>
    <row r="1069" spans="1:29" ht="381.75" customHeight="1" x14ac:dyDescent="0.25">
      <c r="A1069" s="566">
        <v>45663</v>
      </c>
      <c r="B1069" s="814" t="s">
        <v>8465</v>
      </c>
      <c r="C1069" s="586" t="s">
        <v>8466</v>
      </c>
      <c r="D1069" s="586"/>
      <c r="E1069" s="587" t="s">
        <v>39</v>
      </c>
      <c r="F1069" s="812"/>
      <c r="G1069" s="812"/>
      <c r="H1069" s="19">
        <v>1</v>
      </c>
      <c r="I1069" s="245" t="s">
        <v>8467</v>
      </c>
      <c r="J1069" s="589">
        <v>60</v>
      </c>
      <c r="K1069" s="815" t="s">
        <v>10002</v>
      </c>
      <c r="L1069" s="816" t="s">
        <v>63</v>
      </c>
      <c r="M1069" s="587" t="s">
        <v>42</v>
      </c>
      <c r="N1069" s="592" t="s">
        <v>8468</v>
      </c>
      <c r="O1069" s="593" t="s">
        <v>8461</v>
      </c>
      <c r="P1069" s="593" t="s">
        <v>8469</v>
      </c>
      <c r="Q1069" s="593" t="s">
        <v>8470</v>
      </c>
      <c r="R1069" s="594">
        <v>77</v>
      </c>
      <c r="S1069" s="594">
        <v>341</v>
      </c>
      <c r="T1069" s="587" t="s">
        <v>549</v>
      </c>
      <c r="U1069" s="587">
        <v>77</v>
      </c>
      <c r="V1069" s="732">
        <f t="shared" si="29"/>
        <v>4620</v>
      </c>
      <c r="W1069" s="51" t="s">
        <v>4564</v>
      </c>
      <c r="X1069" s="198" t="s">
        <v>265</v>
      </c>
      <c r="Y1069" s="168" t="s">
        <v>82</v>
      </c>
      <c r="Z1069" s="810" t="s">
        <v>8471</v>
      </c>
      <c r="AA1069" s="170" t="s">
        <v>2215</v>
      </c>
      <c r="AB1069" s="243" t="s">
        <v>2074</v>
      </c>
      <c r="AC1069" s="172">
        <v>16295</v>
      </c>
    </row>
    <row r="1070" spans="1:29" s="200" customFormat="1" ht="93.75" customHeight="1" x14ac:dyDescent="0.25">
      <c r="A1070" s="566">
        <v>45660</v>
      </c>
      <c r="B1070" s="605"/>
      <c r="C1070" s="741" t="s">
        <v>8472</v>
      </c>
      <c r="D1070" s="742" t="s">
        <v>8473</v>
      </c>
      <c r="E1070" s="51" t="s">
        <v>39</v>
      </c>
      <c r="F1070" s="743"/>
      <c r="G1070" s="743"/>
      <c r="H1070" s="19">
        <v>3</v>
      </c>
      <c r="I1070" s="245" t="s">
        <v>8474</v>
      </c>
      <c r="J1070" s="110">
        <v>45</v>
      </c>
      <c r="K1070" s="111" t="s">
        <v>8475</v>
      </c>
      <c r="L1070" s="47" t="s">
        <v>63</v>
      </c>
      <c r="M1070" s="637" t="s">
        <v>42</v>
      </c>
      <c r="N1070" s="744" t="s">
        <v>8476</v>
      </c>
      <c r="O1070" s="49" t="s">
        <v>8477</v>
      </c>
      <c r="P1070" s="49" t="s">
        <v>8478</v>
      </c>
      <c r="Q1070" s="49" t="s">
        <v>8479</v>
      </c>
      <c r="R1070" s="50">
        <v>6</v>
      </c>
      <c r="S1070" s="50">
        <v>14</v>
      </c>
      <c r="T1070" s="51" t="s">
        <v>47</v>
      </c>
      <c r="U1070" s="51">
        <v>0</v>
      </c>
      <c r="V1070" s="52">
        <f t="shared" si="29"/>
        <v>0</v>
      </c>
      <c r="W1070" s="51" t="s">
        <v>142</v>
      </c>
      <c r="X1070" s="198" t="s">
        <v>1243</v>
      </c>
      <c r="Y1070" s="199" t="s">
        <v>7004</v>
      </c>
      <c r="Z1070" s="565"/>
      <c r="AA1070" s="170" t="s">
        <v>7826</v>
      </c>
      <c r="AB1070" s="243" t="s">
        <v>2430</v>
      </c>
      <c r="AC1070" s="35">
        <f>6555*(J1070/750)</f>
        <v>393.3</v>
      </c>
    </row>
    <row r="1071" spans="1:29" s="200" customFormat="1" ht="110.25" customHeight="1" x14ac:dyDescent="0.25">
      <c r="A1071" s="566">
        <v>45660</v>
      </c>
      <c r="B1071" s="605"/>
      <c r="C1071" s="741" t="s">
        <v>8472</v>
      </c>
      <c r="D1071" s="742" t="s">
        <v>8480</v>
      </c>
      <c r="E1071" s="51" t="s">
        <v>39</v>
      </c>
      <c r="F1071" s="743"/>
      <c r="G1071" s="743"/>
      <c r="H1071" s="19">
        <v>2</v>
      </c>
      <c r="I1071" s="245" t="s">
        <v>8481</v>
      </c>
      <c r="J1071" s="110">
        <v>45</v>
      </c>
      <c r="K1071" s="111" t="s">
        <v>8475</v>
      </c>
      <c r="L1071" s="47" t="s">
        <v>63</v>
      </c>
      <c r="M1071" s="637" t="s">
        <v>42</v>
      </c>
      <c r="N1071" s="744" t="s">
        <v>8482</v>
      </c>
      <c r="O1071" s="49" t="s">
        <v>8477</v>
      </c>
      <c r="P1071" s="49" t="s">
        <v>8483</v>
      </c>
      <c r="Q1071" s="49" t="s">
        <v>8213</v>
      </c>
      <c r="R1071" s="50">
        <v>6</v>
      </c>
      <c r="S1071" s="50">
        <v>14</v>
      </c>
      <c r="T1071" s="51" t="s">
        <v>47</v>
      </c>
      <c r="U1071" s="51">
        <v>0</v>
      </c>
      <c r="V1071" s="52">
        <f t="shared" si="29"/>
        <v>0</v>
      </c>
      <c r="W1071" s="51" t="s">
        <v>142</v>
      </c>
      <c r="X1071" s="198" t="s">
        <v>1243</v>
      </c>
      <c r="Y1071" s="199" t="s">
        <v>7004</v>
      </c>
      <c r="Z1071" s="565"/>
      <c r="AA1071" s="170" t="s">
        <v>7826</v>
      </c>
      <c r="AB1071" s="243" t="s">
        <v>2430</v>
      </c>
      <c r="AC1071" s="35">
        <f>6555*(J1071/750)</f>
        <v>393.3</v>
      </c>
    </row>
    <row r="1072" spans="1:29" ht="61.5" customHeight="1" x14ac:dyDescent="0.25">
      <c r="A1072" s="566">
        <v>45660</v>
      </c>
      <c r="B1072" s="817" t="s">
        <v>8484</v>
      </c>
      <c r="C1072" s="818" t="s">
        <v>8485</v>
      </c>
      <c r="D1072" s="819" t="s">
        <v>8486</v>
      </c>
      <c r="E1072" s="42" t="s">
        <v>39</v>
      </c>
      <c r="F1072" s="19">
        <v>1</v>
      </c>
      <c r="G1072" s="608"/>
      <c r="H1072" s="608"/>
      <c r="I1072" s="245" t="s">
        <v>8487</v>
      </c>
      <c r="J1072" s="609">
        <v>500</v>
      </c>
      <c r="K1072" s="111" t="s">
        <v>8475</v>
      </c>
      <c r="L1072" s="611" t="s">
        <v>63</v>
      </c>
      <c r="M1072" s="42" t="s">
        <v>42</v>
      </c>
      <c r="N1072" s="401" t="s">
        <v>8488</v>
      </c>
      <c r="O1072" s="49" t="s">
        <v>8489</v>
      </c>
      <c r="P1072" s="49" t="s">
        <v>8490</v>
      </c>
      <c r="Q1072" s="49" t="s">
        <v>8491</v>
      </c>
      <c r="R1072" s="613">
        <v>16</v>
      </c>
      <c r="S1072" s="613">
        <v>32</v>
      </c>
      <c r="T1072" s="614" t="s">
        <v>47</v>
      </c>
      <c r="U1072" s="614">
        <v>1</v>
      </c>
      <c r="V1072" s="615">
        <f t="shared" si="29"/>
        <v>500</v>
      </c>
      <c r="W1072" s="51" t="s">
        <v>350</v>
      </c>
      <c r="X1072" s="616" t="s">
        <v>6839</v>
      </c>
      <c r="Y1072" s="168" t="s">
        <v>82</v>
      </c>
      <c r="Z1072" s="427"/>
      <c r="AA1072" s="617" t="s">
        <v>8215</v>
      </c>
      <c r="AB1072" s="618" t="s">
        <v>7769</v>
      </c>
      <c r="AC1072" s="619">
        <v>5190</v>
      </c>
    </row>
    <row r="1073" spans="1:105" s="200" customFormat="1" ht="48" customHeight="1" x14ac:dyDescent="0.25">
      <c r="A1073" s="566">
        <v>45660</v>
      </c>
      <c r="B1073" s="785"/>
      <c r="C1073" s="785" t="s">
        <v>8492</v>
      </c>
      <c r="D1073" s="785" t="s">
        <v>8493</v>
      </c>
      <c r="E1073" s="786" t="s">
        <v>39</v>
      </c>
      <c r="F1073" s="787"/>
      <c r="G1073" s="787"/>
      <c r="H1073" s="19">
        <v>1</v>
      </c>
      <c r="I1073" s="245" t="s">
        <v>8494</v>
      </c>
      <c r="J1073" s="788">
        <v>4</v>
      </c>
      <c r="K1073" s="820" t="s">
        <v>8495</v>
      </c>
      <c r="L1073" s="790" t="s">
        <v>63</v>
      </c>
      <c r="M1073" s="786" t="s">
        <v>42</v>
      </c>
      <c r="N1073" s="791" t="s">
        <v>8496</v>
      </c>
      <c r="O1073" s="792" t="s">
        <v>8497</v>
      </c>
      <c r="P1073" s="792" t="s">
        <v>8498</v>
      </c>
      <c r="Q1073" s="792" t="s">
        <v>8499</v>
      </c>
      <c r="R1073" s="793">
        <v>100</v>
      </c>
      <c r="S1073" s="793">
        <v>290</v>
      </c>
      <c r="T1073" s="786" t="s">
        <v>47</v>
      </c>
      <c r="U1073" s="786">
        <v>6</v>
      </c>
      <c r="V1073" s="794">
        <f t="shared" si="29"/>
        <v>24</v>
      </c>
      <c r="W1073" s="786" t="s">
        <v>350</v>
      </c>
      <c r="X1073" s="752" t="s">
        <v>765</v>
      </c>
      <c r="Y1073" s="199" t="s">
        <v>50</v>
      </c>
      <c r="Z1073" s="810" t="s">
        <v>8500</v>
      </c>
      <c r="AA1073" s="170" t="s">
        <v>7986</v>
      </c>
      <c r="AB1073" s="243" t="s">
        <v>7564</v>
      </c>
      <c r="AC1073" s="172">
        <v>12799.4</v>
      </c>
    </row>
    <row r="1074" spans="1:105" s="12" customFormat="1" ht="75" customHeight="1" x14ac:dyDescent="0.25">
      <c r="A1074" s="566">
        <v>45660</v>
      </c>
      <c r="B1074" s="605"/>
      <c r="C1074" s="821" t="s">
        <v>8501</v>
      </c>
      <c r="D1074" s="822" t="s">
        <v>8502</v>
      </c>
      <c r="E1074" s="84" t="s">
        <v>8503</v>
      </c>
      <c r="F1074" s="823"/>
      <c r="G1074" s="823"/>
      <c r="H1074" s="824">
        <v>1</v>
      </c>
      <c r="I1074" s="825" t="s">
        <v>8504</v>
      </c>
      <c r="J1074" s="826">
        <v>40</v>
      </c>
      <c r="K1074" s="701" t="s">
        <v>8505</v>
      </c>
      <c r="L1074" s="42" t="s">
        <v>63</v>
      </c>
      <c r="M1074" s="31" t="s">
        <v>42</v>
      </c>
      <c r="N1074" s="77" t="s">
        <v>8506</v>
      </c>
      <c r="O1074" s="702"/>
      <c r="P1074" s="702"/>
      <c r="Q1074" s="827"/>
      <c r="R1074" s="42">
        <v>34</v>
      </c>
      <c r="S1074" s="42">
        <v>64</v>
      </c>
      <c r="T1074" s="42" t="s">
        <v>393</v>
      </c>
      <c r="U1074" s="42">
        <v>0</v>
      </c>
      <c r="V1074" s="42">
        <v>0</v>
      </c>
      <c r="W1074" s="31" t="s">
        <v>68</v>
      </c>
      <c r="X1074" s="828" t="s">
        <v>2234</v>
      </c>
      <c r="Y1074" s="829" t="s">
        <v>144</v>
      </c>
      <c r="Z1074" s="830"/>
      <c r="AA1074" s="582" t="s">
        <v>8507</v>
      </c>
      <c r="AB1074" s="831">
        <v>45560</v>
      </c>
      <c r="AC1074" s="83">
        <f>(2015 / 100) * 40</f>
        <v>806</v>
      </c>
    </row>
    <row r="1075" spans="1:105" ht="76.5" x14ac:dyDescent="0.25">
      <c r="A1075" s="566">
        <v>45660</v>
      </c>
      <c r="B1075" s="41"/>
      <c r="C1075" s="41" t="s">
        <v>8508</v>
      </c>
      <c r="D1075" s="41"/>
      <c r="E1075" s="42" t="s">
        <v>8509</v>
      </c>
      <c r="F1075" s="467"/>
      <c r="G1075" s="467"/>
      <c r="H1075" s="467"/>
      <c r="I1075" s="245" t="s">
        <v>9849</v>
      </c>
      <c r="J1075" s="45">
        <v>6</v>
      </c>
      <c r="K1075" s="46" t="s">
        <v>8510</v>
      </c>
      <c r="L1075" s="47" t="s">
        <v>2399</v>
      </c>
      <c r="M1075" s="42"/>
      <c r="N1075" s="832" t="s">
        <v>8511</v>
      </c>
      <c r="O1075" s="49" t="s">
        <v>7187</v>
      </c>
      <c r="P1075" s="49"/>
      <c r="Q1075" s="49"/>
      <c r="R1075" s="50"/>
      <c r="S1075" s="50"/>
      <c r="T1075" s="51"/>
      <c r="U1075" s="51"/>
      <c r="V1075" s="52">
        <f t="shared" ref="V1075:V1098" si="30">U1075*J1075</f>
        <v>0</v>
      </c>
      <c r="W1075" s="51" t="s">
        <v>350</v>
      </c>
      <c r="X1075" s="198" t="s">
        <v>1744</v>
      </c>
      <c r="Y1075" s="199" t="s">
        <v>82</v>
      </c>
      <c r="Z1075" s="565"/>
      <c r="AA1075" s="170" t="s">
        <v>83</v>
      </c>
      <c r="AB1075" s="243" t="s">
        <v>7564</v>
      </c>
      <c r="AC1075" s="172">
        <v>3480</v>
      </c>
    </row>
    <row r="1076" spans="1:105" s="200" customFormat="1" ht="46.5" customHeight="1" x14ac:dyDescent="0.25">
      <c r="A1076" s="566">
        <v>45660</v>
      </c>
      <c r="B1076" s="605"/>
      <c r="C1076" s="833" t="s">
        <v>8512</v>
      </c>
      <c r="D1076" s="834" t="s">
        <v>8513</v>
      </c>
      <c r="E1076" s="42" t="s">
        <v>39</v>
      </c>
      <c r="F1076" s="19">
        <v>1</v>
      </c>
      <c r="G1076" s="608"/>
      <c r="H1076" s="608"/>
      <c r="I1076" s="599" t="s">
        <v>8514</v>
      </c>
      <c r="J1076" s="609">
        <v>6</v>
      </c>
      <c r="K1076" s="46" t="s">
        <v>8510</v>
      </c>
      <c r="L1076" s="611" t="s">
        <v>63</v>
      </c>
      <c r="M1076" s="835" t="s">
        <v>42</v>
      </c>
      <c r="N1076" s="401" t="s">
        <v>8515</v>
      </c>
      <c r="O1076" s="702" t="s">
        <v>8516</v>
      </c>
      <c r="P1076" s="702" t="s">
        <v>8517</v>
      </c>
      <c r="Q1076" s="50" t="s">
        <v>8518</v>
      </c>
      <c r="R1076" s="613">
        <v>109</v>
      </c>
      <c r="S1076" s="613">
        <v>1384</v>
      </c>
      <c r="T1076" s="614" t="s">
        <v>549</v>
      </c>
      <c r="U1076" s="614">
        <v>7</v>
      </c>
      <c r="V1076" s="615">
        <f t="shared" si="30"/>
        <v>42</v>
      </c>
      <c r="W1076" s="615" t="s">
        <v>350</v>
      </c>
      <c r="X1076" s="836" t="s">
        <v>6587</v>
      </c>
      <c r="Y1076" s="765" t="s">
        <v>50</v>
      </c>
      <c r="Z1076" s="643" t="s">
        <v>8519</v>
      </c>
      <c r="AA1076" s="837" t="s">
        <v>1177</v>
      </c>
      <c r="AB1076" s="618" t="s">
        <v>8151</v>
      </c>
      <c r="AC1076" s="838">
        <v>7791.62</v>
      </c>
    </row>
    <row r="1077" spans="1:105" ht="90" customHeight="1" x14ac:dyDescent="0.25">
      <c r="A1077" s="566">
        <v>45660</v>
      </c>
      <c r="B1077" s="585" t="s">
        <v>8520</v>
      </c>
      <c r="C1077" s="586" t="s">
        <v>8521</v>
      </c>
      <c r="D1077" s="586" t="s">
        <v>8522</v>
      </c>
      <c r="E1077" s="319" t="s">
        <v>8315</v>
      </c>
      <c r="F1077" s="588"/>
      <c r="G1077" s="588"/>
      <c r="H1077" s="19">
        <v>1</v>
      </c>
      <c r="I1077" s="245" t="s">
        <v>8523</v>
      </c>
      <c r="J1077" s="589">
        <v>45</v>
      </c>
      <c r="K1077" s="673" t="s">
        <v>10003</v>
      </c>
      <c r="L1077" s="591" t="s">
        <v>2399</v>
      </c>
      <c r="M1077" s="587" t="s">
        <v>42</v>
      </c>
      <c r="N1077" s="592" t="s">
        <v>8524</v>
      </c>
      <c r="O1077" s="593" t="s">
        <v>8440</v>
      </c>
      <c r="P1077" s="593"/>
      <c r="Q1077" s="593" t="s">
        <v>8525</v>
      </c>
      <c r="R1077" s="594">
        <v>2</v>
      </c>
      <c r="S1077" s="594">
        <v>5</v>
      </c>
      <c r="T1077" s="587">
        <v>0</v>
      </c>
      <c r="U1077" s="587">
        <v>1</v>
      </c>
      <c r="V1077" s="732">
        <f t="shared" si="30"/>
        <v>45</v>
      </c>
      <c r="W1077" s="587" t="s">
        <v>350</v>
      </c>
      <c r="X1077" s="752" t="s">
        <v>765</v>
      </c>
      <c r="Y1077" s="199" t="s">
        <v>50</v>
      </c>
      <c r="Z1077" s="565"/>
      <c r="AA1077" s="170" t="s">
        <v>2179</v>
      </c>
      <c r="AB1077" s="243" t="s">
        <v>2074</v>
      </c>
      <c r="AC1077" s="172">
        <v>5977.8</v>
      </c>
      <c r="AE1077" s="777"/>
      <c r="AF1077" s="777"/>
      <c r="AG1077" s="777"/>
      <c r="AH1077" s="777"/>
      <c r="AI1077" s="777"/>
      <c r="AJ1077" s="777"/>
      <c r="AK1077" s="777"/>
      <c r="AL1077" s="777"/>
      <c r="AM1077" s="777"/>
      <c r="AN1077" s="777"/>
      <c r="AO1077" s="777"/>
      <c r="AP1077" s="777"/>
      <c r="AQ1077" s="777"/>
      <c r="AR1077" s="777"/>
      <c r="AS1077" s="777"/>
      <c r="AT1077" s="777"/>
      <c r="AU1077" s="777"/>
      <c r="AV1077" s="777"/>
      <c r="AW1077" s="777"/>
      <c r="AX1077" s="777"/>
      <c r="AY1077" s="777"/>
      <c r="AZ1077" s="777"/>
      <c r="BA1077" s="777"/>
      <c r="BB1077" s="777"/>
      <c r="BC1077" s="777"/>
      <c r="BD1077" s="777"/>
      <c r="BE1077" s="777"/>
      <c r="BF1077" s="777"/>
      <c r="BG1077" s="777"/>
      <c r="BH1077" s="777"/>
      <c r="BI1077" s="777"/>
      <c r="BJ1077" s="777"/>
      <c r="BK1077" s="777"/>
      <c r="BL1077" s="777"/>
      <c r="BM1077" s="777"/>
      <c r="BN1077" s="777"/>
      <c r="BO1077" s="777"/>
      <c r="BP1077" s="777"/>
      <c r="BQ1077" s="777"/>
      <c r="BR1077" s="777"/>
      <c r="BS1077" s="777"/>
      <c r="BT1077" s="777"/>
      <c r="BU1077" s="777"/>
      <c r="BV1077" s="777"/>
      <c r="BW1077" s="777"/>
      <c r="BX1077" s="777"/>
      <c r="BY1077" s="777"/>
      <c r="BZ1077" s="777"/>
      <c r="CA1077" s="777"/>
      <c r="CB1077" s="777"/>
      <c r="CC1077" s="777"/>
      <c r="CD1077" s="777"/>
      <c r="CE1077" s="777"/>
      <c r="CF1077" s="777"/>
      <c r="CG1077" s="777"/>
      <c r="CH1077" s="777"/>
      <c r="CI1077" s="777"/>
      <c r="CJ1077" s="777"/>
      <c r="CK1077" s="777"/>
      <c r="CL1077" s="777"/>
      <c r="CM1077" s="777"/>
      <c r="CN1077" s="777"/>
      <c r="CO1077" s="777"/>
      <c r="CP1077" s="777"/>
      <c r="CQ1077" s="777"/>
      <c r="CR1077" s="777"/>
      <c r="CS1077" s="777"/>
      <c r="CT1077" s="777"/>
      <c r="CU1077" s="777"/>
      <c r="CV1077" s="777"/>
      <c r="CW1077" s="777"/>
      <c r="CX1077" s="777"/>
      <c r="CY1077" s="777"/>
      <c r="CZ1077" s="777"/>
      <c r="DA1077" s="777"/>
    </row>
    <row r="1078" spans="1:105" s="200" customFormat="1" ht="60.75" customHeight="1" x14ac:dyDescent="0.25">
      <c r="A1078" s="566">
        <v>45660</v>
      </c>
      <c r="B1078" s="164" t="s">
        <v>8377</v>
      </c>
      <c r="C1078" s="41" t="s">
        <v>8526</v>
      </c>
      <c r="D1078" s="41"/>
      <c r="E1078" s="42" t="s">
        <v>39</v>
      </c>
      <c r="F1078" s="19">
        <v>1</v>
      </c>
      <c r="G1078" s="43"/>
      <c r="H1078" s="43"/>
      <c r="I1078" s="245" t="s">
        <v>8527</v>
      </c>
      <c r="J1078" s="45">
        <v>2</v>
      </c>
      <c r="K1078" s="46" t="s">
        <v>8528</v>
      </c>
      <c r="L1078" s="47" t="s">
        <v>63</v>
      </c>
      <c r="M1078" s="42" t="s">
        <v>42</v>
      </c>
      <c r="N1078" s="77" t="s">
        <v>8529</v>
      </c>
      <c r="O1078" s="49" t="s">
        <v>8530</v>
      </c>
      <c r="P1078" s="49" t="s">
        <v>8531</v>
      </c>
      <c r="Q1078" s="49" t="s">
        <v>8532</v>
      </c>
      <c r="R1078" s="50">
        <v>33</v>
      </c>
      <c r="S1078" s="50">
        <v>51</v>
      </c>
      <c r="T1078" s="51" t="s">
        <v>47</v>
      </c>
      <c r="U1078" s="51">
        <v>5</v>
      </c>
      <c r="V1078" s="52">
        <f t="shared" si="30"/>
        <v>10</v>
      </c>
      <c r="W1078" s="51" t="s">
        <v>350</v>
      </c>
      <c r="X1078" s="198" t="s">
        <v>5544</v>
      </c>
      <c r="Y1078" s="199" t="s">
        <v>82</v>
      </c>
      <c r="Z1078" s="565"/>
      <c r="AA1078" s="170" t="s">
        <v>1199</v>
      </c>
      <c r="AB1078" s="243" t="s">
        <v>1830</v>
      </c>
      <c r="AC1078" s="172">
        <v>4087.2</v>
      </c>
    </row>
    <row r="1079" spans="1:105" s="200" customFormat="1" ht="121.5" customHeight="1" x14ac:dyDescent="0.25">
      <c r="A1079" s="566">
        <v>45657</v>
      </c>
      <c r="B1079" s="605"/>
      <c r="C1079" s="41" t="s">
        <v>8533</v>
      </c>
      <c r="D1079" s="41" t="s">
        <v>8534</v>
      </c>
      <c r="E1079" s="42" t="s">
        <v>195</v>
      </c>
      <c r="F1079" s="467"/>
      <c r="G1079" s="467"/>
      <c r="H1079" s="467"/>
      <c r="I1079" s="245" t="s">
        <v>8535</v>
      </c>
      <c r="J1079" s="45">
        <v>55</v>
      </c>
      <c r="K1079" s="46" t="s">
        <v>8536</v>
      </c>
      <c r="L1079" s="47" t="s">
        <v>42</v>
      </c>
      <c r="M1079" s="42"/>
      <c r="N1079" s="77" t="s">
        <v>8537</v>
      </c>
      <c r="O1079" s="49"/>
      <c r="P1079" s="49"/>
      <c r="Q1079" s="49"/>
      <c r="R1079" s="50">
        <v>0</v>
      </c>
      <c r="S1079" s="50">
        <v>0</v>
      </c>
      <c r="T1079" s="51">
        <v>0</v>
      </c>
      <c r="U1079" s="51">
        <v>67</v>
      </c>
      <c r="V1079" s="839">
        <f t="shared" si="30"/>
        <v>3685</v>
      </c>
      <c r="W1079" s="51" t="s">
        <v>221</v>
      </c>
      <c r="X1079" s="198" t="s">
        <v>3079</v>
      </c>
      <c r="Y1079" s="199" t="s">
        <v>8538</v>
      </c>
      <c r="Z1079" s="565"/>
      <c r="AA1079" s="170" t="s">
        <v>1712</v>
      </c>
      <c r="AB1079" s="243"/>
      <c r="AC1079" s="172">
        <v>7854</v>
      </c>
    </row>
    <row r="1080" spans="1:105" s="200" customFormat="1" ht="259.5" customHeight="1" x14ac:dyDescent="0.25">
      <c r="A1080" s="566">
        <v>45657</v>
      </c>
      <c r="B1080" s="595" t="s">
        <v>8539</v>
      </c>
      <c r="C1080" s="586" t="s">
        <v>8540</v>
      </c>
      <c r="D1080" s="840" t="s">
        <v>8541</v>
      </c>
      <c r="E1080" s="841" t="s">
        <v>39</v>
      </c>
      <c r="F1080" s="19">
        <v>1</v>
      </c>
      <c r="G1080" s="588"/>
      <c r="H1080" s="588"/>
      <c r="I1080" s="245" t="s">
        <v>8542</v>
      </c>
      <c r="J1080" s="589">
        <v>3</v>
      </c>
      <c r="K1080" s="673" t="s">
        <v>8543</v>
      </c>
      <c r="L1080" s="841" t="s">
        <v>63</v>
      </c>
      <c r="M1080" s="841" t="s">
        <v>42</v>
      </c>
      <c r="N1080" s="592" t="s">
        <v>8544</v>
      </c>
      <c r="O1080" s="593" t="s">
        <v>8545</v>
      </c>
      <c r="P1080" s="593" t="s">
        <v>8546</v>
      </c>
      <c r="Q1080" s="593" t="s">
        <v>8547</v>
      </c>
      <c r="R1080" s="594">
        <v>51</v>
      </c>
      <c r="S1080" s="594">
        <v>1289</v>
      </c>
      <c r="T1080" s="587" t="s">
        <v>47</v>
      </c>
      <c r="U1080" s="587">
        <v>15</v>
      </c>
      <c r="V1080" s="732">
        <f t="shared" si="30"/>
        <v>45</v>
      </c>
      <c r="W1080" s="587" t="s">
        <v>142</v>
      </c>
      <c r="X1080" s="30" t="s">
        <v>8142</v>
      </c>
      <c r="Y1080" s="199" t="s">
        <v>7004</v>
      </c>
      <c r="Z1080" s="565"/>
      <c r="AA1080" s="170" t="s">
        <v>1712</v>
      </c>
      <c r="AB1080" s="243" t="s">
        <v>2378</v>
      </c>
      <c r="AC1080" s="172">
        <v>6630</v>
      </c>
    </row>
    <row r="1081" spans="1:105" s="200" customFormat="1" ht="57" customHeight="1" x14ac:dyDescent="0.25">
      <c r="A1081" s="566">
        <v>45657</v>
      </c>
      <c r="B1081" s="164" t="s">
        <v>8548</v>
      </c>
      <c r="C1081" s="41" t="s">
        <v>8549</v>
      </c>
      <c r="D1081" s="41"/>
      <c r="E1081" s="42" t="s">
        <v>39</v>
      </c>
      <c r="F1081" s="43"/>
      <c r="G1081" s="43"/>
      <c r="H1081" s="19">
        <v>1</v>
      </c>
      <c r="I1081" s="245" t="s">
        <v>8550</v>
      </c>
      <c r="J1081" s="45">
        <v>15</v>
      </c>
      <c r="K1081" s="46" t="s">
        <v>8551</v>
      </c>
      <c r="L1081" s="47" t="s">
        <v>63</v>
      </c>
      <c r="M1081" s="42" t="s">
        <v>42</v>
      </c>
      <c r="N1081" s="77" t="s">
        <v>240</v>
      </c>
      <c r="O1081" s="49" t="s">
        <v>8552</v>
      </c>
      <c r="P1081" s="49" t="s">
        <v>8553</v>
      </c>
      <c r="Q1081" s="49" t="s">
        <v>8554</v>
      </c>
      <c r="R1081" s="50">
        <v>6</v>
      </c>
      <c r="S1081" s="50">
        <v>36</v>
      </c>
      <c r="T1081" s="51" t="s">
        <v>47</v>
      </c>
      <c r="U1081" s="51">
        <v>16</v>
      </c>
      <c r="V1081" s="52">
        <f t="shared" si="30"/>
        <v>240</v>
      </c>
      <c r="W1081" s="51" t="s">
        <v>350</v>
      </c>
      <c r="X1081" s="198" t="s">
        <v>8555</v>
      </c>
      <c r="Y1081" s="199" t="s">
        <v>82</v>
      </c>
      <c r="Z1081" s="565"/>
      <c r="AA1081" s="170" t="s">
        <v>8215</v>
      </c>
      <c r="AB1081" s="243" t="s">
        <v>7745</v>
      </c>
      <c r="AC1081" s="172">
        <v>3995.25</v>
      </c>
    </row>
    <row r="1082" spans="1:105" s="200" customFormat="1" ht="91.5" customHeight="1" x14ac:dyDescent="0.25">
      <c r="A1082" s="566">
        <v>45657</v>
      </c>
      <c r="B1082" s="605"/>
      <c r="C1082" s="121" t="s">
        <v>8556</v>
      </c>
      <c r="D1082" s="41"/>
      <c r="E1082" s="42" t="s">
        <v>39</v>
      </c>
      <c r="F1082" s="43"/>
      <c r="G1082" s="43"/>
      <c r="H1082" s="19">
        <v>1</v>
      </c>
      <c r="I1082" s="245" t="s">
        <v>8557</v>
      </c>
      <c r="J1082" s="142">
        <v>225</v>
      </c>
      <c r="K1082" s="46" t="s">
        <v>8558</v>
      </c>
      <c r="L1082" s="47" t="s">
        <v>63</v>
      </c>
      <c r="M1082" s="42" t="s">
        <v>42</v>
      </c>
      <c r="N1082" s="77" t="s">
        <v>779</v>
      </c>
      <c r="O1082" s="49" t="s">
        <v>8559</v>
      </c>
      <c r="P1082" s="49"/>
      <c r="Q1082" s="49" t="s">
        <v>8560</v>
      </c>
      <c r="R1082" s="50">
        <v>30</v>
      </c>
      <c r="S1082" s="50">
        <v>49</v>
      </c>
      <c r="T1082" s="51" t="s">
        <v>96</v>
      </c>
      <c r="U1082" s="51">
        <v>1</v>
      </c>
      <c r="V1082" s="52">
        <f t="shared" si="30"/>
        <v>225</v>
      </c>
      <c r="W1082" s="51" t="s">
        <v>68</v>
      </c>
      <c r="X1082" s="198" t="s">
        <v>8561</v>
      </c>
      <c r="Y1082" s="199" t="s">
        <v>82</v>
      </c>
      <c r="Z1082" s="565"/>
      <c r="AA1082" s="170" t="s">
        <v>8128</v>
      </c>
      <c r="AB1082" s="243" t="s">
        <v>8562</v>
      </c>
      <c r="AC1082" s="172">
        <v>4106.25</v>
      </c>
    </row>
    <row r="1083" spans="1:105" s="200" customFormat="1" ht="106.5" customHeight="1" x14ac:dyDescent="0.25">
      <c r="A1083" s="566">
        <v>45657</v>
      </c>
      <c r="B1083" s="164" t="s">
        <v>8377</v>
      </c>
      <c r="C1083" s="41" t="s">
        <v>8526</v>
      </c>
      <c r="D1083" s="41"/>
      <c r="E1083" s="42" t="s">
        <v>39</v>
      </c>
      <c r="F1083" s="19">
        <v>1</v>
      </c>
      <c r="G1083" s="43"/>
      <c r="H1083" s="43"/>
      <c r="I1083" s="245" t="s">
        <v>8563</v>
      </c>
      <c r="J1083" s="45">
        <v>58</v>
      </c>
      <c r="K1083" s="46" t="s">
        <v>8564</v>
      </c>
      <c r="L1083" s="47" t="s">
        <v>63</v>
      </c>
      <c r="M1083" s="42" t="s">
        <v>42</v>
      </c>
      <c r="N1083" s="77" t="s">
        <v>8529</v>
      </c>
      <c r="O1083" s="49" t="s">
        <v>8530</v>
      </c>
      <c r="P1083" s="49" t="s">
        <v>8531</v>
      </c>
      <c r="Q1083" s="49" t="s">
        <v>8532</v>
      </c>
      <c r="R1083" s="50">
        <v>33</v>
      </c>
      <c r="S1083" s="50">
        <v>51</v>
      </c>
      <c r="T1083" s="51" t="s">
        <v>47</v>
      </c>
      <c r="U1083" s="51">
        <v>5</v>
      </c>
      <c r="V1083" s="52">
        <f t="shared" si="30"/>
        <v>290</v>
      </c>
      <c r="W1083" s="51" t="s">
        <v>350</v>
      </c>
      <c r="X1083" s="198" t="s">
        <v>5544</v>
      </c>
      <c r="Y1083" s="199" t="s">
        <v>82</v>
      </c>
      <c r="Z1083" s="565"/>
      <c r="AA1083" s="170" t="s">
        <v>1199</v>
      </c>
      <c r="AB1083" s="243" t="s">
        <v>1830</v>
      </c>
      <c r="AC1083" s="35">
        <f>3187.2*(2/60)</f>
        <v>106.24</v>
      </c>
    </row>
    <row r="1084" spans="1:105" s="200" customFormat="1" ht="137.25" customHeight="1" x14ac:dyDescent="0.25">
      <c r="A1084" s="566">
        <v>45656</v>
      </c>
      <c r="B1084" s="605" t="s">
        <v>8565</v>
      </c>
      <c r="C1084" s="842" t="s">
        <v>8566</v>
      </c>
      <c r="D1084" s="843" t="s">
        <v>8567</v>
      </c>
      <c r="E1084" s="587" t="s">
        <v>39</v>
      </c>
      <c r="F1084" s="19">
        <v>2</v>
      </c>
      <c r="G1084" s="812"/>
      <c r="H1084" s="812"/>
      <c r="I1084" s="245" t="s">
        <v>8568</v>
      </c>
      <c r="J1084" s="589">
        <v>3</v>
      </c>
      <c r="K1084" s="673" t="s">
        <v>8543</v>
      </c>
      <c r="L1084" s="591" t="s">
        <v>63</v>
      </c>
      <c r="M1084" s="587" t="s">
        <v>42</v>
      </c>
      <c r="N1084" s="592" t="s">
        <v>8569</v>
      </c>
      <c r="O1084" s="593" t="s">
        <v>8570</v>
      </c>
      <c r="P1084" s="593"/>
      <c r="Q1084" s="593" t="s">
        <v>8571</v>
      </c>
      <c r="R1084" s="594">
        <v>9</v>
      </c>
      <c r="S1084" s="594">
        <v>24</v>
      </c>
      <c r="T1084" s="587" t="s">
        <v>96</v>
      </c>
      <c r="U1084" s="587">
        <v>53</v>
      </c>
      <c r="V1084" s="732">
        <f t="shared" si="30"/>
        <v>159</v>
      </c>
      <c r="W1084" s="587" t="s">
        <v>142</v>
      </c>
      <c r="X1084" s="30" t="s">
        <v>8142</v>
      </c>
      <c r="Y1084" s="199" t="s">
        <v>7004</v>
      </c>
      <c r="Z1084" s="565"/>
      <c r="AA1084" s="170" t="s">
        <v>1712</v>
      </c>
      <c r="AB1084" s="243" t="s">
        <v>7769</v>
      </c>
      <c r="AC1084" s="172">
        <v>3760</v>
      </c>
    </row>
    <row r="1085" spans="1:105" s="200" customFormat="1" ht="168.75" x14ac:dyDescent="0.25">
      <c r="A1085" s="566">
        <v>45656</v>
      </c>
      <c r="B1085" s="164" t="s">
        <v>8572</v>
      </c>
      <c r="C1085" s="585" t="s">
        <v>8573</v>
      </c>
      <c r="D1085" s="586"/>
      <c r="E1085" s="587" t="s">
        <v>39</v>
      </c>
      <c r="F1085" s="19">
        <v>1</v>
      </c>
      <c r="G1085" s="588"/>
      <c r="H1085" s="588"/>
      <c r="I1085" s="245" t="s">
        <v>8574</v>
      </c>
      <c r="J1085" s="589">
        <v>3</v>
      </c>
      <c r="K1085" s="747" t="s">
        <v>10004</v>
      </c>
      <c r="L1085" s="591" t="s">
        <v>63</v>
      </c>
      <c r="M1085" s="587" t="s">
        <v>42</v>
      </c>
      <c r="N1085" s="748" t="s">
        <v>8575</v>
      </c>
      <c r="O1085" s="593" t="s">
        <v>8576</v>
      </c>
      <c r="P1085" s="593" t="s">
        <v>8577</v>
      </c>
      <c r="Q1085" s="593" t="s">
        <v>8578</v>
      </c>
      <c r="R1085" s="594">
        <v>96</v>
      </c>
      <c r="S1085" s="594">
        <v>711</v>
      </c>
      <c r="T1085" s="587" t="s">
        <v>180</v>
      </c>
      <c r="U1085" s="587">
        <v>23</v>
      </c>
      <c r="V1085" s="732">
        <f t="shared" si="30"/>
        <v>69</v>
      </c>
      <c r="W1085" s="587" t="s">
        <v>350</v>
      </c>
      <c r="X1085" s="82" t="s">
        <v>8142</v>
      </c>
      <c r="Y1085" s="199" t="s">
        <v>7004</v>
      </c>
      <c r="Z1085" s="565"/>
      <c r="AA1085" s="170" t="s">
        <v>8215</v>
      </c>
      <c r="AB1085" s="243" t="s">
        <v>8579</v>
      </c>
      <c r="AC1085" s="172">
        <v>6181.25</v>
      </c>
    </row>
    <row r="1086" spans="1:105" s="200" customFormat="1" ht="108" customHeight="1" x14ac:dyDescent="0.25">
      <c r="A1086" s="566">
        <v>45656</v>
      </c>
      <c r="B1086" s="844" t="s">
        <v>8580</v>
      </c>
      <c r="C1086" s="840" t="s">
        <v>8581</v>
      </c>
      <c r="D1086" s="585" t="s">
        <v>8582</v>
      </c>
      <c r="E1086" s="587" t="s">
        <v>39</v>
      </c>
      <c r="F1086" s="19">
        <v>1</v>
      </c>
      <c r="G1086" s="588"/>
      <c r="H1086" s="588"/>
      <c r="I1086" s="245" t="s">
        <v>8583</v>
      </c>
      <c r="J1086" s="589">
        <v>5</v>
      </c>
      <c r="K1086" s="747" t="s">
        <v>10004</v>
      </c>
      <c r="L1086" s="845" t="s">
        <v>63</v>
      </c>
      <c r="M1086" s="587" t="s">
        <v>42</v>
      </c>
      <c r="N1086" s="748" t="s">
        <v>8584</v>
      </c>
      <c r="O1086" s="593" t="s">
        <v>8585</v>
      </c>
      <c r="P1086" s="593" t="s">
        <v>8586</v>
      </c>
      <c r="Q1086" s="593" t="s">
        <v>8587</v>
      </c>
      <c r="R1086" s="594">
        <v>74</v>
      </c>
      <c r="S1086" s="594">
        <v>523</v>
      </c>
      <c r="T1086" s="587" t="s">
        <v>47</v>
      </c>
      <c r="U1086" s="587">
        <v>17</v>
      </c>
      <c r="V1086" s="732">
        <f t="shared" si="30"/>
        <v>85</v>
      </c>
      <c r="W1086" s="587" t="s">
        <v>142</v>
      </c>
      <c r="X1086" s="30" t="s">
        <v>8142</v>
      </c>
      <c r="Y1086" s="199" t="s">
        <v>7004</v>
      </c>
      <c r="Z1086" s="565"/>
      <c r="AA1086" s="170" t="s">
        <v>8128</v>
      </c>
      <c r="AB1086" s="243" t="s">
        <v>1830</v>
      </c>
      <c r="AC1086" s="172">
        <v>5976.25</v>
      </c>
    </row>
    <row r="1087" spans="1:105" s="200" customFormat="1" ht="75" customHeight="1" x14ac:dyDescent="0.25">
      <c r="A1087" s="566">
        <v>45656</v>
      </c>
      <c r="B1087" s="605" t="s">
        <v>8588</v>
      </c>
      <c r="C1087" s="846" t="s">
        <v>8589</v>
      </c>
      <c r="D1087" s="847"/>
      <c r="E1087" s="145" t="s">
        <v>39</v>
      </c>
      <c r="F1087" s="146"/>
      <c r="G1087" s="146"/>
      <c r="H1087" s="19">
        <v>1</v>
      </c>
      <c r="I1087" s="523" t="s">
        <v>8590</v>
      </c>
      <c r="J1087" s="149">
        <v>10</v>
      </c>
      <c r="K1087" s="150" t="s">
        <v>2304</v>
      </c>
      <c r="L1087" s="151" t="s">
        <v>63</v>
      </c>
      <c r="M1087" s="42" t="s">
        <v>42</v>
      </c>
      <c r="N1087" s="77" t="s">
        <v>8591</v>
      </c>
      <c r="O1087" s="49" t="s">
        <v>8592</v>
      </c>
      <c r="P1087" s="49" t="s">
        <v>8593</v>
      </c>
      <c r="Q1087" s="49" t="s">
        <v>8594</v>
      </c>
      <c r="R1087" s="50">
        <v>61</v>
      </c>
      <c r="S1087" s="50">
        <v>679</v>
      </c>
      <c r="T1087" s="51" t="s">
        <v>47</v>
      </c>
      <c r="U1087" s="51">
        <v>20</v>
      </c>
      <c r="V1087" s="52">
        <f t="shared" si="30"/>
        <v>200</v>
      </c>
      <c r="W1087" s="51" t="s">
        <v>7012</v>
      </c>
      <c r="X1087" s="198" t="s">
        <v>6337</v>
      </c>
      <c r="Y1087" s="199" t="s">
        <v>82</v>
      </c>
      <c r="Z1087" s="565"/>
      <c r="AA1087" s="170" t="s">
        <v>2542</v>
      </c>
      <c r="AB1087" s="243" t="s">
        <v>2378</v>
      </c>
      <c r="AC1087" s="172">
        <v>8222.1</v>
      </c>
    </row>
    <row r="1088" spans="1:105" s="200" customFormat="1" ht="119.25" customHeight="1" x14ac:dyDescent="0.25">
      <c r="A1088" s="566">
        <v>45656</v>
      </c>
      <c r="B1088" s="164" t="s">
        <v>8595</v>
      </c>
      <c r="C1088" s="586" t="s">
        <v>8596</v>
      </c>
      <c r="D1088" s="586" t="s">
        <v>8597</v>
      </c>
      <c r="E1088" s="587" t="s">
        <v>39</v>
      </c>
      <c r="F1088" s="19">
        <v>1</v>
      </c>
      <c r="G1088" s="588"/>
      <c r="H1088" s="588"/>
      <c r="I1088" s="245" t="s">
        <v>8598</v>
      </c>
      <c r="J1088" s="589">
        <v>40</v>
      </c>
      <c r="K1088" s="747" t="s">
        <v>10004</v>
      </c>
      <c r="L1088" s="591" t="s">
        <v>63</v>
      </c>
      <c r="M1088" s="587" t="s">
        <v>42</v>
      </c>
      <c r="N1088" s="592" t="s">
        <v>8599</v>
      </c>
      <c r="O1088" s="593" t="s">
        <v>8600</v>
      </c>
      <c r="P1088" s="593" t="s">
        <v>8601</v>
      </c>
      <c r="Q1088" s="593" t="s">
        <v>8602</v>
      </c>
      <c r="R1088" s="594">
        <v>48</v>
      </c>
      <c r="S1088" s="594">
        <v>201</v>
      </c>
      <c r="T1088" s="587" t="s">
        <v>47</v>
      </c>
      <c r="U1088" s="587">
        <v>17</v>
      </c>
      <c r="V1088" s="732">
        <f t="shared" si="30"/>
        <v>680</v>
      </c>
      <c r="W1088" s="587" t="s">
        <v>350</v>
      </c>
      <c r="X1088" s="198" t="s">
        <v>6782</v>
      </c>
      <c r="Y1088" s="199"/>
      <c r="Z1088" s="565"/>
      <c r="AA1088" s="170" t="s">
        <v>1199</v>
      </c>
      <c r="AB1088" s="243" t="s">
        <v>8579</v>
      </c>
      <c r="AC1088" s="172">
        <v>6442</v>
      </c>
    </row>
    <row r="1089" spans="1:106" ht="260.25" x14ac:dyDescent="0.25">
      <c r="A1089" s="566">
        <v>45650</v>
      </c>
      <c r="B1089" s="595" t="s">
        <v>8603</v>
      </c>
      <c r="C1089" s="585" t="s">
        <v>8604</v>
      </c>
      <c r="D1089" s="840" t="s">
        <v>8605</v>
      </c>
      <c r="E1089" s="587" t="s">
        <v>39</v>
      </c>
      <c r="F1089" s="19">
        <v>1</v>
      </c>
      <c r="G1089" s="812"/>
      <c r="H1089" s="812"/>
      <c r="I1089" s="245" t="s">
        <v>8606</v>
      </c>
      <c r="J1089" s="589">
        <v>6</v>
      </c>
      <c r="K1089" s="747" t="s">
        <v>8607</v>
      </c>
      <c r="L1089" s="591" t="s">
        <v>63</v>
      </c>
      <c r="M1089" s="587" t="s">
        <v>42</v>
      </c>
      <c r="N1089" s="748" t="s">
        <v>8608</v>
      </c>
      <c r="O1089" s="593" t="s">
        <v>8609</v>
      </c>
      <c r="P1089" s="848"/>
      <c r="Q1089" s="593" t="s">
        <v>8610</v>
      </c>
      <c r="R1089" s="594">
        <v>66</v>
      </c>
      <c r="S1089" s="594">
        <v>762</v>
      </c>
      <c r="T1089" s="587" t="s">
        <v>67</v>
      </c>
      <c r="U1089" s="587">
        <v>15</v>
      </c>
      <c r="V1089" s="732">
        <f t="shared" si="30"/>
        <v>90</v>
      </c>
      <c r="W1089" s="587" t="s">
        <v>142</v>
      </c>
      <c r="X1089" s="30" t="s">
        <v>8142</v>
      </c>
      <c r="Y1089" s="168" t="s">
        <v>7004</v>
      </c>
      <c r="Z1089" s="427"/>
      <c r="AA1089" s="170" t="s">
        <v>2245</v>
      </c>
      <c r="AB1089" s="243" t="s">
        <v>7769</v>
      </c>
      <c r="AC1089" s="172">
        <v>5117.6000000000004</v>
      </c>
    </row>
    <row r="1090" spans="1:106" ht="213" customHeight="1" x14ac:dyDescent="0.25">
      <c r="A1090" s="566">
        <v>45650</v>
      </c>
      <c r="B1090" s="595" t="s">
        <v>8611</v>
      </c>
      <c r="C1090" s="586" t="s">
        <v>8612</v>
      </c>
      <c r="D1090" s="586" t="s">
        <v>8613</v>
      </c>
      <c r="E1090" s="841" t="s">
        <v>39</v>
      </c>
      <c r="F1090" s="812"/>
      <c r="G1090" s="812"/>
      <c r="H1090" s="19">
        <v>1</v>
      </c>
      <c r="I1090" s="245" t="s">
        <v>8614</v>
      </c>
      <c r="J1090" s="589">
        <v>3</v>
      </c>
      <c r="K1090" s="747" t="s">
        <v>8607</v>
      </c>
      <c r="L1090" s="591" t="s">
        <v>63</v>
      </c>
      <c r="M1090" s="587" t="s">
        <v>42</v>
      </c>
      <c r="N1090" s="592" t="s">
        <v>8615</v>
      </c>
      <c r="O1090" s="593" t="s">
        <v>8616</v>
      </c>
      <c r="P1090" s="593"/>
      <c r="Q1090" s="593" t="s">
        <v>8617</v>
      </c>
      <c r="R1090" s="594">
        <v>52</v>
      </c>
      <c r="S1090" s="594">
        <v>305</v>
      </c>
      <c r="T1090" s="587" t="s">
        <v>96</v>
      </c>
      <c r="U1090" s="587">
        <v>33</v>
      </c>
      <c r="V1090" s="732">
        <f t="shared" si="30"/>
        <v>99</v>
      </c>
      <c r="W1090" s="587" t="s">
        <v>142</v>
      </c>
      <c r="X1090" s="30" t="s">
        <v>8142</v>
      </c>
      <c r="Y1090" s="168" t="s">
        <v>7004</v>
      </c>
      <c r="Z1090" s="427"/>
      <c r="AA1090" s="170" t="s">
        <v>1712</v>
      </c>
      <c r="AB1090" s="243" t="s">
        <v>7745</v>
      </c>
      <c r="AC1090" s="172">
        <v>4531.75</v>
      </c>
    </row>
    <row r="1091" spans="1:106" s="200" customFormat="1" ht="115.5" customHeight="1" x14ac:dyDescent="0.25">
      <c r="A1091" s="566">
        <v>45650</v>
      </c>
      <c r="B1091" s="849" t="s">
        <v>7759</v>
      </c>
      <c r="C1091" s="595" t="s">
        <v>8618</v>
      </c>
      <c r="D1091" s="850"/>
      <c r="E1091" s="42" t="s">
        <v>39</v>
      </c>
      <c r="F1091" s="19">
        <v>1</v>
      </c>
      <c r="G1091" s="851"/>
      <c r="H1091" s="851"/>
      <c r="I1091" s="245" t="s">
        <v>8619</v>
      </c>
      <c r="J1091" s="609">
        <v>10</v>
      </c>
      <c r="K1091" s="610" t="s">
        <v>8620</v>
      </c>
      <c r="L1091" s="611" t="s">
        <v>63</v>
      </c>
      <c r="M1091" s="42" t="s">
        <v>42</v>
      </c>
      <c r="N1091" s="401" t="s">
        <v>240</v>
      </c>
      <c r="O1091" s="49" t="s">
        <v>8621</v>
      </c>
      <c r="P1091" s="49" t="s">
        <v>8622</v>
      </c>
      <c r="Q1091" s="49" t="s">
        <v>8617</v>
      </c>
      <c r="R1091" s="613">
        <v>63</v>
      </c>
      <c r="S1091" s="613">
        <v>788</v>
      </c>
      <c r="T1091" s="614" t="s">
        <v>47</v>
      </c>
      <c r="U1091" s="614">
        <v>16</v>
      </c>
      <c r="V1091" s="615">
        <f t="shared" si="30"/>
        <v>160</v>
      </c>
      <c r="W1091" s="614" t="s">
        <v>221</v>
      </c>
      <c r="X1091" s="616" t="s">
        <v>1046</v>
      </c>
      <c r="Y1091" s="199" t="s">
        <v>70</v>
      </c>
      <c r="Z1091" s="565"/>
      <c r="AA1091" s="617" t="s">
        <v>8128</v>
      </c>
      <c r="AB1091" s="618" t="s">
        <v>7769</v>
      </c>
      <c r="AC1091" s="619">
        <v>5525</v>
      </c>
    </row>
    <row r="1092" spans="1:106" ht="75" x14ac:dyDescent="0.25">
      <c r="A1092" s="566">
        <v>45650</v>
      </c>
      <c r="B1092" s="605"/>
      <c r="C1092" s="41" t="s">
        <v>8623</v>
      </c>
      <c r="D1092" s="41"/>
      <c r="E1092" s="42" t="s">
        <v>39</v>
      </c>
      <c r="F1092" s="19">
        <v>1</v>
      </c>
      <c r="G1092" s="598"/>
      <c r="H1092" s="598"/>
      <c r="I1092" s="245" t="s">
        <v>8624</v>
      </c>
      <c r="J1092" s="45">
        <v>6</v>
      </c>
      <c r="K1092" s="46" t="s">
        <v>8625</v>
      </c>
      <c r="L1092" s="47" t="s">
        <v>63</v>
      </c>
      <c r="M1092" s="637" t="s">
        <v>42</v>
      </c>
      <c r="N1092" s="77" t="s">
        <v>8626</v>
      </c>
      <c r="O1092" s="49" t="s">
        <v>8627</v>
      </c>
      <c r="P1092" s="49"/>
      <c r="Q1092" s="49" t="s">
        <v>8628</v>
      </c>
      <c r="R1092" s="50">
        <v>21</v>
      </c>
      <c r="S1092" s="50">
        <v>234</v>
      </c>
      <c r="T1092" s="51" t="s">
        <v>96</v>
      </c>
      <c r="U1092" s="51">
        <v>115</v>
      </c>
      <c r="V1092" s="52">
        <f t="shared" si="30"/>
        <v>690</v>
      </c>
      <c r="W1092" s="51" t="s">
        <v>350</v>
      </c>
      <c r="X1092" s="198" t="s">
        <v>6903</v>
      </c>
      <c r="Y1092" s="199" t="s">
        <v>82</v>
      </c>
      <c r="Z1092" s="427"/>
      <c r="AA1092" s="170" t="s">
        <v>2542</v>
      </c>
      <c r="AB1092" s="243" t="s">
        <v>2378</v>
      </c>
      <c r="AC1092" s="172">
        <v>9722.5</v>
      </c>
    </row>
    <row r="1093" spans="1:106" s="12" customFormat="1" ht="76.5" x14ac:dyDescent="0.25">
      <c r="A1093" s="566">
        <v>45649</v>
      </c>
      <c r="B1093" s="605" t="s">
        <v>8629</v>
      </c>
      <c r="C1093" t="s">
        <v>8630</v>
      </c>
      <c r="D1093" s="852" t="s">
        <v>8631</v>
      </c>
      <c r="E1093" s="677" t="s">
        <v>39</v>
      </c>
      <c r="F1093" s="19">
        <v>1</v>
      </c>
      <c r="G1093" s="853"/>
      <c r="H1093" s="853"/>
      <c r="I1093" s="245" t="s">
        <v>8632</v>
      </c>
      <c r="J1093" s="854">
        <v>155</v>
      </c>
      <c r="K1093" s="672" t="s">
        <v>8633</v>
      </c>
      <c r="L1093" s="855" t="s">
        <v>63</v>
      </c>
      <c r="M1093" s="587" t="s">
        <v>42</v>
      </c>
      <c r="N1093" s="680" t="s">
        <v>8634</v>
      </c>
      <c r="O1093" s="593" t="s">
        <v>8635</v>
      </c>
      <c r="P1093" s="593" t="s">
        <v>8636</v>
      </c>
      <c r="Q1093" s="593" t="s">
        <v>8637</v>
      </c>
      <c r="R1093" s="674">
        <v>19</v>
      </c>
      <c r="S1093" s="674">
        <v>33</v>
      </c>
      <c r="T1093" s="677" t="s">
        <v>47</v>
      </c>
      <c r="U1093" s="677">
        <v>1</v>
      </c>
      <c r="V1093" s="678">
        <f t="shared" si="30"/>
        <v>155</v>
      </c>
      <c r="W1093" s="587" t="s">
        <v>350</v>
      </c>
      <c r="X1093" s="616" t="s">
        <v>210</v>
      </c>
      <c r="Y1093" s="199" t="s">
        <v>50</v>
      </c>
      <c r="Z1093" s="856" t="s">
        <v>6056</v>
      </c>
      <c r="AA1093" s="617" t="s">
        <v>7768</v>
      </c>
      <c r="AB1093" s="618" t="s">
        <v>7769</v>
      </c>
      <c r="AC1093" s="619">
        <v>4384</v>
      </c>
      <c r="AE1093" s="200"/>
      <c r="AF1093" s="200"/>
      <c r="AG1093" s="200"/>
      <c r="AH1093" s="200"/>
      <c r="AI1093" s="200"/>
      <c r="AJ1093" s="200"/>
      <c r="AK1093" s="200"/>
      <c r="AL1093" s="200"/>
      <c r="AM1093" s="200"/>
      <c r="AN1093" s="200"/>
      <c r="AO1093" s="200"/>
      <c r="AP1093" s="200"/>
      <c r="AQ1093" s="200"/>
      <c r="AR1093" s="200"/>
      <c r="AS1093" s="200"/>
      <c r="AT1093" s="200"/>
      <c r="AU1093" s="200"/>
      <c r="AV1093" s="200"/>
      <c r="AW1093" s="200"/>
      <c r="AX1093" s="200"/>
      <c r="AY1093" s="200"/>
      <c r="AZ1093" s="200"/>
      <c r="BA1093" s="200"/>
      <c r="BB1093" s="200"/>
      <c r="BC1093" s="200"/>
      <c r="BD1093" s="200"/>
      <c r="BE1093" s="200"/>
      <c r="BF1093" s="200"/>
      <c r="BG1093" s="200"/>
      <c r="BH1093" s="200"/>
      <c r="BI1093" s="200"/>
      <c r="BJ1093" s="200"/>
      <c r="BK1093" s="200"/>
      <c r="BL1093" s="200"/>
      <c r="BM1093" s="200"/>
      <c r="BN1093" s="200"/>
      <c r="BO1093" s="200"/>
      <c r="BP1093" s="200"/>
      <c r="BQ1093" s="200"/>
      <c r="BR1093" s="200"/>
      <c r="BS1093" s="200"/>
      <c r="BT1093" s="200"/>
      <c r="BU1093" s="200"/>
      <c r="BV1093" s="200"/>
      <c r="BW1093" s="200"/>
      <c r="BX1093" s="200"/>
      <c r="BY1093" s="200"/>
      <c r="BZ1093" s="200"/>
      <c r="CA1093" s="200"/>
      <c r="CB1093" s="200"/>
      <c r="CC1093" s="200"/>
      <c r="CD1093" s="200"/>
      <c r="CE1093" s="200"/>
      <c r="CF1093" s="200"/>
      <c r="CG1093" s="200"/>
      <c r="CH1093" s="200"/>
      <c r="CI1093" s="200"/>
      <c r="CJ1093" s="200"/>
      <c r="CK1093" s="200"/>
      <c r="CL1093" s="200"/>
      <c r="CM1093" s="200"/>
      <c r="CN1093" s="200"/>
      <c r="CO1093" s="200"/>
      <c r="CP1093" s="200"/>
      <c r="CQ1093" s="200"/>
      <c r="CR1093" s="200"/>
      <c r="CS1093" s="200"/>
      <c r="CT1093" s="200"/>
      <c r="CU1093" s="200"/>
      <c r="CV1093" s="200"/>
      <c r="CW1093" s="200"/>
      <c r="CX1093" s="200"/>
      <c r="CY1093" s="200"/>
      <c r="CZ1093" s="200"/>
      <c r="DA1093" s="200"/>
      <c r="DB1093" s="200"/>
    </row>
    <row r="1094" spans="1:106" ht="104.25" customHeight="1" x14ac:dyDescent="0.25">
      <c r="A1094" s="566">
        <v>45646</v>
      </c>
      <c r="B1094" s="605"/>
      <c r="C1094" s="41" t="s">
        <v>8638</v>
      </c>
      <c r="D1094" s="41" t="s">
        <v>8639</v>
      </c>
      <c r="E1094" s="42" t="s">
        <v>39</v>
      </c>
      <c r="F1094" s="19">
        <v>1</v>
      </c>
      <c r="G1094" s="467"/>
      <c r="H1094" s="598"/>
      <c r="I1094" s="245" t="s">
        <v>8640</v>
      </c>
      <c r="J1094" s="45">
        <v>150</v>
      </c>
      <c r="K1094" s="46" t="s">
        <v>8641</v>
      </c>
      <c r="L1094" s="47" t="s">
        <v>63</v>
      </c>
      <c r="M1094" s="42" t="s">
        <v>42</v>
      </c>
      <c r="N1094" s="77" t="s">
        <v>8642</v>
      </c>
      <c r="O1094" s="49" t="s">
        <v>8643</v>
      </c>
      <c r="P1094" s="49" t="s">
        <v>8644</v>
      </c>
      <c r="Q1094" s="49" t="s">
        <v>8594</v>
      </c>
      <c r="R1094" s="50">
        <v>22</v>
      </c>
      <c r="S1094" s="50">
        <v>34</v>
      </c>
      <c r="T1094" s="51" t="s">
        <v>47</v>
      </c>
      <c r="U1094" s="51">
        <v>1</v>
      </c>
      <c r="V1094" s="52">
        <f t="shared" si="30"/>
        <v>150</v>
      </c>
      <c r="W1094" s="51" t="s">
        <v>7012</v>
      </c>
      <c r="X1094" s="198" t="s">
        <v>8067</v>
      </c>
      <c r="Y1094" s="168" t="s">
        <v>8538</v>
      </c>
      <c r="Z1094" s="856" t="s">
        <v>8456</v>
      </c>
      <c r="AA1094" s="170" t="s">
        <v>1712</v>
      </c>
      <c r="AB1094" s="243" t="s">
        <v>2378</v>
      </c>
      <c r="AC1094" s="172">
        <v>3780</v>
      </c>
    </row>
    <row r="1095" spans="1:106" s="200" customFormat="1" ht="47.25" customHeight="1" x14ac:dyDescent="0.25">
      <c r="A1095" s="566">
        <v>45646</v>
      </c>
      <c r="B1095" s="605"/>
      <c r="C1095" s="82" t="s">
        <v>8645</v>
      </c>
      <c r="D1095" s="850"/>
      <c r="E1095" s="51" t="s">
        <v>39</v>
      </c>
      <c r="F1095" s="19">
        <v>1</v>
      </c>
      <c r="G1095" s="598"/>
      <c r="H1095" s="598"/>
      <c r="I1095" s="245" t="s">
        <v>8646</v>
      </c>
      <c r="J1095" s="45">
        <v>5</v>
      </c>
      <c r="K1095" s="46" t="s">
        <v>8641</v>
      </c>
      <c r="L1095" s="47" t="s">
        <v>63</v>
      </c>
      <c r="M1095" s="857" t="s">
        <v>42</v>
      </c>
      <c r="N1095" s="77" t="s">
        <v>8647</v>
      </c>
      <c r="O1095" s="49" t="s">
        <v>8648</v>
      </c>
      <c r="P1095" s="49"/>
      <c r="Q1095" s="49" t="s">
        <v>8649</v>
      </c>
      <c r="R1095" s="50">
        <v>46</v>
      </c>
      <c r="S1095" s="50">
        <v>96</v>
      </c>
      <c r="T1095" s="51" t="s">
        <v>96</v>
      </c>
      <c r="U1095" s="51">
        <v>36</v>
      </c>
      <c r="V1095" s="52">
        <f t="shared" si="30"/>
        <v>180</v>
      </c>
      <c r="W1095" s="51" t="s">
        <v>350</v>
      </c>
      <c r="X1095" s="198" t="s">
        <v>7330</v>
      </c>
      <c r="Y1095" s="691" t="s">
        <v>50</v>
      </c>
      <c r="Z1095" s="565"/>
      <c r="AA1095" s="170" t="s">
        <v>2064</v>
      </c>
      <c r="AB1095" s="243" t="s">
        <v>2310</v>
      </c>
      <c r="AC1095" s="172">
        <v>2561</v>
      </c>
    </row>
    <row r="1096" spans="1:106" s="200" customFormat="1" ht="39.75" customHeight="1" x14ac:dyDescent="0.25">
      <c r="A1096" s="566">
        <v>45646</v>
      </c>
      <c r="B1096" s="605"/>
      <c r="C1096" s="41" t="s">
        <v>8650</v>
      </c>
      <c r="D1096" s="858"/>
      <c r="E1096" s="51" t="s">
        <v>39</v>
      </c>
      <c r="F1096" s="19">
        <v>1</v>
      </c>
      <c r="G1096" s="43"/>
      <c r="H1096" s="43"/>
      <c r="I1096" s="245" t="s">
        <v>8651</v>
      </c>
      <c r="J1096" s="45">
        <v>10</v>
      </c>
      <c r="K1096" s="46" t="s">
        <v>8641</v>
      </c>
      <c r="L1096" s="47" t="s">
        <v>63</v>
      </c>
      <c r="M1096" s="637" t="s">
        <v>8418</v>
      </c>
      <c r="N1096" s="77" t="s">
        <v>8652</v>
      </c>
      <c r="O1096" s="49" t="s">
        <v>8653</v>
      </c>
      <c r="P1096" s="49" t="s">
        <v>8654</v>
      </c>
      <c r="Q1096" s="49" t="s">
        <v>8655</v>
      </c>
      <c r="R1096" s="50">
        <v>54</v>
      </c>
      <c r="S1096" s="50">
        <v>796</v>
      </c>
      <c r="T1096" s="51" t="s">
        <v>47</v>
      </c>
      <c r="U1096" s="51">
        <v>20</v>
      </c>
      <c r="V1096" s="52">
        <f t="shared" si="30"/>
        <v>200</v>
      </c>
      <c r="W1096" s="51" t="s">
        <v>7012</v>
      </c>
      <c r="X1096" s="198" t="s">
        <v>6337</v>
      </c>
      <c r="Y1096" s="199" t="s">
        <v>82</v>
      </c>
      <c r="Z1096" s="565"/>
      <c r="AA1096" s="170" t="s">
        <v>1712</v>
      </c>
      <c r="AB1096" s="243" t="s">
        <v>2378</v>
      </c>
      <c r="AC1096" s="172">
        <v>5399.4</v>
      </c>
    </row>
    <row r="1097" spans="1:106" s="200" customFormat="1" ht="148.5" customHeight="1" x14ac:dyDescent="0.25">
      <c r="A1097" s="566">
        <v>45646</v>
      </c>
      <c r="B1097" s="605"/>
      <c r="C1097" s="834" t="s">
        <v>8656</v>
      </c>
      <c r="D1097" s="859" t="s">
        <v>8657</v>
      </c>
      <c r="E1097" s="614" t="s">
        <v>39</v>
      </c>
      <c r="F1097" s="860"/>
      <c r="G1097" s="860"/>
      <c r="H1097" s="19">
        <v>1</v>
      </c>
      <c r="I1097" s="599" t="s">
        <v>8658</v>
      </c>
      <c r="J1097" s="609">
        <v>100</v>
      </c>
      <c r="K1097" s="861" t="s">
        <v>8641</v>
      </c>
      <c r="L1097" s="611" t="s">
        <v>63</v>
      </c>
      <c r="M1097" s="835" t="s">
        <v>42</v>
      </c>
      <c r="N1097" s="862" t="s">
        <v>8659</v>
      </c>
      <c r="O1097" s="702" t="s">
        <v>8660</v>
      </c>
      <c r="P1097" s="702" t="s">
        <v>8661</v>
      </c>
      <c r="Q1097" s="50" t="s">
        <v>8662</v>
      </c>
      <c r="R1097" s="613">
        <v>81</v>
      </c>
      <c r="S1097" s="613">
        <v>274</v>
      </c>
      <c r="T1097" s="614" t="s">
        <v>180</v>
      </c>
      <c r="U1097" s="614">
        <v>2</v>
      </c>
      <c r="V1097" s="615">
        <f t="shared" si="30"/>
        <v>200</v>
      </c>
      <c r="W1097" s="614" t="s">
        <v>350</v>
      </c>
      <c r="X1097" s="616" t="s">
        <v>265</v>
      </c>
      <c r="Y1097" s="736" t="s">
        <v>82</v>
      </c>
      <c r="Z1097" s="863"/>
      <c r="AA1097" s="693" t="s">
        <v>1622</v>
      </c>
      <c r="AB1097" s="737" t="s">
        <v>8663</v>
      </c>
      <c r="AC1097" s="631">
        <f>1050+2250+(18748*100/215)</f>
        <v>12020</v>
      </c>
    </row>
    <row r="1098" spans="1:106" s="200" customFormat="1" ht="120.75" customHeight="1" x14ac:dyDescent="0.25">
      <c r="A1098" s="566">
        <v>45646</v>
      </c>
      <c r="B1098" s="605"/>
      <c r="C1098" s="731" t="s">
        <v>8664</v>
      </c>
      <c r="D1098" s="864" t="s">
        <v>8665</v>
      </c>
      <c r="E1098" s="607" t="s">
        <v>39</v>
      </c>
      <c r="F1098" s="608"/>
      <c r="G1098" s="608"/>
      <c r="H1098" s="19">
        <v>1</v>
      </c>
      <c r="I1098" s="245" t="s">
        <v>8666</v>
      </c>
      <c r="J1098" s="609">
        <v>35</v>
      </c>
      <c r="K1098" s="610" t="s">
        <v>8667</v>
      </c>
      <c r="L1098" s="611" t="s">
        <v>63</v>
      </c>
      <c r="M1098" s="637" t="s">
        <v>42</v>
      </c>
      <c r="N1098" s="401" t="s">
        <v>8668</v>
      </c>
      <c r="O1098" s="49" t="s">
        <v>8669</v>
      </c>
      <c r="P1098" s="49" t="s">
        <v>8670</v>
      </c>
      <c r="Q1098" s="49" t="s">
        <v>8671</v>
      </c>
      <c r="R1098" s="613">
        <v>100</v>
      </c>
      <c r="S1098" s="613">
        <v>252</v>
      </c>
      <c r="T1098" s="614" t="s">
        <v>180</v>
      </c>
      <c r="U1098" s="614">
        <v>56</v>
      </c>
      <c r="V1098" s="615">
        <f t="shared" si="30"/>
        <v>1960</v>
      </c>
      <c r="W1098" s="614" t="s">
        <v>350</v>
      </c>
      <c r="X1098" s="616" t="s">
        <v>8672</v>
      </c>
      <c r="Y1098" s="199" t="s">
        <v>70</v>
      </c>
      <c r="Z1098" s="565"/>
      <c r="AA1098" s="617" t="s">
        <v>2542</v>
      </c>
      <c r="AB1098" s="618" t="s">
        <v>2517</v>
      </c>
      <c r="AC1098" s="619">
        <v>5606</v>
      </c>
    </row>
    <row r="1099" spans="1:106" s="200" customFormat="1" ht="405" customHeight="1" x14ac:dyDescent="0.25">
      <c r="A1099" s="566">
        <v>45645</v>
      </c>
      <c r="B1099" s="605"/>
      <c r="C1099" s="41" t="s">
        <v>8673</v>
      </c>
      <c r="D1099" s="596" t="s">
        <v>7941</v>
      </c>
      <c r="E1099" s="42" t="s">
        <v>39</v>
      </c>
      <c r="F1099" s="19">
        <v>4</v>
      </c>
      <c r="G1099" s="467"/>
      <c r="H1099" s="467"/>
      <c r="I1099" s="245" t="s">
        <v>8674</v>
      </c>
      <c r="J1099" s="45">
        <v>48</v>
      </c>
      <c r="K1099" s="46" t="s">
        <v>8675</v>
      </c>
      <c r="L1099" s="47" t="s">
        <v>63</v>
      </c>
      <c r="M1099" s="42" t="s">
        <v>42</v>
      </c>
      <c r="N1099" s="77" t="s">
        <v>8676</v>
      </c>
      <c r="O1099" s="49" t="s">
        <v>7870</v>
      </c>
      <c r="P1099" s="49" t="s">
        <v>8677</v>
      </c>
      <c r="Q1099" s="51"/>
      <c r="R1099" s="50">
        <v>46</v>
      </c>
      <c r="S1099" s="50">
        <v>356</v>
      </c>
      <c r="T1099" s="51" t="s">
        <v>47</v>
      </c>
      <c r="U1099" s="51">
        <v>6</v>
      </c>
      <c r="V1099" s="52">
        <f>U1099*98</f>
        <v>588</v>
      </c>
      <c r="W1099" s="51" t="s">
        <v>68</v>
      </c>
      <c r="X1099" s="198" t="s">
        <v>7873</v>
      </c>
      <c r="Y1099" s="691"/>
      <c r="Z1099" s="865"/>
      <c r="AA1099" s="420" t="s">
        <v>1346</v>
      </c>
      <c r="AB1099" s="243" t="s">
        <v>1016</v>
      </c>
      <c r="AC1099" s="35">
        <f>36597.12 * (48 / 98) + 10000</f>
        <v>27925.120000000003</v>
      </c>
    </row>
    <row r="1100" spans="1:106" s="200" customFormat="1" ht="332.25" customHeight="1" x14ac:dyDescent="0.25">
      <c r="A1100" s="566">
        <v>45645</v>
      </c>
      <c r="B1100" s="605"/>
      <c r="C1100" s="866" t="s">
        <v>8678</v>
      </c>
      <c r="D1100" t="s">
        <v>8679</v>
      </c>
      <c r="E1100" s="677" t="s">
        <v>39</v>
      </c>
      <c r="F1100" s="867"/>
      <c r="G1100" s="867"/>
      <c r="H1100" s="19" t="s">
        <v>1877</v>
      </c>
      <c r="I1100" s="245" t="s">
        <v>9848</v>
      </c>
      <c r="J1100" s="868">
        <v>19</v>
      </c>
      <c r="K1100" s="869" t="s">
        <v>8680</v>
      </c>
      <c r="L1100" s="855" t="s">
        <v>63</v>
      </c>
      <c r="M1100" s="587" t="s">
        <v>42</v>
      </c>
      <c r="N1100" s="680" t="s">
        <v>8681</v>
      </c>
      <c r="O1100" s="593" t="s">
        <v>8682</v>
      </c>
      <c r="P1100" s="593" t="s">
        <v>8683</v>
      </c>
      <c r="Q1100" s="593" t="s">
        <v>8684</v>
      </c>
      <c r="R1100" s="674">
        <v>57</v>
      </c>
      <c r="S1100" s="674">
        <v>469</v>
      </c>
      <c r="T1100" s="677" t="s">
        <v>47</v>
      </c>
      <c r="U1100" s="677">
        <v>38</v>
      </c>
      <c r="V1100" s="678">
        <f>U1100*J1100</f>
        <v>722</v>
      </c>
      <c r="W1100" s="677" t="s">
        <v>350</v>
      </c>
      <c r="X1100" s="616" t="s">
        <v>8685</v>
      </c>
      <c r="Y1100" s="199" t="s">
        <v>82</v>
      </c>
      <c r="Z1100" s="870" t="s">
        <v>8686</v>
      </c>
      <c r="AA1100" s="617" t="s">
        <v>2710</v>
      </c>
      <c r="AB1100" s="618" t="s">
        <v>8687</v>
      </c>
      <c r="AC1100" s="631">
        <f>(14250*19/50)+5700</f>
        <v>11115</v>
      </c>
    </row>
    <row r="1101" spans="1:106" s="200" customFormat="1" ht="76.5" customHeight="1" x14ac:dyDescent="0.25">
      <c r="A1101" s="566">
        <v>45645</v>
      </c>
      <c r="B1101" s="605"/>
      <c r="C1101" s="41" t="s">
        <v>8688</v>
      </c>
      <c r="D1101" s="41"/>
      <c r="E1101" s="42" t="s">
        <v>39</v>
      </c>
      <c r="F1101" s="467"/>
      <c r="G1101" s="467"/>
      <c r="H1101" s="19">
        <v>1</v>
      </c>
      <c r="I1101" s="245" t="s">
        <v>8689</v>
      </c>
      <c r="J1101" s="45">
        <v>25</v>
      </c>
      <c r="K1101" s="46" t="s">
        <v>8690</v>
      </c>
      <c r="L1101" s="47" t="s">
        <v>63</v>
      </c>
      <c r="M1101" s="637" t="s">
        <v>42</v>
      </c>
      <c r="N1101" s="77" t="s">
        <v>8691</v>
      </c>
      <c r="O1101" s="49" t="s">
        <v>8692</v>
      </c>
      <c r="P1101" s="871" t="s">
        <v>8693</v>
      </c>
      <c r="Q1101" s="871" t="s">
        <v>8694</v>
      </c>
      <c r="R1101" s="50">
        <v>19</v>
      </c>
      <c r="S1101" s="50">
        <v>125</v>
      </c>
      <c r="T1101" s="51" t="s">
        <v>47</v>
      </c>
      <c r="U1101" s="51">
        <v>6</v>
      </c>
      <c r="V1101" s="52">
        <f>U1101*J1101</f>
        <v>150</v>
      </c>
      <c r="W1101" s="51" t="s">
        <v>68</v>
      </c>
      <c r="X1101" s="198" t="s">
        <v>8402</v>
      </c>
      <c r="Y1101" s="199" t="s">
        <v>7004</v>
      </c>
      <c r="Z1101" s="565"/>
      <c r="AA1101" s="170" t="s">
        <v>2064</v>
      </c>
      <c r="AB1101" s="243" t="s">
        <v>2263</v>
      </c>
      <c r="AC1101" s="172">
        <v>4250</v>
      </c>
    </row>
    <row r="1102" spans="1:106" ht="121.5" customHeight="1" x14ac:dyDescent="0.25">
      <c r="A1102" s="566">
        <v>45645</v>
      </c>
      <c r="B1102" s="605"/>
      <c r="C1102" s="41" t="s">
        <v>8695</v>
      </c>
      <c r="D1102" s="41"/>
      <c r="E1102" s="42" t="s">
        <v>39</v>
      </c>
      <c r="F1102" s="19">
        <v>1</v>
      </c>
      <c r="G1102" s="43"/>
      <c r="H1102" s="43"/>
      <c r="I1102" s="245" t="s">
        <v>8696</v>
      </c>
      <c r="J1102" s="45">
        <v>50</v>
      </c>
      <c r="K1102" s="46" t="s">
        <v>8690</v>
      </c>
      <c r="L1102" s="47" t="s">
        <v>63</v>
      </c>
      <c r="M1102" s="637" t="s">
        <v>42</v>
      </c>
      <c r="N1102" s="77" t="s">
        <v>8697</v>
      </c>
      <c r="O1102" s="49" t="s">
        <v>8660</v>
      </c>
      <c r="P1102" s="638" t="s">
        <v>8698</v>
      </c>
      <c r="Q1102" s="49" t="s">
        <v>8699</v>
      </c>
      <c r="R1102" s="50">
        <v>47</v>
      </c>
      <c r="S1102" s="50">
        <v>139</v>
      </c>
      <c r="T1102" s="51" t="s">
        <v>47</v>
      </c>
      <c r="U1102" s="51">
        <v>6</v>
      </c>
      <c r="V1102" s="52">
        <f>U1102*J1102</f>
        <v>300</v>
      </c>
      <c r="W1102" s="51" t="s">
        <v>350</v>
      </c>
      <c r="X1102" s="198" t="s">
        <v>1420</v>
      </c>
      <c r="Y1102" s="168" t="s">
        <v>7004</v>
      </c>
      <c r="Z1102" s="427"/>
      <c r="AA1102" s="170" t="s">
        <v>7826</v>
      </c>
      <c r="AB1102" s="243" t="s">
        <v>8700</v>
      </c>
      <c r="AC1102" s="172">
        <v>3500</v>
      </c>
    </row>
    <row r="1103" spans="1:106" ht="174" customHeight="1" x14ac:dyDescent="0.25">
      <c r="A1103" s="566">
        <v>45645</v>
      </c>
      <c r="B1103" s="605"/>
      <c r="C1103" s="872" t="s">
        <v>8701</v>
      </c>
      <c r="D1103" s="872" t="s">
        <v>8702</v>
      </c>
      <c r="E1103" s="873" t="s">
        <v>39</v>
      </c>
      <c r="F1103" s="608"/>
      <c r="G1103" s="608"/>
      <c r="H1103" s="19">
        <v>2</v>
      </c>
      <c r="I1103" s="245" t="s">
        <v>8703</v>
      </c>
      <c r="J1103" s="609">
        <f>1050-52</f>
        <v>998</v>
      </c>
      <c r="K1103" s="610" t="s">
        <v>8704</v>
      </c>
      <c r="L1103" s="611" t="s">
        <v>63</v>
      </c>
      <c r="M1103" s="637" t="s">
        <v>42</v>
      </c>
      <c r="N1103" s="401" t="s">
        <v>8705</v>
      </c>
      <c r="O1103" s="49" t="s">
        <v>8706</v>
      </c>
      <c r="P1103" s="638" t="s">
        <v>8707</v>
      </c>
      <c r="Q1103" s="49" t="s">
        <v>8708</v>
      </c>
      <c r="R1103" s="613">
        <v>54</v>
      </c>
      <c r="S1103" s="613">
        <v>90</v>
      </c>
      <c r="T1103" s="614" t="s">
        <v>180</v>
      </c>
      <c r="U1103" s="614">
        <v>1</v>
      </c>
      <c r="V1103" s="615">
        <f>U1103*J1103</f>
        <v>998</v>
      </c>
      <c r="W1103" s="614" t="s">
        <v>350</v>
      </c>
      <c r="X1103" s="616" t="s">
        <v>8709</v>
      </c>
      <c r="Y1103" s="829" t="s">
        <v>50</v>
      </c>
      <c r="Z1103" s="870" t="s">
        <v>8710</v>
      </c>
      <c r="AA1103" s="693" t="s">
        <v>8711</v>
      </c>
      <c r="AB1103" s="618" t="s">
        <v>2403</v>
      </c>
      <c r="AC1103" s="619">
        <v>12800</v>
      </c>
    </row>
    <row r="1104" spans="1:106" s="200" customFormat="1" ht="120" x14ac:dyDescent="0.25">
      <c r="A1104" s="566">
        <v>45644</v>
      </c>
      <c r="B1104" s="605"/>
      <c r="C1104" s="41" t="s">
        <v>7187</v>
      </c>
      <c r="D1104" s="596"/>
      <c r="E1104" s="42" t="s">
        <v>39</v>
      </c>
      <c r="F1104" s="19">
        <v>4</v>
      </c>
      <c r="G1104" s="467"/>
      <c r="H1104" s="467"/>
      <c r="I1104" s="245" t="s">
        <v>8712</v>
      </c>
      <c r="J1104" s="45">
        <v>2</v>
      </c>
      <c r="K1104" s="46" t="s">
        <v>8675</v>
      </c>
      <c r="L1104" s="47" t="s">
        <v>63</v>
      </c>
      <c r="M1104" s="42" t="s">
        <v>42</v>
      </c>
      <c r="N1104" s="77" t="s">
        <v>8713</v>
      </c>
      <c r="O1104" s="49"/>
      <c r="P1104" s="49"/>
      <c r="Q1104" s="51"/>
      <c r="R1104" s="50">
        <v>46</v>
      </c>
      <c r="S1104" s="50">
        <v>356</v>
      </c>
      <c r="T1104" s="51" t="s">
        <v>47</v>
      </c>
      <c r="U1104" s="51">
        <v>6</v>
      </c>
      <c r="V1104" s="52">
        <f>U1104*98</f>
        <v>588</v>
      </c>
      <c r="W1104" s="51" t="s">
        <v>68</v>
      </c>
      <c r="X1104" s="198" t="s">
        <v>7873</v>
      </c>
      <c r="Y1104" s="691"/>
      <c r="Z1104" s="865"/>
      <c r="AA1104" s="420" t="s">
        <v>1346</v>
      </c>
      <c r="AB1104" s="243" t="s">
        <v>1016</v>
      </c>
      <c r="AC1104" s="35">
        <v>0</v>
      </c>
    </row>
    <row r="1105" spans="1:31" s="200" customFormat="1" ht="213" customHeight="1" x14ac:dyDescent="0.25">
      <c r="A1105" s="566">
        <v>45644</v>
      </c>
      <c r="B1105" s="605"/>
      <c r="C1105" s="874" t="s">
        <v>8714</v>
      </c>
      <c r="D1105" s="874" t="s">
        <v>7819</v>
      </c>
      <c r="E1105" s="875" t="s">
        <v>39</v>
      </c>
      <c r="F1105" s="876"/>
      <c r="G1105" s="876"/>
      <c r="H1105" s="877" t="s">
        <v>1877</v>
      </c>
      <c r="I1105" s="878" t="s">
        <v>8715</v>
      </c>
      <c r="J1105" s="879">
        <f>45</f>
        <v>45</v>
      </c>
      <c r="K1105" s="880" t="s">
        <v>8716</v>
      </c>
      <c r="L1105" s="881" t="s">
        <v>63</v>
      </c>
      <c r="M1105" s="882" t="s">
        <v>42</v>
      </c>
      <c r="N1105" s="744" t="s">
        <v>8717</v>
      </c>
      <c r="O1105" s="49" t="s">
        <v>8718</v>
      </c>
      <c r="P1105" s="49" t="s">
        <v>8719</v>
      </c>
      <c r="Q1105" s="49" t="s">
        <v>8720</v>
      </c>
      <c r="R1105" s="50">
        <v>6</v>
      </c>
      <c r="S1105" s="50">
        <v>14</v>
      </c>
      <c r="T1105" s="51" t="s">
        <v>47</v>
      </c>
      <c r="U1105" s="51">
        <v>0</v>
      </c>
      <c r="V1105" s="52">
        <f t="shared" ref="V1105:V1140" si="31">U1105*J1105</f>
        <v>0</v>
      </c>
      <c r="W1105" s="51" t="s">
        <v>142</v>
      </c>
      <c r="X1105" s="198" t="s">
        <v>1243</v>
      </c>
      <c r="Y1105" s="199" t="s">
        <v>7004</v>
      </c>
      <c r="Z1105" s="565"/>
      <c r="AA1105" s="170" t="s">
        <v>7826</v>
      </c>
      <c r="AB1105" s="243" t="s">
        <v>2430</v>
      </c>
      <c r="AC1105" s="35">
        <f>6555*(45/750)</f>
        <v>393.3</v>
      </c>
    </row>
    <row r="1106" spans="1:31" s="200" customFormat="1" ht="321" customHeight="1" x14ac:dyDescent="0.25">
      <c r="A1106" s="566">
        <v>45644</v>
      </c>
      <c r="B1106" s="605"/>
      <c r="C1106" s="41" t="s">
        <v>7643</v>
      </c>
      <c r="D1106" s="41" t="s">
        <v>7644</v>
      </c>
      <c r="E1106" s="42" t="s">
        <v>39</v>
      </c>
      <c r="F1106" s="43"/>
      <c r="G1106" s="19">
        <v>1</v>
      </c>
      <c r="H1106" s="608"/>
      <c r="I1106" s="245" t="s">
        <v>8721</v>
      </c>
      <c r="J1106" s="45">
        <v>33</v>
      </c>
      <c r="K1106" s="46" t="s">
        <v>8716</v>
      </c>
      <c r="L1106" s="47" t="s">
        <v>63</v>
      </c>
      <c r="M1106" s="637" t="s">
        <v>42</v>
      </c>
      <c r="N1106" s="77" t="s">
        <v>8722</v>
      </c>
      <c r="O1106" s="49" t="s">
        <v>7648</v>
      </c>
      <c r="P1106" s="638" t="s">
        <v>7649</v>
      </c>
      <c r="Q1106" s="49" t="s">
        <v>8723</v>
      </c>
      <c r="R1106" s="50">
        <v>106</v>
      </c>
      <c r="S1106" s="50">
        <v>290</v>
      </c>
      <c r="T1106" s="51" t="s">
        <v>141</v>
      </c>
      <c r="U1106" s="51">
        <v>1</v>
      </c>
      <c r="V1106" s="52">
        <f t="shared" si="31"/>
        <v>33</v>
      </c>
      <c r="W1106" s="51" t="s">
        <v>68</v>
      </c>
      <c r="X1106" s="198" t="s">
        <v>2234</v>
      </c>
      <c r="Y1106" s="199" t="s">
        <v>144</v>
      </c>
      <c r="Z1106" s="565"/>
      <c r="AA1106" s="170" t="s">
        <v>7651</v>
      </c>
      <c r="AB1106" s="243" t="s">
        <v>2310</v>
      </c>
      <c r="AC1106" s="35">
        <f>149.78+149.78+(7640*33/100)</f>
        <v>2820.7599999999998</v>
      </c>
    </row>
    <row r="1107" spans="1:31" s="200" customFormat="1" ht="87" customHeight="1" x14ac:dyDescent="0.25">
      <c r="A1107" s="566">
        <v>45644</v>
      </c>
      <c r="B1107" s="605"/>
      <c r="C1107" s="883" t="s">
        <v>8724</v>
      </c>
      <c r="D1107" s="596"/>
      <c r="E1107" s="607" t="s">
        <v>39</v>
      </c>
      <c r="F1107" s="19">
        <v>1</v>
      </c>
      <c r="G1107" s="608"/>
      <c r="H1107" s="608"/>
      <c r="I1107" s="245" t="s">
        <v>8725</v>
      </c>
      <c r="J1107" s="609">
        <v>23</v>
      </c>
      <c r="K1107" s="610" t="s">
        <v>2407</v>
      </c>
      <c r="L1107" s="611" t="s">
        <v>63</v>
      </c>
      <c r="M1107" s="637" t="s">
        <v>42</v>
      </c>
      <c r="N1107" s="401" t="s">
        <v>8726</v>
      </c>
      <c r="O1107" s="49" t="s">
        <v>8727</v>
      </c>
      <c r="P1107" s="49" t="s">
        <v>8728</v>
      </c>
      <c r="Q1107" s="49" t="s">
        <v>8729</v>
      </c>
      <c r="R1107" s="613">
        <v>108</v>
      </c>
      <c r="S1107" s="613">
        <v>510</v>
      </c>
      <c r="T1107" s="614" t="s">
        <v>180</v>
      </c>
      <c r="U1107" s="614">
        <v>41</v>
      </c>
      <c r="V1107" s="615">
        <f t="shared" si="31"/>
        <v>943</v>
      </c>
      <c r="W1107" s="614" t="s">
        <v>142</v>
      </c>
      <c r="X1107" s="616" t="s">
        <v>8730</v>
      </c>
      <c r="Y1107" s="199" t="s">
        <v>82</v>
      </c>
      <c r="Z1107" s="565"/>
      <c r="AA1107" s="617" t="s">
        <v>2064</v>
      </c>
      <c r="AB1107" s="618" t="s">
        <v>2346</v>
      </c>
      <c r="AC1107" s="619">
        <v>5459.05</v>
      </c>
    </row>
    <row r="1108" spans="1:31" s="200" customFormat="1" ht="47.25" customHeight="1" x14ac:dyDescent="0.25">
      <c r="A1108" s="566">
        <v>45643</v>
      </c>
      <c r="B1108" s="605"/>
      <c r="C1108" s="41" t="s">
        <v>8731</v>
      </c>
      <c r="D1108" s="41"/>
      <c r="E1108" s="607" t="s">
        <v>39</v>
      </c>
      <c r="F1108" s="467"/>
      <c r="G1108" s="467"/>
      <c r="H1108" s="19">
        <v>1</v>
      </c>
      <c r="I1108" s="245" t="s">
        <v>8732</v>
      </c>
      <c r="J1108" s="45">
        <v>20</v>
      </c>
      <c r="K1108" s="46" t="s">
        <v>2439</v>
      </c>
      <c r="L1108" s="47" t="s">
        <v>63</v>
      </c>
      <c r="M1108" s="637" t="s">
        <v>42</v>
      </c>
      <c r="N1108" s="77" t="s">
        <v>8733</v>
      </c>
      <c r="O1108" s="49" t="s">
        <v>8734</v>
      </c>
      <c r="P1108" s="49" t="s">
        <v>8735</v>
      </c>
      <c r="Q1108" s="51" t="s">
        <v>8736</v>
      </c>
      <c r="R1108" s="50">
        <v>16</v>
      </c>
      <c r="S1108" s="50">
        <v>306</v>
      </c>
      <c r="T1108" s="51" t="s">
        <v>47</v>
      </c>
      <c r="U1108" s="51">
        <v>2</v>
      </c>
      <c r="V1108" s="52">
        <f t="shared" si="31"/>
        <v>40</v>
      </c>
      <c r="W1108" s="51" t="s">
        <v>350</v>
      </c>
      <c r="X1108" s="198" t="s">
        <v>8737</v>
      </c>
      <c r="Y1108" s="691" t="s">
        <v>50</v>
      </c>
      <c r="Z1108" s="565"/>
      <c r="AA1108" s="170" t="s">
        <v>7651</v>
      </c>
      <c r="AB1108" s="243" t="s">
        <v>1016</v>
      </c>
      <c r="AC1108" s="172">
        <v>3528</v>
      </c>
    </row>
    <row r="1109" spans="1:31" s="200" customFormat="1" ht="48" customHeight="1" x14ac:dyDescent="0.25">
      <c r="A1109" s="566">
        <v>45643</v>
      </c>
      <c r="B1109" s="605"/>
      <c r="C1109" s="596" t="s">
        <v>8738</v>
      </c>
      <c r="D1109" s="596"/>
      <c r="E1109" s="607" t="s">
        <v>39</v>
      </c>
      <c r="F1109" s="19">
        <v>1</v>
      </c>
      <c r="G1109" s="608"/>
      <c r="H1109" s="608"/>
      <c r="I1109" s="245" t="s">
        <v>8739</v>
      </c>
      <c r="J1109" s="609">
        <v>40</v>
      </c>
      <c r="K1109" s="610" t="s">
        <v>2439</v>
      </c>
      <c r="L1109" s="47" t="s">
        <v>63</v>
      </c>
      <c r="M1109" s="637" t="s">
        <v>42</v>
      </c>
      <c r="N1109" s="77" t="s">
        <v>4752</v>
      </c>
      <c r="O1109" s="49" t="s">
        <v>8740</v>
      </c>
      <c r="P1109" s="49"/>
      <c r="Q1109" s="49" t="s">
        <v>8741</v>
      </c>
      <c r="R1109" s="613">
        <v>52</v>
      </c>
      <c r="S1109" s="613">
        <v>288</v>
      </c>
      <c r="T1109" s="614" t="s">
        <v>96</v>
      </c>
      <c r="U1109" s="614">
        <v>25</v>
      </c>
      <c r="V1109" s="615">
        <f t="shared" si="31"/>
        <v>1000</v>
      </c>
      <c r="W1109" s="614" t="s">
        <v>142</v>
      </c>
      <c r="X1109" s="616" t="s">
        <v>8742</v>
      </c>
      <c r="Y1109" s="199" t="s">
        <v>70</v>
      </c>
      <c r="Z1109" s="565"/>
      <c r="AA1109" s="617" t="s">
        <v>2064</v>
      </c>
      <c r="AB1109" s="618" t="s">
        <v>2378</v>
      </c>
      <c r="AC1109" s="619">
        <v>5706</v>
      </c>
    </row>
    <row r="1110" spans="1:31" s="200" customFormat="1" ht="93.75" customHeight="1" x14ac:dyDescent="0.25">
      <c r="A1110" s="566">
        <v>45643</v>
      </c>
      <c r="B1110" s="605"/>
      <c r="C1110" s="596" t="s">
        <v>8743</v>
      </c>
      <c r="D1110" s="596" t="s">
        <v>8744</v>
      </c>
      <c r="E1110" s="607" t="s">
        <v>39</v>
      </c>
      <c r="F1110" s="608"/>
      <c r="G1110" s="608"/>
      <c r="H1110" s="19">
        <v>1</v>
      </c>
      <c r="I1110" s="245" t="s">
        <v>8745</v>
      </c>
      <c r="J1110" s="609">
        <v>33</v>
      </c>
      <c r="K1110" s="610" t="s">
        <v>2439</v>
      </c>
      <c r="L1110" s="47" t="s">
        <v>63</v>
      </c>
      <c r="M1110" s="637" t="s">
        <v>42</v>
      </c>
      <c r="N1110" s="77" t="s">
        <v>8746</v>
      </c>
      <c r="O1110" s="49" t="s">
        <v>8747</v>
      </c>
      <c r="P1110" s="49"/>
      <c r="Q1110" s="49" t="s">
        <v>8748</v>
      </c>
      <c r="R1110" s="613">
        <v>32</v>
      </c>
      <c r="S1110" s="613">
        <v>420</v>
      </c>
      <c r="T1110" s="614" t="s">
        <v>96</v>
      </c>
      <c r="U1110" s="614">
        <v>66</v>
      </c>
      <c r="V1110" s="615">
        <f t="shared" si="31"/>
        <v>2178</v>
      </c>
      <c r="W1110" s="614" t="s">
        <v>350</v>
      </c>
      <c r="X1110" s="616" t="s">
        <v>8742</v>
      </c>
      <c r="Y1110" s="199" t="s">
        <v>70</v>
      </c>
      <c r="Z1110" s="565"/>
      <c r="AA1110" s="617" t="s">
        <v>1548</v>
      </c>
      <c r="AB1110" s="618" t="s">
        <v>2346</v>
      </c>
      <c r="AC1110" s="619">
        <v>7357.46</v>
      </c>
    </row>
    <row r="1111" spans="1:31" s="200" customFormat="1" ht="123.75" x14ac:dyDescent="0.25">
      <c r="A1111" s="566">
        <v>45642</v>
      </c>
      <c r="B1111" s="884"/>
      <c r="C1111" s="731" t="s">
        <v>8749</v>
      </c>
      <c r="D1111" s="596"/>
      <c r="E1111" s="607" t="s">
        <v>39</v>
      </c>
      <c r="F1111" s="19">
        <v>1</v>
      </c>
      <c r="G1111" s="608"/>
      <c r="H1111" s="608"/>
      <c r="I1111" s="245" t="s">
        <v>8750</v>
      </c>
      <c r="J1111" s="609">
        <v>5</v>
      </c>
      <c r="K1111" s="610" t="s">
        <v>2469</v>
      </c>
      <c r="L1111" s="611" t="s">
        <v>63</v>
      </c>
      <c r="M1111" s="835" t="s">
        <v>42</v>
      </c>
      <c r="N1111" s="885" t="s">
        <v>8751</v>
      </c>
      <c r="O1111" s="49" t="s">
        <v>8752</v>
      </c>
      <c r="P1111" s="49" t="s">
        <v>8753</v>
      </c>
      <c r="Q1111" s="51" t="s">
        <v>8748</v>
      </c>
      <c r="R1111" s="613">
        <v>103</v>
      </c>
      <c r="S1111" s="613">
        <v>529</v>
      </c>
      <c r="T1111" s="614" t="s">
        <v>180</v>
      </c>
      <c r="U1111" s="614">
        <v>2</v>
      </c>
      <c r="V1111" s="615">
        <f t="shared" si="31"/>
        <v>10</v>
      </c>
      <c r="W1111" s="614" t="s">
        <v>350</v>
      </c>
      <c r="X1111" s="616" t="s">
        <v>8754</v>
      </c>
      <c r="Y1111" s="691" t="s">
        <v>50</v>
      </c>
      <c r="Z1111" s="565"/>
      <c r="AA1111" s="617" t="s">
        <v>8755</v>
      </c>
      <c r="AB1111" s="618" t="s">
        <v>2535</v>
      </c>
      <c r="AC1111" s="619">
        <v>4943.1000000000004</v>
      </c>
    </row>
    <row r="1112" spans="1:31" s="200" customFormat="1" ht="78.75" customHeight="1" x14ac:dyDescent="0.25">
      <c r="A1112" s="566">
        <v>45642</v>
      </c>
      <c r="B1112" s="884"/>
      <c r="C1112" s="596" t="s">
        <v>8756</v>
      </c>
      <c r="D1112" s="596"/>
      <c r="E1112" s="607" t="s">
        <v>39</v>
      </c>
      <c r="F1112" s="608"/>
      <c r="G1112" s="19">
        <v>1</v>
      </c>
      <c r="H1112" s="608"/>
      <c r="I1112" s="245" t="s">
        <v>8757</v>
      </c>
      <c r="J1112" s="609">
        <v>80</v>
      </c>
      <c r="K1112" s="610" t="s">
        <v>2469</v>
      </c>
      <c r="L1112" s="721" t="s">
        <v>63</v>
      </c>
      <c r="M1112" s="637" t="s">
        <v>42</v>
      </c>
      <c r="N1112" s="862" t="s">
        <v>8758</v>
      </c>
      <c r="O1112" s="49" t="s">
        <v>8759</v>
      </c>
      <c r="P1112" s="49" t="s">
        <v>8760</v>
      </c>
      <c r="Q1112" s="49" t="s">
        <v>8761</v>
      </c>
      <c r="R1112" s="613">
        <v>2</v>
      </c>
      <c r="S1112" s="613">
        <v>3</v>
      </c>
      <c r="T1112" s="614" t="s">
        <v>47</v>
      </c>
      <c r="U1112" s="614">
        <v>2</v>
      </c>
      <c r="V1112" s="615">
        <f t="shared" si="31"/>
        <v>160</v>
      </c>
      <c r="W1112" s="614" t="s">
        <v>221</v>
      </c>
      <c r="X1112" s="616" t="s">
        <v>8762</v>
      </c>
      <c r="Y1112" s="199" t="s">
        <v>82</v>
      </c>
      <c r="Z1112" s="565"/>
      <c r="AA1112" s="617" t="s">
        <v>2064</v>
      </c>
      <c r="AB1112" s="618" t="s">
        <v>2310</v>
      </c>
      <c r="AC1112" s="619">
        <v>3420</v>
      </c>
    </row>
    <row r="1113" spans="1:31" s="200" customFormat="1" ht="88.5" customHeight="1" x14ac:dyDescent="0.25">
      <c r="A1113" s="566">
        <v>45642</v>
      </c>
      <c r="B1113" s="884"/>
      <c r="C1113" s="883" t="s">
        <v>8763</v>
      </c>
      <c r="D1113" s="596"/>
      <c r="E1113" s="607" t="s">
        <v>39</v>
      </c>
      <c r="F1113" s="43"/>
      <c r="G1113" s="19">
        <v>1</v>
      </c>
      <c r="H1113" s="43"/>
      <c r="I1113" s="245" t="s">
        <v>8764</v>
      </c>
      <c r="J1113" s="609">
        <v>20</v>
      </c>
      <c r="K1113" s="610" t="s">
        <v>2478</v>
      </c>
      <c r="L1113" s="611" t="s">
        <v>63</v>
      </c>
      <c r="M1113" s="637" t="s">
        <v>42</v>
      </c>
      <c r="N1113" s="401" t="s">
        <v>8765</v>
      </c>
      <c r="O1113" s="49" t="s">
        <v>8766</v>
      </c>
      <c r="P1113" s="638" t="s">
        <v>8767</v>
      </c>
      <c r="Q1113" s="49" t="s">
        <v>8768</v>
      </c>
      <c r="R1113" s="613">
        <v>80</v>
      </c>
      <c r="S1113" s="613">
        <v>410</v>
      </c>
      <c r="T1113" s="614" t="s">
        <v>47</v>
      </c>
      <c r="U1113" s="614">
        <v>11</v>
      </c>
      <c r="V1113" s="615">
        <f t="shared" si="31"/>
        <v>220</v>
      </c>
      <c r="W1113" s="614" t="s">
        <v>350</v>
      </c>
      <c r="X1113" s="616" t="s">
        <v>8769</v>
      </c>
      <c r="Y1113" s="199" t="s">
        <v>70</v>
      </c>
      <c r="Z1113" s="886" t="s">
        <v>8770</v>
      </c>
      <c r="AA1113" s="617" t="s">
        <v>8755</v>
      </c>
      <c r="AB1113" s="618" t="s">
        <v>2430</v>
      </c>
      <c r="AC1113" s="619">
        <v>3254</v>
      </c>
    </row>
    <row r="1114" spans="1:31" s="200" customFormat="1" ht="78" customHeight="1" x14ac:dyDescent="0.25">
      <c r="A1114" s="566">
        <v>45642</v>
      </c>
      <c r="B1114" s="884"/>
      <c r="C1114" s="41" t="s">
        <v>8771</v>
      </c>
      <c r="D1114" s="41" t="s">
        <v>8772</v>
      </c>
      <c r="E1114" s="42" t="s">
        <v>39</v>
      </c>
      <c r="F1114" s="43"/>
      <c r="G1114" s="19">
        <v>1</v>
      </c>
      <c r="H1114" s="467"/>
      <c r="I1114" s="245" t="s">
        <v>8773</v>
      </c>
      <c r="J1114" s="45">
        <v>5</v>
      </c>
      <c r="K1114" s="46" t="s">
        <v>2469</v>
      </c>
      <c r="L1114" s="277" t="s">
        <v>63</v>
      </c>
      <c r="M1114" s="42" t="s">
        <v>8418</v>
      </c>
      <c r="N1114" s="77" t="s">
        <v>8774</v>
      </c>
      <c r="O1114" s="49" t="s">
        <v>8760</v>
      </c>
      <c r="P1114" s="49" t="s">
        <v>8775</v>
      </c>
      <c r="Q1114" s="49" t="s">
        <v>8776</v>
      </c>
      <c r="R1114" s="50">
        <v>21</v>
      </c>
      <c r="S1114" s="50">
        <v>304</v>
      </c>
      <c r="T1114" s="51" t="s">
        <v>47</v>
      </c>
      <c r="U1114" s="51">
        <v>52</v>
      </c>
      <c r="V1114" s="52">
        <f t="shared" si="31"/>
        <v>260</v>
      </c>
      <c r="W1114" s="51" t="s">
        <v>7012</v>
      </c>
      <c r="X1114" s="198" t="s">
        <v>8777</v>
      </c>
      <c r="Y1114" s="199" t="s">
        <v>82</v>
      </c>
      <c r="Z1114" s="565"/>
      <c r="AA1114" s="170" t="s">
        <v>2064</v>
      </c>
      <c r="AB1114" s="243" t="s">
        <v>2263</v>
      </c>
      <c r="AC1114" s="172">
        <v>3627</v>
      </c>
    </row>
    <row r="1115" spans="1:31" s="200" customFormat="1" ht="60.75" customHeight="1" x14ac:dyDescent="0.25">
      <c r="A1115" s="566">
        <v>45642</v>
      </c>
      <c r="B1115" s="884"/>
      <c r="C1115" s="887" t="s">
        <v>8778</v>
      </c>
      <c r="D1115" s="887" t="s">
        <v>8779</v>
      </c>
      <c r="E1115" s="841" t="s">
        <v>39</v>
      </c>
      <c r="F1115" s="888"/>
      <c r="G1115" s="888"/>
      <c r="H1115" s="19">
        <v>1</v>
      </c>
      <c r="I1115" s="245" t="s">
        <v>8780</v>
      </c>
      <c r="J1115" s="889">
        <v>50</v>
      </c>
      <c r="K1115" s="890" t="s">
        <v>2487</v>
      </c>
      <c r="L1115" s="891" t="s">
        <v>63</v>
      </c>
      <c r="M1115" s="841" t="s">
        <v>42</v>
      </c>
      <c r="N1115" s="892" t="s">
        <v>8781</v>
      </c>
      <c r="O1115" s="893" t="s">
        <v>8782</v>
      </c>
      <c r="P1115" s="893"/>
      <c r="Q1115" s="893" t="s">
        <v>8783</v>
      </c>
      <c r="R1115" s="894">
        <v>29</v>
      </c>
      <c r="S1115" s="894">
        <v>59</v>
      </c>
      <c r="T1115" s="841" t="s">
        <v>96</v>
      </c>
      <c r="U1115" s="841">
        <v>35</v>
      </c>
      <c r="V1115" s="895">
        <f t="shared" si="31"/>
        <v>1750</v>
      </c>
      <c r="W1115" s="587" t="s">
        <v>350</v>
      </c>
      <c r="X1115" s="198" t="s">
        <v>8784</v>
      </c>
      <c r="Y1115" s="199" t="s">
        <v>70</v>
      </c>
      <c r="Z1115" s="565"/>
      <c r="AA1115" s="170" t="s">
        <v>2245</v>
      </c>
      <c r="AB1115" s="243" t="s">
        <v>2378</v>
      </c>
      <c r="AC1115" s="172">
        <v>3957.5</v>
      </c>
    </row>
    <row r="1116" spans="1:31" s="200" customFormat="1" ht="148.5" customHeight="1" x14ac:dyDescent="0.25">
      <c r="A1116" s="566">
        <v>45639</v>
      </c>
      <c r="B1116" s="566"/>
      <c r="C1116" s="710" t="s">
        <v>8785</v>
      </c>
      <c r="D1116" s="233" t="s">
        <v>8786</v>
      </c>
      <c r="E1116" s="896" t="s">
        <v>39</v>
      </c>
      <c r="F1116" s="19">
        <v>1</v>
      </c>
      <c r="G1116" s="467"/>
      <c r="H1116" s="467"/>
      <c r="I1116" s="245" t="s">
        <v>8787</v>
      </c>
      <c r="J1116" s="45">
        <v>20</v>
      </c>
      <c r="K1116" s="46" t="s">
        <v>2469</v>
      </c>
      <c r="L1116" s="47" t="s">
        <v>63</v>
      </c>
      <c r="M1116" s="42" t="s">
        <v>42</v>
      </c>
      <c r="N1116" s="897" t="s">
        <v>8788</v>
      </c>
      <c r="O1116" s="49" t="s">
        <v>8789</v>
      </c>
      <c r="P1116" s="49"/>
      <c r="Q1116" s="51" t="s">
        <v>8790</v>
      </c>
      <c r="R1116" s="50">
        <v>88</v>
      </c>
      <c r="S1116" s="50">
        <v>350</v>
      </c>
      <c r="T1116" s="51" t="s">
        <v>67</v>
      </c>
      <c r="U1116" s="51">
        <v>0</v>
      </c>
      <c r="V1116" s="52">
        <f t="shared" si="31"/>
        <v>0</v>
      </c>
      <c r="W1116" s="51" t="s">
        <v>350</v>
      </c>
      <c r="X1116" s="198" t="s">
        <v>6248</v>
      </c>
      <c r="Y1116" s="199" t="s">
        <v>82</v>
      </c>
      <c r="Z1116" s="565"/>
      <c r="AA1116" s="170" t="s">
        <v>2764</v>
      </c>
      <c r="AB1116" s="243" t="s">
        <v>2535</v>
      </c>
      <c r="AC1116" s="35">
        <f>(18344.7*20/110)+1800+3800</f>
        <v>8935.4</v>
      </c>
      <c r="AE1116" s="898">
        <v>7462.67</v>
      </c>
    </row>
    <row r="1117" spans="1:31" s="200" customFormat="1" ht="139.5" customHeight="1" x14ac:dyDescent="0.25">
      <c r="A1117" s="566">
        <v>45639</v>
      </c>
      <c r="B1117" s="884"/>
      <c r="C1117" s="899" t="s">
        <v>8791</v>
      </c>
      <c r="D1117" s="596"/>
      <c r="E1117" s="607" t="s">
        <v>39</v>
      </c>
      <c r="F1117" s="608"/>
      <c r="G1117" s="608"/>
      <c r="H1117" s="19">
        <v>1</v>
      </c>
      <c r="I1117" s="245" t="s">
        <v>8792</v>
      </c>
      <c r="J1117" s="609">
        <v>20</v>
      </c>
      <c r="K1117" s="610" t="s">
        <v>8793</v>
      </c>
      <c r="L1117" s="611" t="s">
        <v>63</v>
      </c>
      <c r="M1117" s="42" t="s">
        <v>42</v>
      </c>
      <c r="N1117" s="401" t="s">
        <v>8794</v>
      </c>
      <c r="O1117" s="49" t="s">
        <v>8795</v>
      </c>
      <c r="P1117" s="49" t="s">
        <v>8796</v>
      </c>
      <c r="Q1117" s="51" t="s">
        <v>8797</v>
      </c>
      <c r="R1117" s="613">
        <v>139</v>
      </c>
      <c r="S1117" s="613">
        <v>1432</v>
      </c>
      <c r="T1117" s="614" t="s">
        <v>180</v>
      </c>
      <c r="U1117" s="614">
        <v>92</v>
      </c>
      <c r="V1117" s="615">
        <f t="shared" si="31"/>
        <v>1840</v>
      </c>
      <c r="W1117" s="614" t="s">
        <v>350</v>
      </c>
      <c r="X1117" s="616" t="s">
        <v>8798</v>
      </c>
      <c r="Y1117" s="199" t="s">
        <v>82</v>
      </c>
      <c r="Z1117" s="565"/>
      <c r="AA1117" s="617" t="s">
        <v>2710</v>
      </c>
      <c r="AB1117" s="618" t="s">
        <v>8799</v>
      </c>
      <c r="AC1117" s="619">
        <v>19086.8</v>
      </c>
    </row>
    <row r="1118" spans="1:31" s="200" customFormat="1" ht="180" x14ac:dyDescent="0.25">
      <c r="A1118" s="566">
        <v>45638</v>
      </c>
      <c r="B1118" s="884"/>
      <c r="C1118" s="41" t="s">
        <v>8800</v>
      </c>
      <c r="D1118" s="164" t="s">
        <v>8801</v>
      </c>
      <c r="E1118" s="42" t="s">
        <v>39</v>
      </c>
      <c r="F1118" s="19">
        <v>1</v>
      </c>
      <c r="G1118" s="467"/>
      <c r="H1118" s="467"/>
      <c r="I1118" s="245" t="s">
        <v>8802</v>
      </c>
      <c r="J1118" s="45">
        <v>48</v>
      </c>
      <c r="K1118" s="46" t="s">
        <v>2513</v>
      </c>
      <c r="L1118" s="47" t="s">
        <v>63</v>
      </c>
      <c r="M1118" s="637" t="s">
        <v>42</v>
      </c>
      <c r="N1118" s="744" t="s">
        <v>8803</v>
      </c>
      <c r="O1118" s="49" t="s">
        <v>8804</v>
      </c>
      <c r="P1118" s="49" t="s">
        <v>8805</v>
      </c>
      <c r="Q1118" s="49" t="s">
        <v>8806</v>
      </c>
      <c r="R1118" s="50">
        <v>70</v>
      </c>
      <c r="S1118" s="50">
        <v>255</v>
      </c>
      <c r="T1118" s="51" t="s">
        <v>47</v>
      </c>
      <c r="U1118" s="51">
        <v>3</v>
      </c>
      <c r="V1118" s="52">
        <f t="shared" si="31"/>
        <v>144</v>
      </c>
      <c r="W1118" s="51" t="s">
        <v>142</v>
      </c>
      <c r="X1118" s="198" t="s">
        <v>3623</v>
      </c>
      <c r="Y1118" s="199" t="s">
        <v>70</v>
      </c>
      <c r="Z1118" s="565"/>
      <c r="AA1118" s="170" t="s">
        <v>2064</v>
      </c>
      <c r="AB1118" s="243" t="s">
        <v>2346</v>
      </c>
      <c r="AC1118" s="172">
        <v>4769.4399999999996</v>
      </c>
    </row>
    <row r="1119" spans="1:31" s="200" customFormat="1" ht="208.5" customHeight="1" x14ac:dyDescent="0.25">
      <c r="A1119" s="566">
        <v>45638</v>
      </c>
      <c r="B1119" s="884"/>
      <c r="C1119" s="586" t="s">
        <v>8807</v>
      </c>
      <c r="D1119" s="586" t="s">
        <v>8808</v>
      </c>
      <c r="E1119" s="587" t="s">
        <v>39</v>
      </c>
      <c r="F1119" s="812"/>
      <c r="G1119" s="812"/>
      <c r="H1119" s="19">
        <v>1</v>
      </c>
      <c r="I1119" s="245" t="s">
        <v>8809</v>
      </c>
      <c r="J1119" s="589">
        <v>9</v>
      </c>
      <c r="K1119" s="747" t="s">
        <v>8810</v>
      </c>
      <c r="L1119" s="591" t="s">
        <v>63</v>
      </c>
      <c r="M1119" s="900" t="s">
        <v>8418</v>
      </c>
      <c r="N1119" s="592" t="s">
        <v>8811</v>
      </c>
      <c r="O1119" s="593" t="s">
        <v>8812</v>
      </c>
      <c r="P1119" s="593"/>
      <c r="Q1119" s="593" t="s">
        <v>8813</v>
      </c>
      <c r="R1119" s="594">
        <v>136</v>
      </c>
      <c r="S1119" s="594">
        <v>964</v>
      </c>
      <c r="T1119" s="587" t="s">
        <v>582</v>
      </c>
      <c r="U1119" s="587">
        <v>39</v>
      </c>
      <c r="V1119" s="732">
        <f t="shared" si="31"/>
        <v>351</v>
      </c>
      <c r="W1119" s="587" t="s">
        <v>350</v>
      </c>
      <c r="X1119" s="198" t="s">
        <v>1004</v>
      </c>
      <c r="Y1119" s="199" t="s">
        <v>82</v>
      </c>
      <c r="Z1119" s="565"/>
      <c r="AA1119" s="170" t="s">
        <v>2064</v>
      </c>
      <c r="AB1119" s="243" t="s">
        <v>2310</v>
      </c>
      <c r="AC1119" s="35">
        <f>1500+(9960.6*10/10)</f>
        <v>11460.6</v>
      </c>
    </row>
    <row r="1120" spans="1:31" s="200" customFormat="1" ht="345" x14ac:dyDescent="0.25">
      <c r="A1120" s="566">
        <v>45637</v>
      </c>
      <c r="B1120" s="884"/>
      <c r="C1120" s="901" t="s">
        <v>7818</v>
      </c>
      <c r="D1120" s="902" t="s">
        <v>8814</v>
      </c>
      <c r="E1120" s="587" t="s">
        <v>39</v>
      </c>
      <c r="F1120" s="812"/>
      <c r="G1120" s="812"/>
      <c r="H1120" s="19">
        <v>1</v>
      </c>
      <c r="I1120" s="245" t="s">
        <v>8815</v>
      </c>
      <c r="J1120" s="589">
        <v>57</v>
      </c>
      <c r="K1120" s="673" t="s">
        <v>8816</v>
      </c>
      <c r="L1120" s="591" t="s">
        <v>63</v>
      </c>
      <c r="M1120" s="587" t="s">
        <v>42</v>
      </c>
      <c r="N1120" s="748" t="s">
        <v>8717</v>
      </c>
      <c r="O1120" s="593" t="s">
        <v>8817</v>
      </c>
      <c r="P1120" s="593" t="s">
        <v>8818</v>
      </c>
      <c r="Q1120" s="593" t="s">
        <v>8819</v>
      </c>
      <c r="R1120" s="594">
        <v>6</v>
      </c>
      <c r="S1120" s="594">
        <v>14</v>
      </c>
      <c r="T1120" s="587" t="s">
        <v>47</v>
      </c>
      <c r="U1120" s="587">
        <v>0</v>
      </c>
      <c r="V1120" s="732">
        <f t="shared" si="31"/>
        <v>0</v>
      </c>
      <c r="W1120" s="587" t="s">
        <v>142</v>
      </c>
      <c r="X1120" s="198" t="s">
        <v>1243</v>
      </c>
      <c r="Y1120" s="199" t="s">
        <v>7004</v>
      </c>
      <c r="Z1120" s="886" t="s">
        <v>8820</v>
      </c>
      <c r="AA1120" s="170" t="s">
        <v>7826</v>
      </c>
      <c r="AB1120" s="243" t="s">
        <v>2430</v>
      </c>
      <c r="AC1120" s="35">
        <f>6555*(57/750)</f>
        <v>498.18</v>
      </c>
    </row>
    <row r="1121" spans="1:29" s="200" customFormat="1" ht="62.25" customHeight="1" x14ac:dyDescent="0.25">
      <c r="A1121" s="566">
        <v>45637</v>
      </c>
      <c r="B1121" s="884"/>
      <c r="C1121" s="586" t="s">
        <v>8821</v>
      </c>
      <c r="D1121" s="586"/>
      <c r="E1121" s="587" t="s">
        <v>1379</v>
      </c>
      <c r="F1121" s="19">
        <v>2</v>
      </c>
      <c r="G1121" s="812"/>
      <c r="H1121" s="812"/>
      <c r="I1121" s="245" t="s">
        <v>8822</v>
      </c>
      <c r="J1121" s="589">
        <v>5</v>
      </c>
      <c r="K1121" s="747" t="s">
        <v>8823</v>
      </c>
      <c r="L1121" s="591" t="s">
        <v>63</v>
      </c>
      <c r="M1121" s="587" t="s">
        <v>42</v>
      </c>
      <c r="N1121" s="748" t="s">
        <v>8824</v>
      </c>
      <c r="O1121" s="593" t="s">
        <v>8825</v>
      </c>
      <c r="P1121" s="593" t="s">
        <v>8826</v>
      </c>
      <c r="Q1121" s="587" t="s">
        <v>8827</v>
      </c>
      <c r="R1121" s="594">
        <v>8</v>
      </c>
      <c r="S1121" s="594">
        <v>106</v>
      </c>
      <c r="T1121" s="587" t="s">
        <v>47</v>
      </c>
      <c r="U1121" s="587">
        <v>62</v>
      </c>
      <c r="V1121" s="732">
        <f t="shared" si="31"/>
        <v>310</v>
      </c>
      <c r="W1121" s="587" t="s">
        <v>221</v>
      </c>
      <c r="X1121" s="198" t="s">
        <v>232</v>
      </c>
      <c r="Y1121" s="691" t="s">
        <v>50</v>
      </c>
      <c r="Z1121" s="565"/>
      <c r="AA1121" s="170" t="s">
        <v>7651</v>
      </c>
      <c r="AB1121" s="243" t="s">
        <v>8799</v>
      </c>
      <c r="AC1121" s="172">
        <v>4449</v>
      </c>
    </row>
    <row r="1122" spans="1:29" s="200" customFormat="1" ht="60" x14ac:dyDescent="0.25">
      <c r="A1122" s="566">
        <v>45637</v>
      </c>
      <c r="B1122" s="566"/>
      <c r="C1122" s="605" t="s">
        <v>8828</v>
      </c>
      <c r="D1122" s="903" t="s">
        <v>8829</v>
      </c>
      <c r="E1122" s="42" t="s">
        <v>39</v>
      </c>
      <c r="F1122" s="608"/>
      <c r="G1122" s="19">
        <v>1</v>
      </c>
      <c r="H1122" s="43"/>
      <c r="I1122" s="245" t="s">
        <v>8830</v>
      </c>
      <c r="J1122" s="609">
        <v>85</v>
      </c>
      <c r="K1122" s="610" t="s">
        <v>8831</v>
      </c>
      <c r="L1122" s="611" t="s">
        <v>63</v>
      </c>
      <c r="M1122" s="42" t="s">
        <v>42</v>
      </c>
      <c r="N1122" s="77" t="s">
        <v>8832</v>
      </c>
      <c r="O1122" s="49" t="s">
        <v>8833</v>
      </c>
      <c r="P1122" s="49" t="s">
        <v>8834</v>
      </c>
      <c r="Q1122" s="49" t="s">
        <v>8835</v>
      </c>
      <c r="R1122" s="613">
        <v>28</v>
      </c>
      <c r="S1122" s="613">
        <v>121</v>
      </c>
      <c r="T1122" s="614" t="s">
        <v>47</v>
      </c>
      <c r="U1122" s="614">
        <v>4</v>
      </c>
      <c r="V1122" s="615">
        <f t="shared" si="31"/>
        <v>340</v>
      </c>
      <c r="W1122" s="614" t="s">
        <v>350</v>
      </c>
      <c r="X1122" s="616" t="s">
        <v>8836</v>
      </c>
      <c r="Y1122" s="199" t="s">
        <v>144</v>
      </c>
      <c r="Z1122" s="565"/>
      <c r="AA1122" s="617" t="s">
        <v>2355</v>
      </c>
      <c r="AB1122" s="618" t="s">
        <v>2403</v>
      </c>
      <c r="AC1122" s="619">
        <v>4204.8</v>
      </c>
    </row>
    <row r="1123" spans="1:29" s="200" customFormat="1" ht="43.5" customHeight="1" x14ac:dyDescent="0.25">
      <c r="A1123" s="566">
        <v>45636</v>
      </c>
      <c r="B1123" s="884"/>
      <c r="C1123" s="883" t="s">
        <v>8837</v>
      </c>
      <c r="D1123" s="596" t="s">
        <v>8838</v>
      </c>
      <c r="E1123" s="607" t="s">
        <v>39</v>
      </c>
      <c r="F1123" s="19">
        <v>1</v>
      </c>
      <c r="G1123" s="43"/>
      <c r="H1123" s="43"/>
      <c r="I1123" s="245" t="s">
        <v>8839</v>
      </c>
      <c r="J1123" s="609">
        <v>10</v>
      </c>
      <c r="K1123" s="610" t="s">
        <v>2538</v>
      </c>
      <c r="L1123" s="611" t="s">
        <v>63</v>
      </c>
      <c r="M1123" s="42" t="s">
        <v>42</v>
      </c>
      <c r="N1123" s="401" t="s">
        <v>8840</v>
      </c>
      <c r="O1123" s="49" t="s">
        <v>8833</v>
      </c>
      <c r="P1123" s="49" t="s">
        <v>8841</v>
      </c>
      <c r="Q1123" s="51" t="s">
        <v>8842</v>
      </c>
      <c r="R1123" s="613">
        <v>119</v>
      </c>
      <c r="S1123" s="613">
        <v>360</v>
      </c>
      <c r="T1123" s="614" t="s">
        <v>180</v>
      </c>
      <c r="U1123" s="614">
        <v>7</v>
      </c>
      <c r="V1123" s="615">
        <f t="shared" si="31"/>
        <v>70</v>
      </c>
      <c r="W1123" s="904" t="s">
        <v>8843</v>
      </c>
      <c r="X1123" s="616" t="s">
        <v>8844</v>
      </c>
      <c r="Y1123" s="199" t="s">
        <v>7004</v>
      </c>
      <c r="Z1123" s="565"/>
      <c r="AA1123" s="617" t="s">
        <v>2710</v>
      </c>
      <c r="AB1123" s="618" t="s">
        <v>2585</v>
      </c>
      <c r="AC1123" s="618" t="s">
        <v>8845</v>
      </c>
    </row>
    <row r="1124" spans="1:29" s="200" customFormat="1" ht="108" customHeight="1" x14ac:dyDescent="0.25">
      <c r="A1124" s="566">
        <v>45636</v>
      </c>
      <c r="B1124" s="884"/>
      <c r="C1124" s="41" t="s">
        <v>8846</v>
      </c>
      <c r="D1124" s="41"/>
      <c r="E1124" s="42" t="s">
        <v>39</v>
      </c>
      <c r="F1124" s="19">
        <v>1</v>
      </c>
      <c r="G1124" s="43"/>
      <c r="H1124" s="43"/>
      <c r="I1124" s="245" t="s">
        <v>8847</v>
      </c>
      <c r="J1124" s="45">
        <v>20</v>
      </c>
      <c r="K1124" s="46" t="s">
        <v>2571</v>
      </c>
      <c r="L1124" s="47" t="s">
        <v>63</v>
      </c>
      <c r="M1124" s="637" t="s">
        <v>42</v>
      </c>
      <c r="N1124" s="77" t="s">
        <v>8848</v>
      </c>
      <c r="O1124" s="49" t="s">
        <v>8849</v>
      </c>
      <c r="P1124" s="49" t="s">
        <v>8850</v>
      </c>
      <c r="Q1124" s="51" t="s">
        <v>8851</v>
      </c>
      <c r="R1124" s="50">
        <v>63</v>
      </c>
      <c r="S1124" s="50">
        <v>199</v>
      </c>
      <c r="T1124" s="51" t="s">
        <v>47</v>
      </c>
      <c r="U1124" s="51">
        <v>25</v>
      </c>
      <c r="V1124" s="52">
        <f t="shared" si="31"/>
        <v>500</v>
      </c>
      <c r="W1124" s="51" t="s">
        <v>350</v>
      </c>
      <c r="X1124" s="198" t="s">
        <v>8852</v>
      </c>
      <c r="Y1124" s="691" t="s">
        <v>50</v>
      </c>
      <c r="Z1124" s="565"/>
      <c r="AA1124" s="170" t="s">
        <v>7651</v>
      </c>
      <c r="AB1124" s="243" t="s">
        <v>1016</v>
      </c>
      <c r="AC1124" s="172">
        <v>4582.3999999999996</v>
      </c>
    </row>
    <row r="1125" spans="1:29" s="200" customFormat="1" ht="120" x14ac:dyDescent="0.25">
      <c r="A1125" s="566">
        <v>45635</v>
      </c>
      <c r="B1125" s="884"/>
      <c r="C1125" s="883" t="s">
        <v>8853</v>
      </c>
      <c r="D1125" s="596"/>
      <c r="E1125" s="607" t="s">
        <v>39</v>
      </c>
      <c r="F1125" s="905">
        <v>1</v>
      </c>
      <c r="G1125" s="608"/>
      <c r="H1125" s="467"/>
      <c r="I1125" s="245" t="s">
        <v>8854</v>
      </c>
      <c r="J1125" s="609">
        <v>300</v>
      </c>
      <c r="K1125" s="610" t="s">
        <v>8716</v>
      </c>
      <c r="L1125" s="611" t="s">
        <v>63</v>
      </c>
      <c r="M1125" s="42" t="s">
        <v>42</v>
      </c>
      <c r="N1125" s="401" t="s">
        <v>8855</v>
      </c>
      <c r="O1125" s="51"/>
      <c r="P1125" s="906" t="s">
        <v>8856</v>
      </c>
      <c r="Q1125" s="51" t="s">
        <v>8857</v>
      </c>
      <c r="R1125" s="613">
        <v>19</v>
      </c>
      <c r="S1125" s="613">
        <v>32</v>
      </c>
      <c r="T1125" s="614" t="s">
        <v>67</v>
      </c>
      <c r="U1125" s="614">
        <v>1</v>
      </c>
      <c r="V1125" s="615">
        <f t="shared" si="31"/>
        <v>300</v>
      </c>
      <c r="W1125" s="614" t="s">
        <v>350</v>
      </c>
      <c r="X1125" s="616" t="s">
        <v>8858</v>
      </c>
      <c r="Y1125" s="199" t="s">
        <v>7004</v>
      </c>
      <c r="Z1125" s="565"/>
      <c r="AA1125" s="907" t="s">
        <v>7817</v>
      </c>
      <c r="AB1125" s="908" t="s">
        <v>2170</v>
      </c>
      <c r="AC1125" s="619">
        <v>5514</v>
      </c>
    </row>
    <row r="1126" spans="1:29" s="200" customFormat="1" ht="130.5" customHeight="1" x14ac:dyDescent="0.25">
      <c r="A1126" s="566">
        <v>45635</v>
      </c>
      <c r="B1126" s="884"/>
      <c r="C1126" s="596" t="s">
        <v>8859</v>
      </c>
      <c r="D1126" s="596" t="s">
        <v>8860</v>
      </c>
      <c r="E1126" s="607" t="s">
        <v>39</v>
      </c>
      <c r="F1126" s="19">
        <v>1</v>
      </c>
      <c r="G1126" s="608"/>
      <c r="H1126" s="608"/>
      <c r="I1126" s="245" t="s">
        <v>8861</v>
      </c>
      <c r="J1126" s="609">
        <v>2</v>
      </c>
      <c r="K1126" s="720" t="s">
        <v>8862</v>
      </c>
      <c r="L1126" s="611" t="s">
        <v>63</v>
      </c>
      <c r="M1126" s="42" t="s">
        <v>42</v>
      </c>
      <c r="N1126" s="401" t="s">
        <v>8863</v>
      </c>
      <c r="O1126" s="49" t="s">
        <v>8864</v>
      </c>
      <c r="P1126" s="906" t="s">
        <v>8865</v>
      </c>
      <c r="Q1126" s="49" t="s">
        <v>8866</v>
      </c>
      <c r="R1126" s="613">
        <v>33</v>
      </c>
      <c r="S1126" s="613">
        <v>172</v>
      </c>
      <c r="T1126" s="614" t="s">
        <v>47</v>
      </c>
      <c r="U1126" s="614">
        <v>56</v>
      </c>
      <c r="V1126" s="615">
        <f t="shared" si="31"/>
        <v>112</v>
      </c>
      <c r="W1126" s="614" t="s">
        <v>510</v>
      </c>
      <c r="X1126" s="616" t="s">
        <v>8867</v>
      </c>
      <c r="Y1126" s="199" t="s">
        <v>82</v>
      </c>
      <c r="Z1126" s="784"/>
      <c r="AA1126" s="617" t="s">
        <v>2700</v>
      </c>
      <c r="AB1126" s="618" t="s">
        <v>2576</v>
      </c>
      <c r="AC1126" s="619">
        <v>2767</v>
      </c>
    </row>
    <row r="1127" spans="1:29" s="200" customFormat="1" ht="147.75" customHeight="1" x14ac:dyDescent="0.25">
      <c r="A1127" s="566">
        <v>45635</v>
      </c>
      <c r="B1127" s="884"/>
      <c r="C1127" s="41" t="s">
        <v>8868</v>
      </c>
      <c r="D1127" s="41"/>
      <c r="E1127" s="42" t="s">
        <v>39</v>
      </c>
      <c r="F1127" s="467"/>
      <c r="G1127" s="19">
        <v>1</v>
      </c>
      <c r="H1127" s="43"/>
      <c r="I1127" s="245" t="s">
        <v>8869</v>
      </c>
      <c r="J1127" s="45">
        <v>20</v>
      </c>
      <c r="K1127" s="46" t="s">
        <v>2571</v>
      </c>
      <c r="L1127" s="47" t="s">
        <v>63</v>
      </c>
      <c r="M1127" s="42" t="s">
        <v>42</v>
      </c>
      <c r="N1127" s="77" t="s">
        <v>8870</v>
      </c>
      <c r="O1127" s="49" t="s">
        <v>8871</v>
      </c>
      <c r="P1127" s="49" t="s">
        <v>8872</v>
      </c>
      <c r="Q1127" s="51" t="s">
        <v>8873</v>
      </c>
      <c r="R1127" s="50">
        <v>45</v>
      </c>
      <c r="S1127" s="50">
        <v>222</v>
      </c>
      <c r="T1127" s="51" t="s">
        <v>47</v>
      </c>
      <c r="U1127" s="51">
        <v>9</v>
      </c>
      <c r="V1127" s="52">
        <f t="shared" si="31"/>
        <v>180</v>
      </c>
      <c r="W1127" s="51" t="s">
        <v>350</v>
      </c>
      <c r="X1127" s="198" t="s">
        <v>8852</v>
      </c>
      <c r="Y1127" s="691" t="s">
        <v>50</v>
      </c>
      <c r="Z1127" s="565"/>
      <c r="AA1127" s="170" t="s">
        <v>7651</v>
      </c>
      <c r="AB1127" s="243" t="s">
        <v>1016</v>
      </c>
      <c r="AC1127" s="172">
        <v>3336.8</v>
      </c>
    </row>
    <row r="1128" spans="1:29" s="200" customFormat="1" ht="99" customHeight="1" x14ac:dyDescent="0.25">
      <c r="A1128" s="566">
        <v>45635</v>
      </c>
      <c r="B1128" s="884"/>
      <c r="C1128" s="41" t="s">
        <v>8874</v>
      </c>
      <c r="D1128" s="273"/>
      <c r="E1128" s="873" t="s">
        <v>39</v>
      </c>
      <c r="F1128" s="467"/>
      <c r="G1128" s="19">
        <v>1</v>
      </c>
      <c r="H1128" s="43"/>
      <c r="I1128" s="245" t="s">
        <v>8875</v>
      </c>
      <c r="J1128" s="45">
        <v>15</v>
      </c>
      <c r="K1128" s="46" t="s">
        <v>2571</v>
      </c>
      <c r="L1128" s="47" t="s">
        <v>63</v>
      </c>
      <c r="M1128" s="637" t="s">
        <v>8418</v>
      </c>
      <c r="N1128" s="77" t="s">
        <v>8876</v>
      </c>
      <c r="O1128" s="49" t="s">
        <v>8877</v>
      </c>
      <c r="P1128" s="49" t="s">
        <v>8878</v>
      </c>
      <c r="Q1128" s="51" t="s">
        <v>8879</v>
      </c>
      <c r="R1128" s="50">
        <v>23</v>
      </c>
      <c r="S1128" s="50">
        <v>136</v>
      </c>
      <c r="T1128" s="51" t="s">
        <v>47</v>
      </c>
      <c r="U1128" s="51">
        <v>103</v>
      </c>
      <c r="V1128" s="52">
        <f t="shared" si="31"/>
        <v>1545</v>
      </c>
      <c r="W1128" s="51" t="s">
        <v>142</v>
      </c>
      <c r="X1128" s="198" t="s">
        <v>8880</v>
      </c>
      <c r="Y1128" s="199" t="s">
        <v>82</v>
      </c>
      <c r="Z1128" s="909" t="s">
        <v>8881</v>
      </c>
      <c r="AA1128" s="170" t="s">
        <v>1346</v>
      </c>
      <c r="AB1128" s="243" t="s">
        <v>8799</v>
      </c>
      <c r="AC1128" s="172">
        <v>3486</v>
      </c>
    </row>
    <row r="1129" spans="1:29" s="200" customFormat="1" ht="121.5" customHeight="1" x14ac:dyDescent="0.25">
      <c r="A1129" s="247" t="s">
        <v>8882</v>
      </c>
      <c r="C1129" s="910" t="s">
        <v>8883</v>
      </c>
      <c r="D1129" s="910" t="s">
        <v>8884</v>
      </c>
      <c r="E1129" s="911" t="s">
        <v>39</v>
      </c>
      <c r="F1129" s="912"/>
      <c r="G1129" s="912"/>
      <c r="H1129" s="19" t="s">
        <v>1877</v>
      </c>
      <c r="I1129" s="913" t="s">
        <v>8885</v>
      </c>
      <c r="J1129" s="914">
        <v>1</v>
      </c>
      <c r="K1129" s="747" t="s">
        <v>8886</v>
      </c>
      <c r="L1129" s="845" t="s">
        <v>63</v>
      </c>
      <c r="M1129" s="915" t="s">
        <v>42</v>
      </c>
      <c r="N1129" s="748" t="s">
        <v>8811</v>
      </c>
      <c r="O1129" s="593"/>
      <c r="P1129" s="593"/>
      <c r="Q1129" s="593"/>
      <c r="R1129" s="594">
        <v>136</v>
      </c>
      <c r="S1129" s="594">
        <v>964</v>
      </c>
      <c r="T1129" s="587" t="s">
        <v>582</v>
      </c>
      <c r="U1129" s="587">
        <v>39</v>
      </c>
      <c r="V1129" s="732">
        <f t="shared" si="31"/>
        <v>39</v>
      </c>
      <c r="W1129" s="587" t="s">
        <v>350</v>
      </c>
      <c r="X1129" s="198" t="s">
        <v>1004</v>
      </c>
      <c r="Y1129" s="199" t="s">
        <v>82</v>
      </c>
      <c r="Z1129" s="565"/>
      <c r="AA1129" s="170" t="s">
        <v>2064</v>
      </c>
      <c r="AB1129" s="243" t="s">
        <v>2310</v>
      </c>
      <c r="AC1129" s="35">
        <v>0</v>
      </c>
    </row>
    <row r="1130" spans="1:29" s="200" customFormat="1" ht="201.75" customHeight="1" x14ac:dyDescent="0.25">
      <c r="A1130" s="566">
        <v>45632</v>
      </c>
      <c r="B1130" s="884"/>
      <c r="C1130" s="866" t="s">
        <v>8887</v>
      </c>
      <c r="D1130" s="916" t="s">
        <v>8888</v>
      </c>
      <c r="E1130" s="587" t="s">
        <v>39</v>
      </c>
      <c r="F1130" s="812"/>
      <c r="G1130" s="812"/>
      <c r="H1130" s="19">
        <v>1</v>
      </c>
      <c r="I1130" s="599" t="s">
        <v>8889</v>
      </c>
      <c r="J1130" s="589">
        <v>1</v>
      </c>
      <c r="K1130" s="672" t="s">
        <v>8890</v>
      </c>
      <c r="L1130" s="591" t="s">
        <v>63</v>
      </c>
      <c r="M1130" s="917" t="s">
        <v>42</v>
      </c>
      <c r="N1130" s="592" t="s">
        <v>8891</v>
      </c>
      <c r="O1130" s="918" t="s">
        <v>8892</v>
      </c>
      <c r="P1130" s="918" t="s">
        <v>8893</v>
      </c>
      <c r="Q1130" s="594" t="s">
        <v>8873</v>
      </c>
      <c r="R1130" s="594">
        <v>99</v>
      </c>
      <c r="S1130" s="594">
        <v>357</v>
      </c>
      <c r="T1130" s="587" t="s">
        <v>180</v>
      </c>
      <c r="U1130" s="587">
        <v>7</v>
      </c>
      <c r="V1130" s="732">
        <f t="shared" si="31"/>
        <v>7</v>
      </c>
      <c r="W1130" s="587" t="s">
        <v>221</v>
      </c>
      <c r="X1130" s="198" t="s">
        <v>8894</v>
      </c>
      <c r="Y1130" s="691" t="s">
        <v>50</v>
      </c>
      <c r="Z1130" s="919"/>
      <c r="AA1130" s="420" t="s">
        <v>8895</v>
      </c>
      <c r="AB1130" s="920">
        <v>45597</v>
      </c>
      <c r="AC1130" s="921">
        <f>(6735*1/10)</f>
        <v>673.5</v>
      </c>
    </row>
    <row r="1131" spans="1:29" ht="201.75" customHeight="1" x14ac:dyDescent="0.25">
      <c r="A1131" s="566">
        <v>45632</v>
      </c>
      <c r="B1131" s="884"/>
      <c r="C1131" s="866" t="s">
        <v>8896</v>
      </c>
      <c r="D1131" s="916" t="s">
        <v>8888</v>
      </c>
      <c r="E1131" s="677" t="s">
        <v>39</v>
      </c>
      <c r="F1131" s="867"/>
      <c r="G1131" s="867"/>
      <c r="H1131" s="19">
        <v>1</v>
      </c>
      <c r="I1131" s="599" t="s">
        <v>8897</v>
      </c>
      <c r="J1131" s="868">
        <v>9</v>
      </c>
      <c r="K1131" s="922" t="s">
        <v>8898</v>
      </c>
      <c r="L1131" s="855" t="s">
        <v>63</v>
      </c>
      <c r="M1131" s="923" t="s">
        <v>42</v>
      </c>
      <c r="N1131" s="680" t="s">
        <v>8899</v>
      </c>
      <c r="O1131" s="918" t="s">
        <v>8900</v>
      </c>
      <c r="P1131" s="918" t="s">
        <v>8901</v>
      </c>
      <c r="Q1131" s="594" t="s">
        <v>8902</v>
      </c>
      <c r="R1131" s="674">
        <v>99</v>
      </c>
      <c r="S1131" s="674">
        <v>357</v>
      </c>
      <c r="T1131" s="677" t="s">
        <v>180</v>
      </c>
      <c r="U1131" s="677">
        <v>7</v>
      </c>
      <c r="V1131" s="678">
        <f t="shared" si="31"/>
        <v>63</v>
      </c>
      <c r="W1131" s="677" t="s">
        <v>221</v>
      </c>
      <c r="X1131" s="616" t="s">
        <v>8894</v>
      </c>
      <c r="Y1131" s="829" t="s">
        <v>50</v>
      </c>
      <c r="Z1131" s="924"/>
      <c r="AA1131" s="693" t="s">
        <v>8895</v>
      </c>
      <c r="AB1131" s="925">
        <v>45597</v>
      </c>
      <c r="AC1131" s="926">
        <f>1150+(6735*9/10)</f>
        <v>7211.5</v>
      </c>
    </row>
    <row r="1132" spans="1:29" s="200" customFormat="1" ht="47.25" customHeight="1" x14ac:dyDescent="0.25">
      <c r="A1132" s="566">
        <v>45632</v>
      </c>
      <c r="B1132" s="884"/>
      <c r="C1132" s="596" t="s">
        <v>8903</v>
      </c>
      <c r="D1132" s="596"/>
      <c r="E1132" s="607" t="s">
        <v>39</v>
      </c>
      <c r="F1132" s="927"/>
      <c r="G1132" s="927"/>
      <c r="H1132" s="19">
        <v>1</v>
      </c>
      <c r="I1132" s="599" t="s">
        <v>8904</v>
      </c>
      <c r="J1132" s="928">
        <v>10</v>
      </c>
      <c r="K1132" s="929" t="s">
        <v>8905</v>
      </c>
      <c r="L1132" s="611" t="s">
        <v>63</v>
      </c>
      <c r="M1132" s="835" t="s">
        <v>42</v>
      </c>
      <c r="N1132" s="930" t="s">
        <v>8906</v>
      </c>
      <c r="O1132" s="931" t="s">
        <v>8907</v>
      </c>
      <c r="P1132" s="702"/>
      <c r="Q1132" s="50" t="s">
        <v>8908</v>
      </c>
      <c r="R1132" s="613">
        <v>4</v>
      </c>
      <c r="S1132" s="613">
        <v>19</v>
      </c>
      <c r="T1132" s="614" t="s">
        <v>96</v>
      </c>
      <c r="U1132" s="614">
        <v>0</v>
      </c>
      <c r="V1132" s="615">
        <f t="shared" si="31"/>
        <v>0</v>
      </c>
      <c r="W1132" s="614" t="s">
        <v>350</v>
      </c>
      <c r="X1132" s="616" t="s">
        <v>2046</v>
      </c>
      <c r="Y1132" s="932" t="s">
        <v>8161</v>
      </c>
      <c r="Z1132" s="933" t="s">
        <v>483</v>
      </c>
      <c r="AA1132" s="934" t="s">
        <v>2984</v>
      </c>
      <c r="AB1132" s="935" t="s">
        <v>8909</v>
      </c>
      <c r="AC1132" s="667">
        <v>2579</v>
      </c>
    </row>
    <row r="1133" spans="1:29" s="200" customFormat="1" ht="78" customHeight="1" x14ac:dyDescent="0.25">
      <c r="A1133" s="566">
        <v>45632</v>
      </c>
      <c r="B1133" s="884"/>
      <c r="C1133" s="866" t="s">
        <v>8910</v>
      </c>
      <c r="D1133" s="866"/>
      <c r="E1133" s="677" t="s">
        <v>39</v>
      </c>
      <c r="F1133" s="19">
        <v>1</v>
      </c>
      <c r="G1133" s="867"/>
      <c r="H1133" s="867"/>
      <c r="I1133" s="599" t="s">
        <v>8911</v>
      </c>
      <c r="J1133" s="868">
        <v>2</v>
      </c>
      <c r="K1133" s="936" t="s">
        <v>8912</v>
      </c>
      <c r="L1133" s="855" t="s">
        <v>63</v>
      </c>
      <c r="M1133" s="923" t="s">
        <v>42</v>
      </c>
      <c r="N1133" s="937" t="s">
        <v>8913</v>
      </c>
      <c r="O1133" s="593" t="s">
        <v>8914</v>
      </c>
      <c r="P1133" s="593" t="s">
        <v>8915</v>
      </c>
      <c r="Q1133" s="911" t="s">
        <v>8916</v>
      </c>
      <c r="R1133" s="674">
        <v>111</v>
      </c>
      <c r="S1133" s="674">
        <v>434</v>
      </c>
      <c r="T1133" s="677" t="s">
        <v>180</v>
      </c>
      <c r="U1133" s="677">
        <v>10</v>
      </c>
      <c r="V1133" s="678">
        <f t="shared" si="31"/>
        <v>20</v>
      </c>
      <c r="W1133" s="677" t="s">
        <v>221</v>
      </c>
      <c r="X1133" s="616" t="s">
        <v>8894</v>
      </c>
      <c r="Y1133" s="199" t="s">
        <v>50</v>
      </c>
      <c r="Z1133" s="784"/>
      <c r="AA1133" s="529" t="s">
        <v>3047</v>
      </c>
      <c r="AB1133" s="938" t="s">
        <v>8917</v>
      </c>
      <c r="AC1133" s="619">
        <v>4854</v>
      </c>
    </row>
    <row r="1134" spans="1:29" s="200" customFormat="1" ht="74.25" customHeight="1" x14ac:dyDescent="0.25">
      <c r="A1134" s="566">
        <v>45632</v>
      </c>
      <c r="B1134" s="884"/>
      <c r="C1134" s="494" t="s">
        <v>8918</v>
      </c>
      <c r="D1134" s="494"/>
      <c r="E1134" s="495" t="s">
        <v>39</v>
      </c>
      <c r="F1134" s="19">
        <v>1</v>
      </c>
      <c r="G1134" s="496"/>
      <c r="H1134" s="496"/>
      <c r="I1134" s="245" t="s">
        <v>8919</v>
      </c>
      <c r="J1134" s="499">
        <v>9</v>
      </c>
      <c r="K1134" s="939" t="s">
        <v>8920</v>
      </c>
      <c r="L1134" s="500" t="s">
        <v>63</v>
      </c>
      <c r="M1134" s="495" t="s">
        <v>42</v>
      </c>
      <c r="N1134" s="940" t="s">
        <v>8921</v>
      </c>
      <c r="O1134" s="503" t="s">
        <v>8922</v>
      </c>
      <c r="P1134" s="503" t="s">
        <v>8923</v>
      </c>
      <c r="Q1134" s="941" t="s">
        <v>8924</v>
      </c>
      <c r="R1134" s="504">
        <v>100</v>
      </c>
      <c r="S1134" s="504">
        <v>291</v>
      </c>
      <c r="T1134" s="495" t="s">
        <v>47</v>
      </c>
      <c r="U1134" s="495">
        <v>8</v>
      </c>
      <c r="V1134" s="505">
        <f t="shared" si="31"/>
        <v>72</v>
      </c>
      <c r="W1134" s="495" t="s">
        <v>350</v>
      </c>
      <c r="X1134" s="198" t="s">
        <v>8925</v>
      </c>
      <c r="Y1134" s="691" t="s">
        <v>50</v>
      </c>
      <c r="Z1134" s="565"/>
      <c r="AA1134" s="170" t="s">
        <v>2710</v>
      </c>
      <c r="AB1134" s="243" t="s">
        <v>2535</v>
      </c>
      <c r="AC1134" s="172">
        <v>10723.29</v>
      </c>
    </row>
    <row r="1135" spans="1:29" ht="393.75" x14ac:dyDescent="0.25">
      <c r="A1135" s="566">
        <v>45631</v>
      </c>
      <c r="B1135" s="566"/>
      <c r="C1135" s="669" t="s">
        <v>8926</v>
      </c>
      <c r="D1135" s="942"/>
      <c r="E1135" s="677" t="s">
        <v>39</v>
      </c>
      <c r="F1135" s="19">
        <v>1</v>
      </c>
      <c r="G1135" s="867"/>
      <c r="H1135" s="867"/>
      <c r="I1135" s="245" t="s">
        <v>8927</v>
      </c>
      <c r="J1135" s="868">
        <v>25</v>
      </c>
      <c r="K1135" s="943" t="s">
        <v>8928</v>
      </c>
      <c r="L1135" s="855" t="s">
        <v>63</v>
      </c>
      <c r="M1135" s="923" t="s">
        <v>42</v>
      </c>
      <c r="N1135" s="680" t="s">
        <v>8929</v>
      </c>
      <c r="O1135" s="593" t="s">
        <v>8930</v>
      </c>
      <c r="P1135" s="944" t="s">
        <v>8931</v>
      </c>
      <c r="Q1135" s="587" t="s">
        <v>8932</v>
      </c>
      <c r="R1135" s="674">
        <v>152</v>
      </c>
      <c r="S1135" s="674">
        <v>570</v>
      </c>
      <c r="T1135" s="677" t="s">
        <v>141</v>
      </c>
      <c r="U1135" s="677">
        <v>31</v>
      </c>
      <c r="V1135" s="678">
        <f t="shared" si="31"/>
        <v>775</v>
      </c>
      <c r="W1135" s="677" t="s">
        <v>350</v>
      </c>
      <c r="X1135" s="616" t="s">
        <v>6337</v>
      </c>
      <c r="Y1135" s="199" t="s">
        <v>82</v>
      </c>
      <c r="Z1135" s="427"/>
      <c r="AA1135" s="945" t="s">
        <v>2700</v>
      </c>
      <c r="AB1135" s="737" t="s">
        <v>1394</v>
      </c>
      <c r="AC1135" s="946">
        <v>13175</v>
      </c>
    </row>
    <row r="1136" spans="1:29" s="200" customFormat="1" ht="225" customHeight="1" x14ac:dyDescent="0.25">
      <c r="A1136" s="566">
        <v>45631</v>
      </c>
      <c r="B1136" s="884"/>
      <c r="C1136" s="866" t="s">
        <v>8678</v>
      </c>
      <c r="D1136" s="947" t="s">
        <v>8679</v>
      </c>
      <c r="E1136" s="677" t="s">
        <v>39</v>
      </c>
      <c r="F1136" s="867"/>
      <c r="G1136" s="867"/>
      <c r="H1136" s="19">
        <v>1</v>
      </c>
      <c r="I1136" s="245" t="s">
        <v>8933</v>
      </c>
      <c r="J1136" s="868">
        <v>31</v>
      </c>
      <c r="K1136" s="869" t="s">
        <v>8934</v>
      </c>
      <c r="L1136" s="855" t="s">
        <v>63</v>
      </c>
      <c r="M1136" s="587" t="s">
        <v>42</v>
      </c>
      <c r="N1136" s="680" t="s">
        <v>8681</v>
      </c>
      <c r="O1136" s="944" t="s">
        <v>8935</v>
      </c>
      <c r="P1136" s="593" t="s">
        <v>8936</v>
      </c>
      <c r="Q1136" s="593" t="s">
        <v>8684</v>
      </c>
      <c r="R1136" s="674">
        <v>57</v>
      </c>
      <c r="S1136" s="674">
        <v>469</v>
      </c>
      <c r="T1136" s="677" t="s">
        <v>47</v>
      </c>
      <c r="U1136" s="677">
        <v>38</v>
      </c>
      <c r="V1136" s="678">
        <f t="shared" si="31"/>
        <v>1178</v>
      </c>
      <c r="W1136" s="677" t="s">
        <v>350</v>
      </c>
      <c r="X1136" s="616" t="s">
        <v>8685</v>
      </c>
      <c r="Y1136" s="199" t="s">
        <v>82</v>
      </c>
      <c r="Z1136" s="870" t="s">
        <v>8686</v>
      </c>
      <c r="AA1136" s="617" t="s">
        <v>2710</v>
      </c>
      <c r="AB1136" s="618" t="s">
        <v>8687</v>
      </c>
      <c r="AC1136" s="631">
        <f>1150+(14250*31/50)</f>
        <v>9985</v>
      </c>
    </row>
    <row r="1137" spans="1:29" s="200" customFormat="1" ht="75" x14ac:dyDescent="0.25">
      <c r="A1137" s="566">
        <v>45630</v>
      </c>
      <c r="B1137" s="884"/>
      <c r="C1137" s="947" t="s">
        <v>8937</v>
      </c>
      <c r="D1137" s="866"/>
      <c r="E1137" s="677" t="s">
        <v>39</v>
      </c>
      <c r="F1137" s="867"/>
      <c r="G1137" s="867"/>
      <c r="H1137" s="19">
        <v>1</v>
      </c>
      <c r="I1137" s="245" t="s">
        <v>8938</v>
      </c>
      <c r="J1137" s="868">
        <v>20</v>
      </c>
      <c r="K1137" s="936" t="s">
        <v>8939</v>
      </c>
      <c r="L1137" s="855" t="s">
        <v>63</v>
      </c>
      <c r="M1137" s="923" t="s">
        <v>42</v>
      </c>
      <c r="N1137" s="680" t="s">
        <v>8940</v>
      </c>
      <c r="O1137" s="593" t="s">
        <v>8930</v>
      </c>
      <c r="P1137" s="593" t="s">
        <v>8941</v>
      </c>
      <c r="Q1137" s="587" t="s">
        <v>8942</v>
      </c>
      <c r="R1137" s="674">
        <v>29</v>
      </c>
      <c r="S1137" s="674">
        <v>48</v>
      </c>
      <c r="T1137" s="677" t="s">
        <v>47</v>
      </c>
      <c r="U1137" s="677">
        <v>1</v>
      </c>
      <c r="V1137" s="678">
        <f t="shared" si="31"/>
        <v>20</v>
      </c>
      <c r="W1137" s="677" t="s">
        <v>350</v>
      </c>
      <c r="X1137" s="616" t="s">
        <v>8943</v>
      </c>
      <c r="Y1137" s="691" t="s">
        <v>50</v>
      </c>
      <c r="Z1137" s="565"/>
      <c r="AA1137" s="617" t="s">
        <v>8755</v>
      </c>
      <c r="AB1137" s="618" t="s">
        <v>2535</v>
      </c>
      <c r="AC1137" s="619">
        <v>4740</v>
      </c>
    </row>
    <row r="1138" spans="1:29" s="200" customFormat="1" ht="122.25" customHeight="1" x14ac:dyDescent="0.25">
      <c r="A1138" s="566">
        <v>45630</v>
      </c>
      <c r="B1138" s="566"/>
      <c r="C1138" s="669" t="s">
        <v>8944</v>
      </c>
      <c r="D1138" s="948"/>
      <c r="E1138" s="677" t="s">
        <v>39</v>
      </c>
      <c r="F1138" s="867"/>
      <c r="G1138" s="867"/>
      <c r="H1138" s="19">
        <v>1</v>
      </c>
      <c r="I1138" s="599" t="s">
        <v>8945</v>
      </c>
      <c r="J1138" s="868">
        <v>10</v>
      </c>
      <c r="K1138" s="922" t="s">
        <v>8946</v>
      </c>
      <c r="L1138" s="855" t="s">
        <v>63</v>
      </c>
      <c r="M1138" s="923" t="s">
        <v>42</v>
      </c>
      <c r="N1138" s="680" t="s">
        <v>8947</v>
      </c>
      <c r="O1138" s="593" t="s">
        <v>8948</v>
      </c>
      <c r="P1138" s="944" t="s">
        <v>8949</v>
      </c>
      <c r="Q1138" s="587" t="s">
        <v>8950</v>
      </c>
      <c r="R1138" s="674">
        <v>68</v>
      </c>
      <c r="S1138" s="674">
        <v>236</v>
      </c>
      <c r="T1138" s="677" t="s">
        <v>47</v>
      </c>
      <c r="U1138" s="677">
        <v>7</v>
      </c>
      <c r="V1138" s="678">
        <f t="shared" si="31"/>
        <v>70</v>
      </c>
      <c r="W1138" s="677" t="s">
        <v>221</v>
      </c>
      <c r="X1138" s="616" t="s">
        <v>8894</v>
      </c>
      <c r="Y1138" s="199" t="s">
        <v>50</v>
      </c>
      <c r="Z1138" s="784"/>
      <c r="AA1138" s="665" t="s">
        <v>3047</v>
      </c>
      <c r="AB1138" s="666" t="s">
        <v>2993</v>
      </c>
      <c r="AC1138" s="619">
        <v>9140</v>
      </c>
    </row>
    <row r="1139" spans="1:29" s="200" customFormat="1" ht="76.5" x14ac:dyDescent="0.25">
      <c r="A1139" s="566">
        <v>45629</v>
      </c>
      <c r="B1139" s="884"/>
      <c r="C1139" s="586" t="s">
        <v>8951</v>
      </c>
      <c r="D1139" s="586"/>
      <c r="E1139" s="587" t="s">
        <v>39</v>
      </c>
      <c r="F1139" s="588"/>
      <c r="G1139" s="588"/>
      <c r="H1139" s="19">
        <v>1</v>
      </c>
      <c r="I1139" s="245" t="s">
        <v>8952</v>
      </c>
      <c r="J1139" s="589">
        <v>5</v>
      </c>
      <c r="K1139" s="673" t="s">
        <v>8953</v>
      </c>
      <c r="L1139" s="591" t="s">
        <v>63</v>
      </c>
      <c r="M1139" s="923" t="s">
        <v>42</v>
      </c>
      <c r="N1139" s="592" t="s">
        <v>8954</v>
      </c>
      <c r="O1139" s="593" t="s">
        <v>7870</v>
      </c>
      <c r="P1139" s="593" t="s">
        <v>8955</v>
      </c>
      <c r="Q1139" s="593" t="s">
        <v>8956</v>
      </c>
      <c r="R1139" s="594">
        <v>37</v>
      </c>
      <c r="S1139" s="594">
        <v>122</v>
      </c>
      <c r="T1139" s="587" t="s">
        <v>47</v>
      </c>
      <c r="U1139" s="587">
        <v>17</v>
      </c>
      <c r="V1139" s="732">
        <f t="shared" si="31"/>
        <v>85</v>
      </c>
      <c r="W1139" s="587" t="s">
        <v>350</v>
      </c>
      <c r="X1139" s="198" t="s">
        <v>8957</v>
      </c>
      <c r="Y1139" s="199" t="s">
        <v>7004</v>
      </c>
      <c r="Z1139" s="565"/>
      <c r="AA1139" s="170" t="s">
        <v>1346</v>
      </c>
      <c r="AB1139" s="243" t="s">
        <v>2403</v>
      </c>
      <c r="AC1139" s="172">
        <v>4240</v>
      </c>
    </row>
    <row r="1140" spans="1:29" s="200" customFormat="1" ht="105" customHeight="1" x14ac:dyDescent="0.25">
      <c r="A1140" s="566">
        <v>45629</v>
      </c>
      <c r="B1140" s="884"/>
      <c r="C1140" s="866" t="s">
        <v>8958</v>
      </c>
      <c r="D1140" s="949" t="s">
        <v>8959</v>
      </c>
      <c r="E1140" s="677" t="s">
        <v>39</v>
      </c>
      <c r="F1140" s="19">
        <v>1</v>
      </c>
      <c r="G1140" s="950"/>
      <c r="H1140" s="950"/>
      <c r="I1140" s="245" t="s">
        <v>8960</v>
      </c>
      <c r="J1140" s="868">
        <v>15</v>
      </c>
      <c r="K1140" s="951" t="s">
        <v>8961</v>
      </c>
      <c r="L1140" s="855" t="s">
        <v>63</v>
      </c>
      <c r="M1140" s="923" t="s">
        <v>42</v>
      </c>
      <c r="N1140" s="680" t="s">
        <v>240</v>
      </c>
      <c r="O1140" s="593" t="s">
        <v>8962</v>
      </c>
      <c r="P1140" s="593" t="s">
        <v>8955</v>
      </c>
      <c r="Q1140" s="587" t="s">
        <v>8963</v>
      </c>
      <c r="R1140" s="674">
        <v>21</v>
      </c>
      <c r="S1140" s="674">
        <v>281</v>
      </c>
      <c r="T1140" s="677" t="s">
        <v>47</v>
      </c>
      <c r="U1140" s="677">
        <v>22</v>
      </c>
      <c r="V1140" s="678">
        <f t="shared" si="31"/>
        <v>330</v>
      </c>
      <c r="W1140" s="677" t="s">
        <v>350</v>
      </c>
      <c r="X1140" s="616" t="s">
        <v>8964</v>
      </c>
      <c r="Y1140" s="199" t="s">
        <v>50</v>
      </c>
      <c r="Z1140" s="565"/>
      <c r="AA1140" s="617" t="s">
        <v>8711</v>
      </c>
      <c r="AB1140" s="618" t="s">
        <v>8965</v>
      </c>
      <c r="AC1140" s="619">
        <v>5387.5</v>
      </c>
    </row>
    <row r="1141" spans="1:29" s="12" customFormat="1" ht="48.75" customHeight="1" x14ac:dyDescent="0.25">
      <c r="A1141" s="566">
        <v>45629</v>
      </c>
      <c r="B1141" s="884"/>
      <c r="C1141" s="952" t="s">
        <v>8966</v>
      </c>
      <c r="D1141" s="41"/>
      <c r="E1141" s="42" t="s">
        <v>195</v>
      </c>
      <c r="F1141" s="953"/>
      <c r="G1141" s="953"/>
      <c r="H1141" s="954"/>
      <c r="I1141" s="245" t="s">
        <v>8967</v>
      </c>
      <c r="J1141" s="955">
        <v>5</v>
      </c>
      <c r="K1141" s="701" t="s">
        <v>8968</v>
      </c>
      <c r="L1141" s="42" t="s">
        <v>42</v>
      </c>
      <c r="M1141" s="42" t="s">
        <v>42</v>
      </c>
      <c r="N1141" s="77" t="s">
        <v>8969</v>
      </c>
      <c r="O1141" s="234"/>
      <c r="P1141" s="234"/>
      <c r="Q1141" s="703"/>
      <c r="R1141" s="42">
        <v>0</v>
      </c>
      <c r="S1141" s="42">
        <v>0</v>
      </c>
      <c r="T1141" s="42"/>
      <c r="U1141" s="42">
        <v>130</v>
      </c>
      <c r="V1141" s="42">
        <v>650</v>
      </c>
      <c r="W1141" s="64" t="s">
        <v>68</v>
      </c>
      <c r="X1141" s="956" t="s">
        <v>1124</v>
      </c>
      <c r="Y1141" s="829" t="s">
        <v>50</v>
      </c>
      <c r="Z1141" s="830"/>
      <c r="AA1141" s="693" t="s">
        <v>2774</v>
      </c>
      <c r="AB1141" s="957">
        <v>45573</v>
      </c>
      <c r="AC1141" s="958">
        <v>4225</v>
      </c>
    </row>
    <row r="1142" spans="1:29" s="200" customFormat="1" ht="135" x14ac:dyDescent="0.25">
      <c r="A1142" s="566">
        <v>45628</v>
      </c>
      <c r="B1142" s="884"/>
      <c r="C1142" s="785" t="s">
        <v>8970</v>
      </c>
      <c r="D1142" s="785"/>
      <c r="E1142" s="786" t="s">
        <v>39</v>
      </c>
      <c r="F1142" s="19">
        <v>1</v>
      </c>
      <c r="G1142" s="959"/>
      <c r="H1142" s="959"/>
      <c r="I1142" s="245" t="s">
        <v>8971</v>
      </c>
      <c r="J1142" s="788">
        <v>6</v>
      </c>
      <c r="K1142" s="960" t="s">
        <v>8972</v>
      </c>
      <c r="L1142" s="790" t="s">
        <v>63</v>
      </c>
      <c r="M1142" s="786" t="s">
        <v>8973</v>
      </c>
      <c r="N1142" s="791" t="s">
        <v>8974</v>
      </c>
      <c r="O1142" s="792" t="s">
        <v>8975</v>
      </c>
      <c r="P1142" s="792"/>
      <c r="Q1142" s="792" t="s">
        <v>8976</v>
      </c>
      <c r="R1142" s="793">
        <v>15</v>
      </c>
      <c r="S1142" s="793">
        <v>27</v>
      </c>
      <c r="T1142" s="786" t="s">
        <v>96</v>
      </c>
      <c r="U1142" s="786">
        <v>13</v>
      </c>
      <c r="V1142" s="794">
        <f>U1142*J1142</f>
        <v>78</v>
      </c>
      <c r="W1142" s="495" t="s">
        <v>350</v>
      </c>
      <c r="X1142" s="198" t="s">
        <v>765</v>
      </c>
      <c r="Y1142" s="691" t="s">
        <v>50</v>
      </c>
      <c r="Z1142" s="565"/>
      <c r="AA1142" s="170" t="s">
        <v>2355</v>
      </c>
      <c r="AB1142" s="243" t="s">
        <v>2403</v>
      </c>
      <c r="AC1142" s="172">
        <v>6136.5</v>
      </c>
    </row>
    <row r="1143" spans="1:29" s="12" customFormat="1" ht="75" customHeight="1" x14ac:dyDescent="0.25">
      <c r="A1143" s="566">
        <v>45628</v>
      </c>
      <c r="B1143" s="884"/>
      <c r="C1143" s="821" t="s">
        <v>8501</v>
      </c>
      <c r="D1143" s="822" t="s">
        <v>8502</v>
      </c>
      <c r="E1143" s="84"/>
      <c r="F1143" s="823"/>
      <c r="G1143" s="823"/>
      <c r="H1143" s="824">
        <v>1</v>
      </c>
      <c r="I1143" s="825" t="s">
        <v>8977</v>
      </c>
      <c r="J1143" s="826">
        <v>30</v>
      </c>
      <c r="K1143" s="826" t="s">
        <v>8978</v>
      </c>
      <c r="L1143" s="42" t="s">
        <v>63</v>
      </c>
      <c r="M1143" s="42" t="s">
        <v>42</v>
      </c>
      <c r="N1143" s="77" t="s">
        <v>8979</v>
      </c>
      <c r="O1143" s="961" t="s">
        <v>8980</v>
      </c>
      <c r="P1143" s="962"/>
      <c r="Q1143" s="962" t="s">
        <v>8981</v>
      </c>
      <c r="R1143" s="84">
        <v>34</v>
      </c>
      <c r="S1143" s="84">
        <v>64</v>
      </c>
      <c r="T1143" s="84" t="s">
        <v>393</v>
      </c>
      <c r="U1143" s="84">
        <v>0</v>
      </c>
      <c r="V1143" s="84">
        <v>0</v>
      </c>
      <c r="W1143" s="64" t="s">
        <v>68</v>
      </c>
      <c r="X1143" s="828" t="s">
        <v>2234</v>
      </c>
      <c r="Y1143" s="829" t="s">
        <v>144</v>
      </c>
      <c r="Z1143" s="830"/>
      <c r="AA1143" s="582" t="s">
        <v>3336</v>
      </c>
      <c r="AB1143" s="957">
        <v>45560</v>
      </c>
      <c r="AC1143" s="963">
        <f>(2015 / 100) * 30</f>
        <v>604.5</v>
      </c>
    </row>
    <row r="1144" spans="1:29" ht="180" x14ac:dyDescent="0.25">
      <c r="A1144" s="566">
        <v>45623</v>
      </c>
      <c r="B1144" s="884"/>
      <c r="C1144" s="883" t="s">
        <v>8982</v>
      </c>
      <c r="D1144" s="596" t="s">
        <v>8983</v>
      </c>
      <c r="E1144" s="607" t="s">
        <v>39</v>
      </c>
      <c r="F1144" s="824">
        <v>1</v>
      </c>
      <c r="G1144" s="608"/>
      <c r="H1144" s="608"/>
      <c r="I1144" s="599" t="s">
        <v>8984</v>
      </c>
      <c r="J1144" s="609">
        <v>50</v>
      </c>
      <c r="K1144" s="610" t="s">
        <v>8985</v>
      </c>
      <c r="L1144" s="611" t="s">
        <v>63</v>
      </c>
      <c r="M1144" s="835" t="s">
        <v>42</v>
      </c>
      <c r="N1144" s="401" t="s">
        <v>8986</v>
      </c>
      <c r="O1144" s="234" t="s">
        <v>8987</v>
      </c>
      <c r="P1144" s="234" t="s">
        <v>8988</v>
      </c>
      <c r="Q1144" s="50" t="s">
        <v>8989</v>
      </c>
      <c r="R1144" s="613">
        <v>5</v>
      </c>
      <c r="S1144" s="613">
        <v>49</v>
      </c>
      <c r="T1144" s="614" t="s">
        <v>47</v>
      </c>
      <c r="U1144" s="614">
        <v>0</v>
      </c>
      <c r="V1144" s="615">
        <f t="shared" ref="V1144:V1159" si="32">U1144*J1144</f>
        <v>0</v>
      </c>
      <c r="W1144" s="615" t="s">
        <v>350</v>
      </c>
      <c r="X1144" s="836" t="s">
        <v>8990</v>
      </c>
      <c r="Y1144" s="736" t="s">
        <v>82</v>
      </c>
      <c r="Z1144" s="964"/>
      <c r="AA1144" s="837" t="s">
        <v>3237</v>
      </c>
      <c r="AB1144" s="965" t="s">
        <v>8991</v>
      </c>
      <c r="AC1144" s="838">
        <v>2860</v>
      </c>
    </row>
    <row r="1145" spans="1:29" s="200" customFormat="1" ht="61.5" customHeight="1" x14ac:dyDescent="0.25">
      <c r="A1145" s="566">
        <v>45623</v>
      </c>
      <c r="B1145" s="884"/>
      <c r="C1145" s="966" t="s">
        <v>8992</v>
      </c>
      <c r="D1145" s="866"/>
      <c r="E1145" s="677" t="s">
        <v>39</v>
      </c>
      <c r="F1145" s="19">
        <v>1</v>
      </c>
      <c r="G1145" s="867"/>
      <c r="H1145" s="867"/>
      <c r="I1145" s="245" t="s">
        <v>8993</v>
      </c>
      <c r="J1145" s="868">
        <v>10</v>
      </c>
      <c r="K1145" s="967" t="s">
        <v>8994</v>
      </c>
      <c r="L1145" s="855" t="s">
        <v>63</v>
      </c>
      <c r="M1145" s="923" t="s">
        <v>42</v>
      </c>
      <c r="N1145" s="680" t="s">
        <v>8995</v>
      </c>
      <c r="O1145" s="593" t="s">
        <v>8996</v>
      </c>
      <c r="P1145" s="944" t="s">
        <v>8997</v>
      </c>
      <c r="Q1145" s="587" t="s">
        <v>8998</v>
      </c>
      <c r="R1145" s="674">
        <v>42</v>
      </c>
      <c r="S1145" s="674">
        <v>149</v>
      </c>
      <c r="T1145" s="677" t="s">
        <v>47</v>
      </c>
      <c r="U1145" s="677">
        <v>0</v>
      </c>
      <c r="V1145" s="678">
        <f t="shared" si="32"/>
        <v>0</v>
      </c>
      <c r="W1145" s="677" t="s">
        <v>350</v>
      </c>
      <c r="X1145" s="616" t="s">
        <v>8943</v>
      </c>
      <c r="Y1145" s="691" t="s">
        <v>50</v>
      </c>
      <c r="Z1145" s="968" t="s">
        <v>8999</v>
      </c>
      <c r="AA1145" s="617" t="s">
        <v>8755</v>
      </c>
      <c r="AB1145" s="618" t="s">
        <v>9000</v>
      </c>
      <c r="AC1145" s="619">
        <v>4620</v>
      </c>
    </row>
    <row r="1146" spans="1:29" ht="135" x14ac:dyDescent="0.25">
      <c r="A1146" s="566">
        <v>45623</v>
      </c>
      <c r="B1146" s="884"/>
      <c r="C1146" s="494" t="s">
        <v>9001</v>
      </c>
      <c r="D1146" s="494"/>
      <c r="E1146" s="495" t="s">
        <v>39</v>
      </c>
      <c r="F1146" s="19">
        <v>1</v>
      </c>
      <c r="G1146" s="496"/>
      <c r="H1146" s="496"/>
      <c r="I1146" s="245" t="s">
        <v>9002</v>
      </c>
      <c r="J1146" s="499">
        <v>10</v>
      </c>
      <c r="K1146" s="498" t="s">
        <v>9003</v>
      </c>
      <c r="L1146" s="500" t="s">
        <v>63</v>
      </c>
      <c r="M1146" s="495" t="s">
        <v>42</v>
      </c>
      <c r="N1146" s="502" t="s">
        <v>9004</v>
      </c>
      <c r="O1146" s="503" t="s">
        <v>9005</v>
      </c>
      <c r="P1146" s="503"/>
      <c r="Q1146" s="495" t="s">
        <v>9006</v>
      </c>
      <c r="R1146" s="504">
        <v>56</v>
      </c>
      <c r="S1146" s="504">
        <v>167</v>
      </c>
      <c r="T1146" s="495" t="s">
        <v>96</v>
      </c>
      <c r="U1146" s="495">
        <v>5</v>
      </c>
      <c r="V1146" s="505">
        <f t="shared" si="32"/>
        <v>50</v>
      </c>
      <c r="W1146" s="495" t="s">
        <v>350</v>
      </c>
      <c r="X1146" s="198" t="s">
        <v>765</v>
      </c>
      <c r="Y1146" s="829" t="s">
        <v>50</v>
      </c>
      <c r="Z1146" s="427"/>
      <c r="AA1146" s="170" t="s">
        <v>1346</v>
      </c>
      <c r="AB1146" s="243" t="s">
        <v>2671</v>
      </c>
      <c r="AC1146" s="172">
        <v>8427.5</v>
      </c>
    </row>
    <row r="1147" spans="1:29" s="200" customFormat="1" ht="210" x14ac:dyDescent="0.25">
      <c r="A1147" s="566">
        <v>45623</v>
      </c>
      <c r="B1147" s="884"/>
      <c r="C1147" s="916" t="s">
        <v>9007</v>
      </c>
      <c r="D1147" s="866" t="s">
        <v>9008</v>
      </c>
      <c r="E1147" s="677" t="s">
        <v>39</v>
      </c>
      <c r="F1147" s="19">
        <v>1</v>
      </c>
      <c r="G1147" s="867"/>
      <c r="H1147" s="867"/>
      <c r="I1147" s="599" t="s">
        <v>9009</v>
      </c>
      <c r="J1147" s="868">
        <v>17</v>
      </c>
      <c r="K1147" s="869" t="s">
        <v>9010</v>
      </c>
      <c r="L1147" s="855" t="s">
        <v>63</v>
      </c>
      <c r="M1147" s="923" t="s">
        <v>42</v>
      </c>
      <c r="N1147" s="680" t="s">
        <v>9011</v>
      </c>
      <c r="O1147" s="969" t="s">
        <v>9012</v>
      </c>
      <c r="P1147" s="969" t="s">
        <v>9013</v>
      </c>
      <c r="Q1147" s="848" t="s">
        <v>9014</v>
      </c>
      <c r="R1147" s="674">
        <v>68</v>
      </c>
      <c r="S1147" s="674">
        <v>229</v>
      </c>
      <c r="T1147" s="677" t="s">
        <v>47</v>
      </c>
      <c r="U1147" s="677">
        <v>9</v>
      </c>
      <c r="V1147" s="678">
        <f t="shared" si="32"/>
        <v>153</v>
      </c>
      <c r="W1147" s="677" t="s">
        <v>221</v>
      </c>
      <c r="X1147" s="616" t="s">
        <v>8894</v>
      </c>
      <c r="Y1147" s="199" t="s">
        <v>50</v>
      </c>
      <c r="Z1147" s="970" t="s">
        <v>9015</v>
      </c>
      <c r="AA1147" s="529" t="s">
        <v>3047</v>
      </c>
      <c r="AB1147" s="938" t="s">
        <v>8917</v>
      </c>
      <c r="AC1147" s="619">
        <v>10380.6</v>
      </c>
    </row>
    <row r="1148" spans="1:29" s="200" customFormat="1" ht="122.25" customHeight="1" x14ac:dyDescent="0.25">
      <c r="A1148" s="566">
        <v>45623</v>
      </c>
      <c r="B1148" s="884"/>
      <c r="C1148" s="947" t="s">
        <v>9016</v>
      </c>
      <c r="D1148" s="971" t="s">
        <v>9017</v>
      </c>
      <c r="E1148" s="677" t="s">
        <v>39</v>
      </c>
      <c r="F1148" s="867"/>
      <c r="G1148" s="867"/>
      <c r="H1148" s="19">
        <v>1</v>
      </c>
      <c r="I1148" s="245" t="s">
        <v>9018</v>
      </c>
      <c r="J1148" s="589">
        <v>8</v>
      </c>
      <c r="K1148" s="922" t="s">
        <v>8994</v>
      </c>
      <c r="L1148" s="855" t="s">
        <v>63</v>
      </c>
      <c r="M1148" s="923" t="s">
        <v>42</v>
      </c>
      <c r="N1148" s="972" t="s">
        <v>9019</v>
      </c>
      <c r="O1148" s="593" t="s">
        <v>9020</v>
      </c>
      <c r="P1148" s="944" t="s">
        <v>9021</v>
      </c>
      <c r="Q1148" s="973" t="s">
        <v>9022</v>
      </c>
      <c r="R1148" s="974">
        <v>158</v>
      </c>
      <c r="S1148" s="974">
        <v>3059</v>
      </c>
      <c r="T1148" s="975" t="s">
        <v>141</v>
      </c>
      <c r="U1148" s="975">
        <v>31</v>
      </c>
      <c r="V1148" s="976">
        <f t="shared" si="32"/>
        <v>248</v>
      </c>
      <c r="W1148" s="677" t="s">
        <v>350</v>
      </c>
      <c r="X1148" s="616" t="s">
        <v>9023</v>
      </c>
      <c r="Y1148" s="199" t="s">
        <v>50</v>
      </c>
      <c r="Z1148" s="565"/>
      <c r="AA1148" s="617" t="s">
        <v>2734</v>
      </c>
      <c r="AB1148" s="618" t="s">
        <v>9000</v>
      </c>
      <c r="AC1148" s="619">
        <v>25785.599999999999</v>
      </c>
    </row>
    <row r="1149" spans="1:29" s="200" customFormat="1" ht="120" customHeight="1" x14ac:dyDescent="0.25">
      <c r="A1149" s="566">
        <v>45623</v>
      </c>
      <c r="B1149" s="884"/>
      <c r="C1149" s="682" t="s">
        <v>9024</v>
      </c>
      <c r="D1149" s="596" t="s">
        <v>9025</v>
      </c>
      <c r="E1149" s="607" t="s">
        <v>39</v>
      </c>
      <c r="F1149" s="608"/>
      <c r="G1149" s="608"/>
      <c r="H1149" s="19">
        <v>1</v>
      </c>
      <c r="I1149" s="245" t="s">
        <v>9026</v>
      </c>
      <c r="J1149" s="609">
        <v>50</v>
      </c>
      <c r="K1149" s="610" t="s">
        <v>9027</v>
      </c>
      <c r="L1149" s="611" t="s">
        <v>63</v>
      </c>
      <c r="M1149" s="42" t="s">
        <v>42</v>
      </c>
      <c r="N1149" s="401" t="s">
        <v>9028</v>
      </c>
      <c r="O1149" s="51" t="s">
        <v>9029</v>
      </c>
      <c r="P1149" s="977" t="s">
        <v>9030</v>
      </c>
      <c r="Q1149" s="51" t="s">
        <v>9031</v>
      </c>
      <c r="R1149" s="613">
        <v>79</v>
      </c>
      <c r="S1149" s="613">
        <v>319</v>
      </c>
      <c r="T1149" s="614" t="s">
        <v>180</v>
      </c>
      <c r="U1149" s="614">
        <v>10</v>
      </c>
      <c r="V1149" s="615">
        <f t="shared" si="32"/>
        <v>500</v>
      </c>
      <c r="W1149" s="614" t="s">
        <v>68</v>
      </c>
      <c r="X1149" s="616" t="s">
        <v>9032</v>
      </c>
      <c r="Y1149" s="199" t="s">
        <v>70</v>
      </c>
      <c r="Z1149" s="565"/>
      <c r="AA1149" s="617" t="s">
        <v>2169</v>
      </c>
      <c r="AB1149" s="618" t="s">
        <v>2576</v>
      </c>
      <c r="AC1149" s="631">
        <v>5853.5</v>
      </c>
    </row>
    <row r="1150" spans="1:29" s="200" customFormat="1" ht="78.75" customHeight="1" x14ac:dyDescent="0.25">
      <c r="A1150" s="566">
        <v>45623</v>
      </c>
      <c r="B1150" s="884"/>
      <c r="C1150" s="978" t="s">
        <v>9033</v>
      </c>
      <c r="D1150" s="866"/>
      <c r="E1150" s="677" t="s">
        <v>39</v>
      </c>
      <c r="F1150" s="19">
        <v>1</v>
      </c>
      <c r="G1150" s="867"/>
      <c r="H1150" s="867"/>
      <c r="I1150" s="599" t="s">
        <v>9034</v>
      </c>
      <c r="J1150" s="868">
        <v>10</v>
      </c>
      <c r="K1150" s="672" t="s">
        <v>8994</v>
      </c>
      <c r="L1150" s="855" t="s">
        <v>63</v>
      </c>
      <c r="M1150" s="923" t="s">
        <v>42</v>
      </c>
      <c r="N1150" s="676" t="s">
        <v>9035</v>
      </c>
      <c r="O1150" s="979" t="s">
        <v>9036</v>
      </c>
      <c r="P1150" s="980" t="s">
        <v>9037</v>
      </c>
      <c r="Q1150" s="594" t="s">
        <v>9038</v>
      </c>
      <c r="R1150" s="674">
        <v>8</v>
      </c>
      <c r="S1150" s="674">
        <v>106</v>
      </c>
      <c r="T1150" s="677" t="s">
        <v>47</v>
      </c>
      <c r="U1150" s="677">
        <v>62</v>
      </c>
      <c r="V1150" s="678">
        <f t="shared" si="32"/>
        <v>620</v>
      </c>
      <c r="W1150" s="677" t="s">
        <v>221</v>
      </c>
      <c r="X1150" s="616" t="s">
        <v>8894</v>
      </c>
      <c r="Y1150" s="691" t="s">
        <v>50</v>
      </c>
      <c r="Z1150" s="970" t="s">
        <v>9039</v>
      </c>
      <c r="AA1150" s="693" t="s">
        <v>2734</v>
      </c>
      <c r="AB1150" s="938" t="s">
        <v>8663</v>
      </c>
      <c r="AC1150" s="619">
        <v>6188</v>
      </c>
    </row>
    <row r="1151" spans="1:29" s="200" customFormat="1" ht="240" x14ac:dyDescent="0.25">
      <c r="A1151" s="566">
        <v>45622</v>
      </c>
      <c r="B1151" s="884"/>
      <c r="C1151" s="682" t="s">
        <v>9040</v>
      </c>
      <c r="D1151" s="899" t="s">
        <v>9041</v>
      </c>
      <c r="E1151" s="607" t="s">
        <v>39</v>
      </c>
      <c r="F1151" s="19">
        <v>1</v>
      </c>
      <c r="G1151" s="608"/>
      <c r="H1151" s="467"/>
      <c r="I1151" s="245" t="s">
        <v>9042</v>
      </c>
      <c r="J1151" s="609">
        <v>12</v>
      </c>
      <c r="K1151" s="610" t="s">
        <v>9043</v>
      </c>
      <c r="L1151" s="611" t="s">
        <v>63</v>
      </c>
      <c r="M1151" s="42"/>
      <c r="N1151" s="401" t="s">
        <v>9044</v>
      </c>
      <c r="O1151" s="51" t="s">
        <v>9045</v>
      </c>
      <c r="P1151" s="51" t="s">
        <v>9046</v>
      </c>
      <c r="Q1151" s="51" t="s">
        <v>9047</v>
      </c>
      <c r="R1151" s="613">
        <v>28</v>
      </c>
      <c r="S1151" s="613">
        <v>104</v>
      </c>
      <c r="T1151" s="614" t="s">
        <v>47</v>
      </c>
      <c r="U1151" s="614">
        <v>48</v>
      </c>
      <c r="V1151" s="615">
        <f t="shared" si="32"/>
        <v>576</v>
      </c>
      <c r="W1151" s="614" t="s">
        <v>142</v>
      </c>
      <c r="X1151" s="616" t="s">
        <v>9048</v>
      </c>
      <c r="Y1151" s="199" t="s">
        <v>82</v>
      </c>
      <c r="Z1151" s="565"/>
      <c r="AA1151" s="617" t="s">
        <v>8711</v>
      </c>
      <c r="AB1151" s="618" t="s">
        <v>2725</v>
      </c>
      <c r="AC1151" s="619">
        <v>2514</v>
      </c>
    </row>
    <row r="1152" spans="1:29" s="200" customFormat="1" ht="78" customHeight="1" x14ac:dyDescent="0.25">
      <c r="A1152" s="566">
        <v>45622</v>
      </c>
      <c r="B1152" s="884"/>
      <c r="C1152" s="981" t="s">
        <v>9049</v>
      </c>
      <c r="D1152" s="866" t="s">
        <v>9050</v>
      </c>
      <c r="E1152" s="677" t="s">
        <v>39</v>
      </c>
      <c r="F1152" s="19">
        <v>2</v>
      </c>
      <c r="G1152" s="867"/>
      <c r="H1152" s="950"/>
      <c r="I1152" s="913" t="s">
        <v>9051</v>
      </c>
      <c r="J1152" s="868">
        <v>10</v>
      </c>
      <c r="K1152" s="922" t="s">
        <v>9052</v>
      </c>
      <c r="L1152" s="855" t="s">
        <v>63</v>
      </c>
      <c r="M1152" s="587"/>
      <c r="N1152" s="680" t="s">
        <v>9053</v>
      </c>
      <c r="O1152" s="587"/>
      <c r="P1152" s="587"/>
      <c r="Q1152" s="587" t="s">
        <v>9054</v>
      </c>
      <c r="R1152" s="674">
        <v>57</v>
      </c>
      <c r="S1152" s="674">
        <v>142</v>
      </c>
      <c r="T1152" s="677" t="s">
        <v>96</v>
      </c>
      <c r="U1152" s="677">
        <v>24</v>
      </c>
      <c r="V1152" s="678">
        <f t="shared" si="32"/>
        <v>240</v>
      </c>
      <c r="W1152" s="677" t="s">
        <v>350</v>
      </c>
      <c r="X1152" s="616" t="s">
        <v>9055</v>
      </c>
      <c r="Y1152" s="691" t="s">
        <v>50</v>
      </c>
      <c r="Z1152" s="565"/>
      <c r="AA1152" s="617" t="s">
        <v>8755</v>
      </c>
      <c r="AB1152" s="618" t="s">
        <v>9000</v>
      </c>
      <c r="AC1152" s="619">
        <v>7010</v>
      </c>
    </row>
    <row r="1153" spans="1:29" s="200" customFormat="1" ht="92.25" customHeight="1" x14ac:dyDescent="0.25">
      <c r="A1153" s="566">
        <v>45622</v>
      </c>
      <c r="B1153" s="884"/>
      <c r="C1153" s="586" t="s">
        <v>9056</v>
      </c>
      <c r="D1153" s="586" t="s">
        <v>9057</v>
      </c>
      <c r="E1153" s="587" t="s">
        <v>39</v>
      </c>
      <c r="F1153" s="19">
        <v>1</v>
      </c>
      <c r="G1153" s="588"/>
      <c r="H1153" s="588"/>
      <c r="I1153" s="245" t="s">
        <v>9058</v>
      </c>
      <c r="J1153" s="589">
        <v>5</v>
      </c>
      <c r="K1153" s="673" t="s">
        <v>9059</v>
      </c>
      <c r="L1153" s="591" t="s">
        <v>63</v>
      </c>
      <c r="M1153" s="587"/>
      <c r="N1153" s="592" t="s">
        <v>240</v>
      </c>
      <c r="O1153" s="587" t="s">
        <v>9060</v>
      </c>
      <c r="P1153" s="973" t="s">
        <v>9061</v>
      </c>
      <c r="Q1153" s="587" t="s">
        <v>9062</v>
      </c>
      <c r="R1153" s="594">
        <v>24</v>
      </c>
      <c r="S1153" s="594">
        <v>103</v>
      </c>
      <c r="T1153" s="587" t="s">
        <v>47</v>
      </c>
      <c r="U1153" s="587">
        <v>10</v>
      </c>
      <c r="V1153" s="732">
        <f t="shared" si="32"/>
        <v>50</v>
      </c>
      <c r="W1153" s="587" t="s">
        <v>350</v>
      </c>
      <c r="X1153" s="198" t="s">
        <v>8957</v>
      </c>
      <c r="Y1153" s="199" t="s">
        <v>7004</v>
      </c>
      <c r="Z1153" s="565"/>
      <c r="AA1153" s="170" t="s">
        <v>1346</v>
      </c>
      <c r="AB1153" s="243" t="s">
        <v>2671</v>
      </c>
      <c r="AC1153" s="172">
        <v>4048.5</v>
      </c>
    </row>
    <row r="1154" spans="1:29" ht="121.5" customHeight="1" x14ac:dyDescent="0.25">
      <c r="A1154" s="566">
        <v>45621</v>
      </c>
      <c r="B1154" s="884"/>
      <c r="C1154" s="883" t="s">
        <v>9063</v>
      </c>
      <c r="D1154" s="596" t="s">
        <v>9064</v>
      </c>
      <c r="E1154" s="607" t="s">
        <v>39</v>
      </c>
      <c r="F1154" s="824">
        <v>1</v>
      </c>
      <c r="G1154" s="608"/>
      <c r="H1154" s="608"/>
      <c r="I1154" s="599" t="s">
        <v>9065</v>
      </c>
      <c r="J1154" s="609">
        <v>75</v>
      </c>
      <c r="K1154" s="610" t="s">
        <v>9066</v>
      </c>
      <c r="L1154" s="611" t="s">
        <v>63</v>
      </c>
      <c r="M1154" s="835" t="s">
        <v>42</v>
      </c>
      <c r="N1154" s="401" t="s">
        <v>9067</v>
      </c>
      <c r="O1154" s="234" t="s">
        <v>9068</v>
      </c>
      <c r="P1154" s="982" t="s">
        <v>9069</v>
      </c>
      <c r="Q1154" s="50" t="s">
        <v>9070</v>
      </c>
      <c r="R1154" s="613">
        <v>105</v>
      </c>
      <c r="S1154" s="613">
        <v>295</v>
      </c>
      <c r="T1154" s="614" t="s">
        <v>180</v>
      </c>
      <c r="U1154" s="614">
        <v>6</v>
      </c>
      <c r="V1154" s="615">
        <f t="shared" si="32"/>
        <v>450</v>
      </c>
      <c r="W1154" s="615" t="s">
        <v>350</v>
      </c>
      <c r="X1154" s="836" t="s">
        <v>265</v>
      </c>
      <c r="Y1154" s="983" t="s">
        <v>82</v>
      </c>
      <c r="Z1154" s="984"/>
      <c r="AA1154" s="736" t="s">
        <v>5189</v>
      </c>
      <c r="AB1154" s="985" t="s">
        <v>9071</v>
      </c>
      <c r="AC1154" s="986">
        <v>9641.75</v>
      </c>
    </row>
    <row r="1155" spans="1:29" s="200" customFormat="1" ht="75" x14ac:dyDescent="0.25">
      <c r="A1155" s="566">
        <v>45621</v>
      </c>
      <c r="B1155" s="884"/>
      <c r="C1155" s="866" t="s">
        <v>9072</v>
      </c>
      <c r="D1155" s="866"/>
      <c r="E1155" s="677" t="s">
        <v>39</v>
      </c>
      <c r="F1155" s="19">
        <v>1</v>
      </c>
      <c r="G1155" s="867"/>
      <c r="H1155" s="867"/>
      <c r="I1155" s="245" t="s">
        <v>9073</v>
      </c>
      <c r="J1155" s="868">
        <v>20</v>
      </c>
      <c r="K1155" s="922" t="s">
        <v>9074</v>
      </c>
      <c r="L1155" s="855" t="s">
        <v>63</v>
      </c>
      <c r="M1155" s="587"/>
      <c r="N1155" s="680" t="s">
        <v>9075</v>
      </c>
      <c r="O1155" s="587" t="s">
        <v>9076</v>
      </c>
      <c r="P1155" s="587"/>
      <c r="Q1155" s="587" t="s">
        <v>9054</v>
      </c>
      <c r="R1155" s="674">
        <v>15</v>
      </c>
      <c r="S1155" s="674">
        <v>31</v>
      </c>
      <c r="T1155" s="677" t="s">
        <v>393</v>
      </c>
      <c r="U1155" s="677">
        <v>0</v>
      </c>
      <c r="V1155" s="678">
        <f t="shared" si="32"/>
        <v>0</v>
      </c>
      <c r="W1155" s="677" t="s">
        <v>350</v>
      </c>
      <c r="X1155" s="616" t="s">
        <v>8943</v>
      </c>
      <c r="Y1155" s="691" t="s">
        <v>50</v>
      </c>
      <c r="Z1155" s="565"/>
      <c r="AA1155" s="617" t="s">
        <v>8755</v>
      </c>
      <c r="AB1155" s="618" t="s">
        <v>9000</v>
      </c>
      <c r="AC1155" s="619">
        <v>3980</v>
      </c>
    </row>
    <row r="1156" spans="1:29" s="200" customFormat="1" ht="181.5" customHeight="1" x14ac:dyDescent="0.25">
      <c r="A1156" s="566">
        <v>45621</v>
      </c>
      <c r="B1156" s="884"/>
      <c r="C1156" s="596" t="s">
        <v>9077</v>
      </c>
      <c r="D1156" s="596" t="s">
        <v>9078</v>
      </c>
      <c r="E1156" s="607" t="s">
        <v>39</v>
      </c>
      <c r="F1156" s="608"/>
      <c r="G1156" s="608"/>
      <c r="H1156" s="905">
        <v>1</v>
      </c>
      <c r="I1156" s="245" t="s">
        <v>9079</v>
      </c>
      <c r="J1156" s="609">
        <v>12</v>
      </c>
      <c r="K1156" s="610" t="s">
        <v>9080</v>
      </c>
      <c r="L1156" s="611" t="s">
        <v>63</v>
      </c>
      <c r="M1156" s="42"/>
      <c r="N1156" s="401" t="s">
        <v>9081</v>
      </c>
      <c r="O1156" s="51" t="s">
        <v>9082</v>
      </c>
      <c r="P1156" s="977" t="s">
        <v>9083</v>
      </c>
      <c r="Q1156" s="51" t="s">
        <v>9084</v>
      </c>
      <c r="R1156" s="613">
        <v>75</v>
      </c>
      <c r="S1156" s="613">
        <v>1102</v>
      </c>
      <c r="T1156" s="614" t="s">
        <v>47</v>
      </c>
      <c r="U1156" s="614">
        <v>29</v>
      </c>
      <c r="V1156" s="615">
        <f t="shared" si="32"/>
        <v>348</v>
      </c>
      <c r="W1156" s="614" t="s">
        <v>350</v>
      </c>
      <c r="X1156" s="616" t="s">
        <v>9085</v>
      </c>
      <c r="Y1156" s="199"/>
      <c r="Z1156" s="987" t="s">
        <v>9086</v>
      </c>
      <c r="AA1156" s="617" t="s">
        <v>2710</v>
      </c>
      <c r="AB1156" s="618" t="s">
        <v>9000</v>
      </c>
      <c r="AC1156" s="631">
        <v>9161</v>
      </c>
    </row>
    <row r="1157" spans="1:29" s="200" customFormat="1" ht="162" customHeight="1" x14ac:dyDescent="0.25">
      <c r="A1157" s="566">
        <v>45618</v>
      </c>
      <c r="B1157" s="884"/>
      <c r="C1157" s="866" t="s">
        <v>9087</v>
      </c>
      <c r="D1157" s="988" t="s">
        <v>9088</v>
      </c>
      <c r="E1157" s="677" t="s">
        <v>39</v>
      </c>
      <c r="F1157" s="19">
        <v>1</v>
      </c>
      <c r="G1157" s="867"/>
      <c r="H1157" s="867"/>
      <c r="I1157" s="599" t="s">
        <v>9089</v>
      </c>
      <c r="J1157" s="868">
        <v>8</v>
      </c>
      <c r="K1157" s="672" t="s">
        <v>9090</v>
      </c>
      <c r="L1157" s="855" t="s">
        <v>63</v>
      </c>
      <c r="M1157" s="923" t="s">
        <v>42</v>
      </c>
      <c r="N1157" s="676" t="s">
        <v>9091</v>
      </c>
      <c r="O1157" s="594" t="s">
        <v>9092</v>
      </c>
      <c r="P1157" s="979" t="s">
        <v>9093</v>
      </c>
      <c r="Q1157" s="989" t="s">
        <v>9094</v>
      </c>
      <c r="R1157" s="674">
        <v>229</v>
      </c>
      <c r="S1157" s="674">
        <v>1270</v>
      </c>
      <c r="T1157" s="677" t="s">
        <v>933</v>
      </c>
      <c r="U1157" s="677">
        <v>17</v>
      </c>
      <c r="V1157" s="678">
        <f t="shared" si="32"/>
        <v>136</v>
      </c>
      <c r="W1157" s="677" t="s">
        <v>350</v>
      </c>
      <c r="X1157" s="616" t="s">
        <v>9023</v>
      </c>
      <c r="Y1157" s="199" t="s">
        <v>50</v>
      </c>
      <c r="Z1157" s="964"/>
      <c r="AA1157" s="837" t="s">
        <v>2734</v>
      </c>
      <c r="AB1157" s="990" t="s">
        <v>9095</v>
      </c>
      <c r="AC1157" s="838">
        <v>26258</v>
      </c>
    </row>
    <row r="1158" spans="1:29" s="200" customFormat="1" ht="63.75" customHeight="1" x14ac:dyDescent="0.25">
      <c r="A1158" s="566">
        <v>45618</v>
      </c>
      <c r="B1158" s="884"/>
      <c r="C1158" s="866" t="s">
        <v>9096</v>
      </c>
      <c r="D1158" s="866" t="s">
        <v>9097</v>
      </c>
      <c r="E1158" s="677" t="s">
        <v>39</v>
      </c>
      <c r="F1158" s="19">
        <v>1</v>
      </c>
      <c r="G1158" s="867"/>
      <c r="H1158" s="867"/>
      <c r="I1158" s="245" t="s">
        <v>9098</v>
      </c>
      <c r="J1158" s="991">
        <v>30</v>
      </c>
      <c r="K1158" s="992" t="s">
        <v>9099</v>
      </c>
      <c r="L1158" s="855" t="s">
        <v>63</v>
      </c>
      <c r="M1158" s="587"/>
      <c r="N1158" s="592" t="s">
        <v>9100</v>
      </c>
      <c r="O1158" s="587" t="s">
        <v>9101</v>
      </c>
      <c r="P1158" s="973" t="s">
        <v>9102</v>
      </c>
      <c r="Q1158" s="587" t="s">
        <v>9103</v>
      </c>
      <c r="R1158" s="674">
        <v>147</v>
      </c>
      <c r="S1158" s="674">
        <v>565</v>
      </c>
      <c r="T1158" s="677" t="s">
        <v>141</v>
      </c>
      <c r="U1158" s="677">
        <v>52</v>
      </c>
      <c r="V1158" s="678">
        <f t="shared" si="32"/>
        <v>1560</v>
      </c>
      <c r="W1158" s="677" t="s">
        <v>142</v>
      </c>
      <c r="X1158" s="616" t="s">
        <v>1243</v>
      </c>
      <c r="Y1158" s="199" t="s">
        <v>7004</v>
      </c>
      <c r="Z1158" s="565"/>
      <c r="AA1158" s="617" t="s">
        <v>2710</v>
      </c>
      <c r="AB1158" s="618" t="s">
        <v>9000</v>
      </c>
      <c r="AC1158" s="631">
        <v>14933.4</v>
      </c>
    </row>
    <row r="1159" spans="1:29" ht="231" customHeight="1" x14ac:dyDescent="0.25">
      <c r="A1159" s="566">
        <v>45617</v>
      </c>
      <c r="B1159" s="884"/>
      <c r="C1159" s="596" t="s">
        <v>9104</v>
      </c>
      <c r="D1159" s="596" t="s">
        <v>9105</v>
      </c>
      <c r="E1159" s="42" t="s">
        <v>39</v>
      </c>
      <c r="F1159" s="824">
        <v>1</v>
      </c>
      <c r="G1159" s="608"/>
      <c r="H1159" s="608"/>
      <c r="I1159" s="245" t="s">
        <v>9106</v>
      </c>
      <c r="J1159" s="609">
        <v>75</v>
      </c>
      <c r="K1159" s="610" t="s">
        <v>9107</v>
      </c>
      <c r="L1159" s="611" t="s">
        <v>63</v>
      </c>
      <c r="M1159" s="42"/>
      <c r="N1159" s="401" t="s">
        <v>9108</v>
      </c>
      <c r="O1159" s="49" t="s">
        <v>9109</v>
      </c>
      <c r="P1159" s="977" t="s">
        <v>9110</v>
      </c>
      <c r="Q1159" s="51" t="s">
        <v>9111</v>
      </c>
      <c r="R1159" s="613">
        <v>53</v>
      </c>
      <c r="S1159" s="613">
        <v>205</v>
      </c>
      <c r="T1159" s="614" t="s">
        <v>47</v>
      </c>
      <c r="U1159" s="614">
        <v>2</v>
      </c>
      <c r="V1159" s="615">
        <f t="shared" si="32"/>
        <v>150</v>
      </c>
      <c r="W1159" s="614" t="s">
        <v>221</v>
      </c>
      <c r="X1159" s="616" t="s">
        <v>9112</v>
      </c>
      <c r="Y1159" s="168" t="s">
        <v>70</v>
      </c>
      <c r="Z1159" s="987" t="s">
        <v>9113</v>
      </c>
      <c r="AA1159" s="617" t="s">
        <v>8711</v>
      </c>
      <c r="AB1159" s="618" t="s">
        <v>1394</v>
      </c>
      <c r="AC1159" s="619">
        <v>4864.5</v>
      </c>
    </row>
    <row r="1160" spans="1:29" s="708" customFormat="1" ht="91.5" customHeight="1" x14ac:dyDescent="0.25">
      <c r="A1160" s="566">
        <v>45617</v>
      </c>
      <c r="B1160" s="884"/>
      <c r="C1160" s="993" t="s">
        <v>9114</v>
      </c>
      <c r="D1160" s="994"/>
      <c r="E1160" s="145"/>
      <c r="F1160" s="824">
        <v>2</v>
      </c>
      <c r="G1160" s="698"/>
      <c r="H1160" s="698"/>
      <c r="I1160" s="995" t="s">
        <v>9115</v>
      </c>
      <c r="J1160" s="996">
        <v>29</v>
      </c>
      <c r="K1160" s="996" t="s">
        <v>9080</v>
      </c>
      <c r="L1160" s="145" t="s">
        <v>63</v>
      </c>
      <c r="M1160" s="997" t="s">
        <v>42</v>
      </c>
      <c r="N1160" s="152" t="s">
        <v>9116</v>
      </c>
      <c r="O1160" s="998" t="s">
        <v>9117</v>
      </c>
      <c r="P1160" s="998" t="s">
        <v>9118</v>
      </c>
      <c r="Q1160" s="999" t="s">
        <v>9119</v>
      </c>
      <c r="R1160" s="145">
        <v>32</v>
      </c>
      <c r="S1160" s="145">
        <v>131</v>
      </c>
      <c r="T1160" s="145" t="s">
        <v>47</v>
      </c>
      <c r="U1160" s="145">
        <v>7</v>
      </c>
      <c r="V1160" s="145">
        <v>203</v>
      </c>
      <c r="W1160" s="997" t="s">
        <v>221</v>
      </c>
      <c r="X1160" s="1000" t="s">
        <v>9120</v>
      </c>
      <c r="Y1160" s="1001" t="s">
        <v>70</v>
      </c>
      <c r="Z1160" s="766"/>
      <c r="AA1160" s="705"/>
      <c r="AB1160" s="1002">
        <v>45540</v>
      </c>
      <c r="AC1160" s="1003">
        <f>3180 / 80 * 29</f>
        <v>1152.75</v>
      </c>
    </row>
    <row r="1161" spans="1:29" s="200" customFormat="1" ht="315" x14ac:dyDescent="0.25">
      <c r="A1161" s="566">
        <v>45617</v>
      </c>
      <c r="B1161" s="884"/>
      <c r="C1161" s="596" t="s">
        <v>9121</v>
      </c>
      <c r="D1161" s="596" t="s">
        <v>9122</v>
      </c>
      <c r="E1161" s="607" t="s">
        <v>39</v>
      </c>
      <c r="F1161" s="851"/>
      <c r="G1161" s="851"/>
      <c r="H1161" s="1004">
        <v>1</v>
      </c>
      <c r="I1161" s="599" t="s">
        <v>9123</v>
      </c>
      <c r="J1161" s="928">
        <v>15</v>
      </c>
      <c r="K1161" s="610" t="s">
        <v>9124</v>
      </c>
      <c r="L1161" s="611" t="s">
        <v>63</v>
      </c>
      <c r="M1161" s="835" t="s">
        <v>42</v>
      </c>
      <c r="N1161" s="401" t="s">
        <v>9125</v>
      </c>
      <c r="O1161" s="234" t="s">
        <v>9126</v>
      </c>
      <c r="P1161" s="982" t="s">
        <v>9127</v>
      </c>
      <c r="Q1161" s="50" t="s">
        <v>9128</v>
      </c>
      <c r="R1161" s="613">
        <v>220</v>
      </c>
      <c r="S1161" s="613">
        <v>1749</v>
      </c>
      <c r="T1161" s="614" t="s">
        <v>933</v>
      </c>
      <c r="U1161" s="614">
        <v>35</v>
      </c>
      <c r="V1161" s="615">
        <f>U1161*J1161</f>
        <v>525</v>
      </c>
      <c r="W1161" s="614" t="s">
        <v>350</v>
      </c>
      <c r="X1161" s="616" t="s">
        <v>2825</v>
      </c>
      <c r="Y1161" s="932" t="s">
        <v>144</v>
      </c>
      <c r="Z1161" s="1005"/>
      <c r="AA1161" s="1006" t="s">
        <v>3237</v>
      </c>
      <c r="AB1161" s="938" t="s">
        <v>9129</v>
      </c>
      <c r="AC1161" s="863">
        <v>28152</v>
      </c>
    </row>
    <row r="1162" spans="1:29" s="200" customFormat="1" ht="198" customHeight="1" x14ac:dyDescent="0.25">
      <c r="A1162" s="566">
        <v>45616</v>
      </c>
      <c r="B1162" s="884"/>
      <c r="C1162" s="731" t="s">
        <v>9130</v>
      </c>
      <c r="D1162" s="606" t="s">
        <v>9131</v>
      </c>
      <c r="E1162" s="42" t="s">
        <v>39</v>
      </c>
      <c r="F1162" s="905">
        <v>1</v>
      </c>
      <c r="G1162" s="1007"/>
      <c r="H1162" s="1008"/>
      <c r="I1162" s="245" t="s">
        <v>9132</v>
      </c>
      <c r="J1162" s="142">
        <v>250</v>
      </c>
      <c r="K1162" s="610" t="s">
        <v>9133</v>
      </c>
      <c r="L1162" s="47" t="s">
        <v>63</v>
      </c>
      <c r="M1162" s="857" t="s">
        <v>42</v>
      </c>
      <c r="N1162" s="600" t="s">
        <v>9134</v>
      </c>
      <c r="O1162" s="1009" t="s">
        <v>9135</v>
      </c>
      <c r="P1162" s="702" t="s">
        <v>9136</v>
      </c>
      <c r="Q1162" s="235" t="s">
        <v>9137</v>
      </c>
      <c r="R1162" s="50">
        <v>25</v>
      </c>
      <c r="S1162" s="47">
        <v>42</v>
      </c>
      <c r="T1162" s="51" t="s">
        <v>549</v>
      </c>
      <c r="U1162" s="51">
        <v>2</v>
      </c>
      <c r="V1162" s="52">
        <v>500</v>
      </c>
      <c r="W1162" s="51" t="s">
        <v>350</v>
      </c>
      <c r="X1162" s="198" t="s">
        <v>9138</v>
      </c>
      <c r="Y1162" s="1010" t="s">
        <v>82</v>
      </c>
      <c r="Z1162" s="1011"/>
      <c r="AA1162" s="1012" t="s">
        <v>9139</v>
      </c>
      <c r="AB1162" s="1013" t="s">
        <v>9129</v>
      </c>
      <c r="AC1162" s="1014">
        <f>(19024-900)/400 * 250</f>
        <v>11327.5</v>
      </c>
    </row>
    <row r="1163" spans="1:29" s="200" customFormat="1" ht="31.5" customHeight="1" x14ac:dyDescent="0.25">
      <c r="A1163" s="566">
        <v>45616</v>
      </c>
      <c r="B1163" s="884"/>
      <c r="C1163" s="41" t="s">
        <v>9140</v>
      </c>
      <c r="D1163" s="596"/>
      <c r="E1163" s="607" t="s">
        <v>39</v>
      </c>
      <c r="F1163" s="824">
        <v>1</v>
      </c>
      <c r="G1163" s="608"/>
      <c r="H1163" s="608"/>
      <c r="I1163" s="599" t="s">
        <v>9141</v>
      </c>
      <c r="J1163" s="609">
        <v>15</v>
      </c>
      <c r="K1163" s="610" t="s">
        <v>9142</v>
      </c>
      <c r="L1163" s="611" t="s">
        <v>63</v>
      </c>
      <c r="M1163" s="835" t="s">
        <v>42</v>
      </c>
      <c r="N1163" s="401" t="s">
        <v>240</v>
      </c>
      <c r="O1163" s="906" t="s">
        <v>9143</v>
      </c>
      <c r="P1163" s="1015" t="s">
        <v>9144</v>
      </c>
      <c r="Q1163" s="51" t="s">
        <v>9145</v>
      </c>
      <c r="R1163" s="613">
        <v>33</v>
      </c>
      <c r="S1163" s="613">
        <v>245</v>
      </c>
      <c r="T1163" s="614" t="s">
        <v>47</v>
      </c>
      <c r="U1163" s="614">
        <v>54</v>
      </c>
      <c r="V1163" s="615">
        <f>U1163*J1163</f>
        <v>810</v>
      </c>
      <c r="W1163" s="614" t="s">
        <v>350</v>
      </c>
      <c r="X1163" s="616" t="s">
        <v>3688</v>
      </c>
      <c r="Y1163" s="199" t="s">
        <v>82</v>
      </c>
      <c r="Z1163" s="784"/>
      <c r="AA1163" s="617" t="s">
        <v>3047</v>
      </c>
      <c r="AB1163" s="618" t="s">
        <v>8917</v>
      </c>
      <c r="AC1163" s="619">
        <v>5614</v>
      </c>
    </row>
    <row r="1164" spans="1:29" s="200" customFormat="1" ht="135" x14ac:dyDescent="0.25">
      <c r="A1164" s="566">
        <v>45615</v>
      </c>
      <c r="B1164" s="884"/>
      <c r="C1164" s="1016" t="s">
        <v>9146</v>
      </c>
      <c r="D1164" s="1016" t="s">
        <v>9147</v>
      </c>
      <c r="E1164" s="1017" t="s">
        <v>39</v>
      </c>
      <c r="F1164" s="824">
        <v>1</v>
      </c>
      <c r="G1164" s="1018"/>
      <c r="H1164" s="1018"/>
      <c r="I1164" s="245" t="s">
        <v>9148</v>
      </c>
      <c r="J1164" s="1019">
        <v>9</v>
      </c>
      <c r="K1164" s="1020" t="s">
        <v>9149</v>
      </c>
      <c r="L1164" s="1021" t="s">
        <v>63</v>
      </c>
      <c r="M1164" s="1022" t="s">
        <v>42</v>
      </c>
      <c r="N1164" s="1023" t="s">
        <v>9150</v>
      </c>
      <c r="O1164" s="1024"/>
      <c r="P1164" s="1025" t="s">
        <v>9151</v>
      </c>
      <c r="Q1164" s="1022" t="s">
        <v>9152</v>
      </c>
      <c r="R1164" s="1026">
        <v>158</v>
      </c>
      <c r="S1164" s="1026">
        <v>702</v>
      </c>
      <c r="T1164" s="1027" t="s">
        <v>582</v>
      </c>
      <c r="U1164" s="1017">
        <v>18</v>
      </c>
      <c r="V1164" s="1019">
        <f>U1164*J1164</f>
        <v>162</v>
      </c>
      <c r="W1164" s="1017" t="s">
        <v>350</v>
      </c>
      <c r="X1164" s="616" t="s">
        <v>8925</v>
      </c>
      <c r="Y1164" s="199" t="s">
        <v>50</v>
      </c>
      <c r="Z1164" s="565"/>
      <c r="AA1164" s="617" t="s">
        <v>2169</v>
      </c>
      <c r="AB1164" s="618" t="s">
        <v>9153</v>
      </c>
      <c r="AC1164" s="619">
        <v>21772</v>
      </c>
    </row>
    <row r="1165" spans="1:29" s="12" customFormat="1" ht="315.75" customHeight="1" x14ac:dyDescent="0.25">
      <c r="A1165" s="566">
        <v>45614</v>
      </c>
      <c r="B1165" s="884"/>
      <c r="C1165" s="952" t="s">
        <v>9154</v>
      </c>
      <c r="D1165" s="41" t="s">
        <v>9155</v>
      </c>
      <c r="E1165" s="84" t="s">
        <v>39</v>
      </c>
      <c r="F1165" s="824">
        <v>1</v>
      </c>
      <c r="G1165" s="823"/>
      <c r="H1165" s="1028"/>
      <c r="I1165" s="245" t="s">
        <v>9156</v>
      </c>
      <c r="J1165" s="955">
        <v>50</v>
      </c>
      <c r="K1165" s="701" t="s">
        <v>9157</v>
      </c>
      <c r="L1165" s="42" t="s">
        <v>63</v>
      </c>
      <c r="M1165" s="42" t="s">
        <v>42</v>
      </c>
      <c r="N1165" s="1029" t="s">
        <v>9158</v>
      </c>
      <c r="O1165" s="234" t="s">
        <v>9159</v>
      </c>
      <c r="P1165" s="578" t="s">
        <v>9160</v>
      </c>
      <c r="Q1165" s="1030" t="s">
        <v>9161</v>
      </c>
      <c r="R1165" s="42">
        <v>127</v>
      </c>
      <c r="S1165" s="42">
        <v>895</v>
      </c>
      <c r="T1165" s="42" t="s">
        <v>180</v>
      </c>
      <c r="U1165" s="42">
        <v>4</v>
      </c>
      <c r="V1165" s="42">
        <v>200</v>
      </c>
      <c r="W1165" s="64" t="s">
        <v>350</v>
      </c>
      <c r="X1165" s="956" t="s">
        <v>9162</v>
      </c>
      <c r="Y1165" s="829" t="s">
        <v>82</v>
      </c>
      <c r="Z1165" s="1031" t="s">
        <v>9163</v>
      </c>
      <c r="AA1165" s="1032" t="s">
        <v>4339</v>
      </c>
      <c r="AB1165" s="1033">
        <v>45573</v>
      </c>
      <c r="AC1165" s="1034">
        <v>12457.5</v>
      </c>
    </row>
    <row r="1166" spans="1:29" s="12" customFormat="1" ht="78.75" customHeight="1" x14ac:dyDescent="0.25">
      <c r="A1166" s="566">
        <v>45614</v>
      </c>
      <c r="B1166" s="884"/>
      <c r="C1166" s="952" t="s">
        <v>9164</v>
      </c>
      <c r="D1166" s="822"/>
      <c r="E1166" s="84" t="s">
        <v>39</v>
      </c>
      <c r="F1166" s="823"/>
      <c r="G1166" s="823"/>
      <c r="H1166" s="824">
        <v>1</v>
      </c>
      <c r="I1166" s="1035" t="s">
        <v>9165</v>
      </c>
      <c r="J1166" s="955" t="s">
        <v>9166</v>
      </c>
      <c r="K1166" s="826" t="s">
        <v>9167</v>
      </c>
      <c r="L1166" s="84" t="s">
        <v>63</v>
      </c>
      <c r="M1166" s="84" t="s">
        <v>42</v>
      </c>
      <c r="N1166" s="1029" t="s">
        <v>9168</v>
      </c>
      <c r="O1166" s="1009" t="s">
        <v>9169</v>
      </c>
      <c r="P1166" s="1009" t="s">
        <v>9170</v>
      </c>
      <c r="Q1166" s="1036" t="s">
        <v>9171</v>
      </c>
      <c r="R1166" s="84">
        <v>38</v>
      </c>
      <c r="S1166" s="84">
        <v>71</v>
      </c>
      <c r="T1166" s="84" t="s">
        <v>180</v>
      </c>
      <c r="U1166" s="84">
        <v>0</v>
      </c>
      <c r="V1166" s="84">
        <v>0</v>
      </c>
      <c r="W1166" s="64" t="s">
        <v>350</v>
      </c>
      <c r="X1166" s="956" t="s">
        <v>9172</v>
      </c>
      <c r="Y1166" s="829" t="s">
        <v>144</v>
      </c>
      <c r="Z1166" s="830" t="s">
        <v>483</v>
      </c>
      <c r="AA1166" s="1037" t="s">
        <v>4362</v>
      </c>
      <c r="AB1166" s="1038">
        <v>45523</v>
      </c>
      <c r="AC1166" s="1039">
        <f>(18475 / 500 * 314) + 2850</f>
        <v>14452.300000000001</v>
      </c>
    </row>
    <row r="1167" spans="1:29" s="12" customFormat="1" ht="210" x14ac:dyDescent="0.25">
      <c r="A1167" s="566">
        <v>45614</v>
      </c>
      <c r="B1167" s="884"/>
      <c r="C1167" s="821" t="s">
        <v>9173</v>
      </c>
      <c r="D1167" s="83" t="s">
        <v>9174</v>
      </c>
      <c r="E1167" s="84" t="s">
        <v>39</v>
      </c>
      <c r="F1167" s="824">
        <v>1</v>
      </c>
      <c r="G1167" s="1040" t="s">
        <v>9175</v>
      </c>
      <c r="H1167" s="608"/>
      <c r="I1167" s="1035" t="s">
        <v>9176</v>
      </c>
      <c r="J1167" s="1041">
        <v>75</v>
      </c>
      <c r="K1167" s="826" t="s">
        <v>9177</v>
      </c>
      <c r="L1167" s="84" t="s">
        <v>63</v>
      </c>
      <c r="M1167" s="84" t="s">
        <v>42</v>
      </c>
      <c r="N1167" s="1029" t="s">
        <v>9178</v>
      </c>
      <c r="O1167" s="234" t="s">
        <v>9179</v>
      </c>
      <c r="P1167" s="1042" t="s">
        <v>9180</v>
      </c>
      <c r="Q1167" s="1030" t="s">
        <v>9181</v>
      </c>
      <c r="R1167" s="84">
        <v>99</v>
      </c>
      <c r="S1167" s="84">
        <v>361</v>
      </c>
      <c r="T1167" s="84" t="s">
        <v>549</v>
      </c>
      <c r="U1167" s="84">
        <v>12</v>
      </c>
      <c r="V1167" s="84">
        <v>900</v>
      </c>
      <c r="W1167" s="64" t="s">
        <v>350</v>
      </c>
      <c r="X1167" s="956" t="s">
        <v>265</v>
      </c>
      <c r="Y1167" s="829" t="s">
        <v>82</v>
      </c>
      <c r="Z1167" s="830"/>
      <c r="AA1167" s="582" t="s">
        <v>9182</v>
      </c>
      <c r="AB1167" s="957">
        <v>45586</v>
      </c>
      <c r="AC1167" s="958">
        <v>8718.75</v>
      </c>
    </row>
    <row r="1168" spans="1:29" s="200" customFormat="1" ht="107.25" customHeight="1" x14ac:dyDescent="0.25">
      <c r="A1168" s="566">
        <v>45611</v>
      </c>
      <c r="B1168" s="884"/>
      <c r="C1168" s="596" t="s">
        <v>9183</v>
      </c>
      <c r="D1168" s="596" t="s">
        <v>9184</v>
      </c>
      <c r="E1168" s="1043" t="s">
        <v>39</v>
      </c>
      <c r="F1168" s="608"/>
      <c r="G1168" s="608"/>
      <c r="H1168" s="1004">
        <v>1</v>
      </c>
      <c r="I1168" s="599" t="s">
        <v>9185</v>
      </c>
      <c r="J1168" s="609">
        <v>45</v>
      </c>
      <c r="K1168" s="610" t="s">
        <v>2806</v>
      </c>
      <c r="L1168" s="611" t="s">
        <v>63</v>
      </c>
      <c r="M1168" s="835" t="s">
        <v>42</v>
      </c>
      <c r="N1168" s="401" t="s">
        <v>9186</v>
      </c>
      <c r="O1168" s="906" t="s">
        <v>9187</v>
      </c>
      <c r="P1168" s="1044" t="s">
        <v>9188</v>
      </c>
      <c r="Q1168" s="51" t="s">
        <v>9189</v>
      </c>
      <c r="R1168" s="1045">
        <v>142</v>
      </c>
      <c r="S1168" s="1045">
        <v>385</v>
      </c>
      <c r="T1168" s="614" t="s">
        <v>180</v>
      </c>
      <c r="U1168" s="614">
        <v>4</v>
      </c>
      <c r="V1168" s="615">
        <f>U1168*J1168</f>
        <v>180</v>
      </c>
      <c r="W1168" s="1046" t="s">
        <v>68</v>
      </c>
      <c r="X1168" s="616" t="s">
        <v>69</v>
      </c>
      <c r="Y1168" s="199" t="s">
        <v>70</v>
      </c>
      <c r="Z1168" s="1047" t="s">
        <v>9190</v>
      </c>
      <c r="AA1168" s="617" t="s">
        <v>3047</v>
      </c>
      <c r="AB1168" s="618" t="s">
        <v>9191</v>
      </c>
      <c r="AC1168" s="619">
        <v>7889.2</v>
      </c>
    </row>
    <row r="1169" spans="1:29" s="200" customFormat="1" ht="198.75" customHeight="1" x14ac:dyDescent="0.25">
      <c r="A1169" s="566">
        <v>45611</v>
      </c>
      <c r="B1169" s="884"/>
      <c r="C1169" s="726" t="s">
        <v>9192</v>
      </c>
      <c r="D1169" s="606" t="s">
        <v>9131</v>
      </c>
      <c r="E1169" s="42" t="s">
        <v>39</v>
      </c>
      <c r="F1169" s="905">
        <v>1</v>
      </c>
      <c r="G1169" s="1007"/>
      <c r="H1169" s="1008"/>
      <c r="I1169" s="245" t="s">
        <v>9193</v>
      </c>
      <c r="J1169" s="142">
        <v>100</v>
      </c>
      <c r="K1169" s="610" t="s">
        <v>9194</v>
      </c>
      <c r="L1169" s="47" t="s">
        <v>63</v>
      </c>
      <c r="M1169" s="857" t="s">
        <v>42</v>
      </c>
      <c r="N1169" s="600" t="s">
        <v>9134</v>
      </c>
      <c r="O1169" s="1009" t="s">
        <v>9135</v>
      </c>
      <c r="P1169" s="1048" t="s">
        <v>9136</v>
      </c>
      <c r="Q1169" s="235" t="s">
        <v>9137</v>
      </c>
      <c r="R1169" s="1049">
        <v>25</v>
      </c>
      <c r="S1169" s="1050">
        <v>42</v>
      </c>
      <c r="T1169" s="51" t="s">
        <v>549</v>
      </c>
      <c r="U1169" s="51">
        <v>2</v>
      </c>
      <c r="V1169" s="52">
        <v>500</v>
      </c>
      <c r="W1169" s="51" t="s">
        <v>350</v>
      </c>
      <c r="X1169" s="198" t="s">
        <v>9138</v>
      </c>
      <c r="Y1169" s="1010" t="s">
        <v>82</v>
      </c>
      <c r="Z1169" s="1011"/>
      <c r="AA1169" s="1012" t="s">
        <v>9139</v>
      </c>
      <c r="AB1169" s="1013" t="s">
        <v>9129</v>
      </c>
      <c r="AC1169" s="1014">
        <f>(19024-900)/400 * 100</f>
        <v>4531</v>
      </c>
    </row>
    <row r="1170" spans="1:29" ht="180" x14ac:dyDescent="0.25">
      <c r="A1170" s="566">
        <v>45610</v>
      </c>
      <c r="B1170" s="884"/>
      <c r="C1170" s="596" t="s">
        <v>9195</v>
      </c>
      <c r="D1170" s="596" t="s">
        <v>9196</v>
      </c>
      <c r="E1170" s="1043" t="s">
        <v>39</v>
      </c>
      <c r="F1170" s="824">
        <v>1</v>
      </c>
      <c r="G1170" s="608"/>
      <c r="H1170" s="608"/>
      <c r="I1170" s="599" t="s">
        <v>9197</v>
      </c>
      <c r="J1170" s="609">
        <v>23</v>
      </c>
      <c r="K1170" s="610" t="s">
        <v>9198</v>
      </c>
      <c r="L1170" s="611" t="s">
        <v>63</v>
      </c>
      <c r="M1170" s="835"/>
      <c r="N1170" s="401" t="s">
        <v>9199</v>
      </c>
      <c r="O1170" s="1051" t="s">
        <v>9200</v>
      </c>
      <c r="P1170" s="1052" t="s">
        <v>9201</v>
      </c>
      <c r="Q1170" s="51" t="s">
        <v>9202</v>
      </c>
      <c r="R1170" s="1045">
        <v>25</v>
      </c>
      <c r="S1170" s="1045">
        <v>158</v>
      </c>
      <c r="T1170" s="614" t="s">
        <v>47</v>
      </c>
      <c r="U1170" s="614">
        <v>27</v>
      </c>
      <c r="V1170" s="615">
        <f>U1170*J1170</f>
        <v>621</v>
      </c>
      <c r="W1170" s="1046" t="s">
        <v>221</v>
      </c>
      <c r="X1170" s="616" t="s">
        <v>8730</v>
      </c>
      <c r="Y1170" s="168" t="s">
        <v>82</v>
      </c>
      <c r="Z1170" s="1053"/>
      <c r="AA1170" s="617" t="s">
        <v>2700</v>
      </c>
      <c r="AB1170" s="618"/>
      <c r="AC1170" s="619">
        <v>3920.58</v>
      </c>
    </row>
    <row r="1171" spans="1:29" s="200" customFormat="1" ht="62.25" customHeight="1" x14ac:dyDescent="0.25">
      <c r="A1171" s="566">
        <v>45610</v>
      </c>
      <c r="B1171" s="884"/>
      <c r="C1171" s="596" t="s">
        <v>9203</v>
      </c>
      <c r="D1171" s="607"/>
      <c r="E1171" s="1054"/>
      <c r="F1171" s="823"/>
      <c r="G1171" s="823"/>
      <c r="H1171" s="1028"/>
      <c r="I1171" s="599" t="s">
        <v>9204</v>
      </c>
      <c r="J1171" s="609">
        <v>50</v>
      </c>
      <c r="K1171" s="610" t="s">
        <v>9205</v>
      </c>
      <c r="L1171" s="611" t="s">
        <v>42</v>
      </c>
      <c r="M1171" s="835"/>
      <c r="N1171" s="401" t="s">
        <v>9206</v>
      </c>
      <c r="O1171" s="857"/>
      <c r="P1171" s="857"/>
      <c r="Q1171" s="1055"/>
      <c r="R1171" s="1045">
        <v>0</v>
      </c>
      <c r="S1171" s="1045">
        <v>0</v>
      </c>
      <c r="T1171" s="614">
        <v>0</v>
      </c>
      <c r="U1171" s="614">
        <v>51</v>
      </c>
      <c r="V1171" s="615">
        <f>U1171*J1171</f>
        <v>2550</v>
      </c>
      <c r="W1171" s="1046" t="s">
        <v>221</v>
      </c>
      <c r="X1171" s="616" t="s">
        <v>3079</v>
      </c>
      <c r="Y1171" s="932" t="s">
        <v>324</v>
      </c>
      <c r="Z1171" s="1005"/>
      <c r="AA1171" s="582" t="s">
        <v>3336</v>
      </c>
      <c r="AB1171" s="938"/>
      <c r="AC1171" s="863">
        <v>3500</v>
      </c>
    </row>
    <row r="1172" spans="1:29" s="200" customFormat="1" ht="92.25" customHeight="1" x14ac:dyDescent="0.25">
      <c r="A1172" s="566">
        <v>45610</v>
      </c>
      <c r="B1172" s="884"/>
      <c r="C1172" s="596" t="s">
        <v>9207</v>
      </c>
      <c r="D1172" s="596" t="s">
        <v>9208</v>
      </c>
      <c r="E1172" s="607" t="s">
        <v>39</v>
      </c>
      <c r="F1172" s="824">
        <v>1</v>
      </c>
      <c r="G1172" s="953"/>
      <c r="H1172" s="954"/>
      <c r="I1172" s="599" t="s">
        <v>9209</v>
      </c>
      <c r="J1172" s="609">
        <v>10</v>
      </c>
      <c r="K1172" s="610" t="s">
        <v>2869</v>
      </c>
      <c r="L1172" s="611" t="s">
        <v>63</v>
      </c>
      <c r="M1172" s="835"/>
      <c r="N1172" s="401" t="s">
        <v>9210</v>
      </c>
      <c r="O1172" s="234"/>
      <c r="P1172" s="1056" t="s">
        <v>9211</v>
      </c>
      <c r="Q1172" s="50" t="s">
        <v>9212</v>
      </c>
      <c r="R1172" s="1045">
        <v>42</v>
      </c>
      <c r="S1172" s="1045">
        <v>316</v>
      </c>
      <c r="T1172" s="614" t="s">
        <v>96</v>
      </c>
      <c r="U1172" s="614">
        <v>86</v>
      </c>
      <c r="V1172" s="615">
        <f>U1172*J1172</f>
        <v>860</v>
      </c>
      <c r="W1172" s="1046" t="s">
        <v>350</v>
      </c>
      <c r="X1172" s="616" t="s">
        <v>9213</v>
      </c>
      <c r="Y1172" s="932" t="s">
        <v>50</v>
      </c>
      <c r="Z1172" s="1057"/>
      <c r="AA1172" s="737"/>
      <c r="AB1172" s="1058" t="s">
        <v>9214</v>
      </c>
      <c r="AC1172" s="986">
        <v>3378</v>
      </c>
    </row>
    <row r="1173" spans="1:29" s="12" customFormat="1" ht="91.5" customHeight="1" x14ac:dyDescent="0.25">
      <c r="A1173" s="566">
        <v>45610</v>
      </c>
      <c r="B1173" s="884"/>
      <c r="C1173" s="1059" t="s">
        <v>9215</v>
      </c>
      <c r="D1173" s="1060" t="s">
        <v>9216</v>
      </c>
      <c r="E1173" s="1061" t="s">
        <v>39</v>
      </c>
      <c r="F1173" s="1062"/>
      <c r="G1173" s="1062"/>
      <c r="H1173" s="1063" t="s">
        <v>9217</v>
      </c>
      <c r="I1173" s="245" t="s">
        <v>9218</v>
      </c>
      <c r="J1173" s="1064">
        <v>2</v>
      </c>
      <c r="K1173" s="1065" t="s">
        <v>9219</v>
      </c>
      <c r="L1173" s="1061" t="s">
        <v>63</v>
      </c>
      <c r="M1173" s="1061" t="s">
        <v>42</v>
      </c>
      <c r="N1173" s="1066" t="s">
        <v>9220</v>
      </c>
      <c r="O1173" s="980" t="s">
        <v>9221</v>
      </c>
      <c r="P1173" s="1067" t="s">
        <v>9222</v>
      </c>
      <c r="Q1173" s="1068" t="s">
        <v>9223</v>
      </c>
      <c r="R1173" s="1061">
        <v>19</v>
      </c>
      <c r="S1173" s="1061">
        <v>170</v>
      </c>
      <c r="T1173" s="1061" t="s">
        <v>47</v>
      </c>
      <c r="U1173" s="1061">
        <v>30</v>
      </c>
      <c r="V1173" s="1061">
        <v>120</v>
      </c>
      <c r="W1173" s="1069" t="s">
        <v>350</v>
      </c>
      <c r="X1173" s="956" t="s">
        <v>6337</v>
      </c>
      <c r="Y1173" s="829" t="s">
        <v>9224</v>
      </c>
      <c r="Z1173" s="830"/>
      <c r="AA1173" s="582" t="s">
        <v>1701</v>
      </c>
      <c r="AB1173" s="957">
        <v>45581</v>
      </c>
      <c r="AC1173" s="963">
        <f>(3546/2)</f>
        <v>1773</v>
      </c>
    </row>
    <row r="1174" spans="1:29" s="12" customFormat="1" ht="165" x14ac:dyDescent="0.25">
      <c r="A1174" s="566">
        <v>45610</v>
      </c>
      <c r="B1174" s="884"/>
      <c r="C1174" s="1070" t="s">
        <v>9225</v>
      </c>
      <c r="D1174" s="593" t="s">
        <v>9226</v>
      </c>
      <c r="E1174" s="587" t="s">
        <v>39</v>
      </c>
      <c r="F1174" s="1071"/>
      <c r="G1174" s="1071"/>
      <c r="H1174" s="1072">
        <v>1</v>
      </c>
      <c r="I1174" s="245" t="s">
        <v>9227</v>
      </c>
      <c r="J1174" s="1073">
        <v>2</v>
      </c>
      <c r="K1174" s="1074" t="s">
        <v>2884</v>
      </c>
      <c r="L1174" s="587" t="s">
        <v>63</v>
      </c>
      <c r="M1174" s="587" t="s">
        <v>42</v>
      </c>
      <c r="N1174" s="1075" t="s">
        <v>9228</v>
      </c>
      <c r="O1174" s="1076"/>
      <c r="P1174" s="1077"/>
      <c r="Q1174" s="1078" t="s">
        <v>9229</v>
      </c>
      <c r="R1174" s="587">
        <v>19</v>
      </c>
      <c r="S1174" s="587">
        <v>170</v>
      </c>
      <c r="T1174" s="587" t="s">
        <v>47</v>
      </c>
      <c r="U1174" s="587">
        <v>30</v>
      </c>
      <c r="V1174" s="587">
        <v>120</v>
      </c>
      <c r="W1174" s="1079" t="s">
        <v>350</v>
      </c>
      <c r="X1174" s="956" t="s">
        <v>6337</v>
      </c>
      <c r="Y1174" s="829" t="s">
        <v>9224</v>
      </c>
      <c r="Z1174" s="830"/>
      <c r="AA1174" s="582" t="s">
        <v>1701</v>
      </c>
      <c r="AB1174" s="957">
        <v>45581</v>
      </c>
      <c r="AC1174" s="963">
        <f>(3546.8/2)+1000</f>
        <v>2773.4</v>
      </c>
    </row>
    <row r="1175" spans="1:29" s="200" customFormat="1" ht="345" x14ac:dyDescent="0.25">
      <c r="A1175" s="566">
        <v>45610</v>
      </c>
      <c r="B1175" s="884"/>
      <c r="C1175" s="596" t="s">
        <v>9230</v>
      </c>
      <c r="D1175" s="596" t="s">
        <v>9231</v>
      </c>
      <c r="E1175" s="607" t="s">
        <v>39</v>
      </c>
      <c r="F1175" s="824">
        <v>1</v>
      </c>
      <c r="G1175" s="608"/>
      <c r="H1175" s="608"/>
      <c r="I1175" s="245" t="s">
        <v>9232</v>
      </c>
      <c r="J1175" s="609">
        <v>10</v>
      </c>
      <c r="K1175" s="826" t="s">
        <v>2869</v>
      </c>
      <c r="L1175" s="611" t="s">
        <v>63</v>
      </c>
      <c r="M1175" s="42" t="s">
        <v>42</v>
      </c>
      <c r="N1175" s="401" t="s">
        <v>9233</v>
      </c>
      <c r="O1175" s="1080" t="s">
        <v>9234</v>
      </c>
      <c r="P1175" s="1015" t="s">
        <v>9235</v>
      </c>
      <c r="Q1175" s="51" t="s">
        <v>9236</v>
      </c>
      <c r="R1175" s="1045">
        <v>55</v>
      </c>
      <c r="S1175" s="1045">
        <v>776</v>
      </c>
      <c r="T1175" s="614" t="s">
        <v>47</v>
      </c>
      <c r="U1175" s="614">
        <v>9</v>
      </c>
      <c r="V1175" s="615">
        <f>U1175*J1175</f>
        <v>90</v>
      </c>
      <c r="W1175" s="614" t="s">
        <v>350</v>
      </c>
      <c r="X1175" s="616" t="s">
        <v>9237</v>
      </c>
      <c r="Y1175" s="199" t="s">
        <v>144</v>
      </c>
      <c r="Z1175" s="565"/>
      <c r="AA1175" s="617" t="s">
        <v>2700</v>
      </c>
      <c r="AB1175" s="938" t="s">
        <v>2170</v>
      </c>
      <c r="AC1175" s="619">
        <v>5403</v>
      </c>
    </row>
    <row r="1176" spans="1:29" ht="151.5" customHeight="1" x14ac:dyDescent="0.25">
      <c r="A1176" s="566">
        <v>45610</v>
      </c>
      <c r="B1176" s="884"/>
      <c r="C1176" s="596" t="s">
        <v>9238</v>
      </c>
      <c r="D1176" s="596"/>
      <c r="E1176" s="607" t="s">
        <v>195</v>
      </c>
      <c r="F1176" s="608"/>
      <c r="G1176" s="608"/>
      <c r="H1176" s="608"/>
      <c r="I1176" s="245" t="s">
        <v>9239</v>
      </c>
      <c r="J1176" s="609">
        <v>105</v>
      </c>
      <c r="K1176" s="610" t="s">
        <v>9240</v>
      </c>
      <c r="L1176" s="611"/>
      <c r="M1176" s="42"/>
      <c r="N1176" s="401" t="s">
        <v>9241</v>
      </c>
      <c r="O1176" s="1080"/>
      <c r="P1176" s="1080"/>
      <c r="Q1176" s="1080"/>
      <c r="R1176" s="1045"/>
      <c r="S1176" s="1045"/>
      <c r="T1176" s="1081"/>
      <c r="U1176" s="614"/>
      <c r="V1176" s="615">
        <f>U1176*J1176</f>
        <v>0</v>
      </c>
      <c r="W1176" s="614" t="s">
        <v>350</v>
      </c>
      <c r="X1176" s="616" t="s">
        <v>6958</v>
      </c>
      <c r="Y1176" s="168" t="s">
        <v>70</v>
      </c>
      <c r="Z1176" s="1053"/>
      <c r="AA1176" s="617" t="s">
        <v>83</v>
      </c>
      <c r="AB1176" s="618" t="s">
        <v>9242</v>
      </c>
      <c r="AC1176" s="619">
        <v>6179.25</v>
      </c>
    </row>
    <row r="1177" spans="1:29" s="200" customFormat="1" ht="165" x14ac:dyDescent="0.25">
      <c r="A1177" s="566">
        <v>45609</v>
      </c>
      <c r="B1177" s="884"/>
      <c r="C1177" s="866" t="s">
        <v>9243</v>
      </c>
      <c r="D1177" s="866"/>
      <c r="E1177" s="587" t="s">
        <v>3155</v>
      </c>
      <c r="F1177" s="867"/>
      <c r="G1177" s="867"/>
      <c r="H1177" s="867"/>
      <c r="I1177" s="245" t="s">
        <v>9244</v>
      </c>
      <c r="J1177" s="589">
        <v>99</v>
      </c>
      <c r="K1177" s="672" t="s">
        <v>9245</v>
      </c>
      <c r="L1177" s="855"/>
      <c r="M1177" s="587"/>
      <c r="N1177" s="77" t="s">
        <v>9246</v>
      </c>
      <c r="O1177" s="1082"/>
      <c r="P1177" s="1082"/>
      <c r="Q1177" s="1082"/>
      <c r="R1177" s="1083"/>
      <c r="S1177" s="1083"/>
      <c r="T1177" s="1084"/>
      <c r="U1177" s="677"/>
      <c r="V1177" s="678">
        <f>U1177*J1177</f>
        <v>0</v>
      </c>
      <c r="W1177" s="677" t="s">
        <v>142</v>
      </c>
      <c r="X1177" s="616" t="s">
        <v>9247</v>
      </c>
      <c r="Y1177" s="199" t="s">
        <v>324</v>
      </c>
      <c r="Z1177" s="565"/>
      <c r="AA1177" s="617" t="s">
        <v>83</v>
      </c>
      <c r="AB1177" s="618"/>
      <c r="AC1177" s="619">
        <v>4200</v>
      </c>
    </row>
    <row r="1178" spans="1:29" ht="165" x14ac:dyDescent="0.25">
      <c r="A1178" s="566">
        <v>45608</v>
      </c>
      <c r="B1178" s="884"/>
      <c r="C1178" s="1085" t="s">
        <v>9248</v>
      </c>
      <c r="D1178" s="1085" t="s">
        <v>9249</v>
      </c>
      <c r="E1178" s="1086" t="s">
        <v>39</v>
      </c>
      <c r="F1178" s="1087"/>
      <c r="G1178" s="1087"/>
      <c r="H1178" s="1004">
        <v>1</v>
      </c>
      <c r="I1178" s="599" t="s">
        <v>9250</v>
      </c>
      <c r="J1178" s="1088">
        <v>50</v>
      </c>
      <c r="K1178" s="1089" t="s">
        <v>9251</v>
      </c>
      <c r="L1178" s="1090" t="s">
        <v>63</v>
      </c>
      <c r="M1178" s="1091" t="s">
        <v>42</v>
      </c>
      <c r="N1178" s="1092" t="s">
        <v>9252</v>
      </c>
      <c r="O1178" s="1093" t="s">
        <v>9253</v>
      </c>
      <c r="P1178" s="1094" t="s">
        <v>9254</v>
      </c>
      <c r="Q1178" s="1095" t="s">
        <v>9161</v>
      </c>
      <c r="R1178" s="1096">
        <v>86</v>
      </c>
      <c r="S1178" s="1097">
        <v>335</v>
      </c>
      <c r="T1178" s="1086" t="s">
        <v>47</v>
      </c>
      <c r="U1178" s="1086">
        <v>5</v>
      </c>
      <c r="V1178" s="1098">
        <f>U1178*J1178</f>
        <v>250</v>
      </c>
      <c r="W1178" s="1086" t="s">
        <v>9255</v>
      </c>
      <c r="X1178" s="1099" t="s">
        <v>9256</v>
      </c>
      <c r="Y1178" s="1100" t="s">
        <v>324</v>
      </c>
      <c r="Z1178" s="1005"/>
      <c r="AA1178" s="693" t="s">
        <v>2793</v>
      </c>
      <c r="AB1178" s="938" t="s">
        <v>9071</v>
      </c>
      <c r="AC1178" s="1101">
        <v>10191</v>
      </c>
    </row>
    <row r="1179" spans="1:29" ht="180" x14ac:dyDescent="0.25">
      <c r="A1179" s="566">
        <v>45608</v>
      </c>
      <c r="B1179" s="884"/>
      <c r="C1179" s="596" t="s">
        <v>9257</v>
      </c>
      <c r="D1179" s="607"/>
      <c r="E1179" s="607" t="s">
        <v>39</v>
      </c>
      <c r="F1179" s="905">
        <v>1</v>
      </c>
      <c r="G1179" s="608"/>
      <c r="H1179" s="1102"/>
      <c r="I1179" s="599" t="s">
        <v>9258</v>
      </c>
      <c r="J1179" s="928">
        <v>200</v>
      </c>
      <c r="K1179" s="610" t="s">
        <v>9259</v>
      </c>
      <c r="L1179" s="611" t="s">
        <v>63</v>
      </c>
      <c r="M1179" s="1103"/>
      <c r="N1179" s="930" t="s">
        <v>9260</v>
      </c>
      <c r="O1179" s="1009" t="s">
        <v>9261</v>
      </c>
      <c r="P1179" s="1104" t="s">
        <v>9262</v>
      </c>
      <c r="Q1179" s="578" t="s">
        <v>9263</v>
      </c>
      <c r="R1179" s="1045">
        <v>16</v>
      </c>
      <c r="S1179" s="1045">
        <v>25</v>
      </c>
      <c r="T1179" s="614" t="s">
        <v>47</v>
      </c>
      <c r="U1179" s="614">
        <v>10</v>
      </c>
      <c r="V1179" s="615">
        <f>U1179*J1179</f>
        <v>2000</v>
      </c>
      <c r="W1179" s="614" t="s">
        <v>350</v>
      </c>
      <c r="X1179" s="616" t="s">
        <v>9264</v>
      </c>
      <c r="Y1179" s="932" t="s">
        <v>82</v>
      </c>
      <c r="Z1179" s="1005"/>
      <c r="AA1179" s="693" t="s">
        <v>3237</v>
      </c>
      <c r="AB1179" s="938" t="s">
        <v>9265</v>
      </c>
      <c r="AC1179" s="863">
        <v>3876</v>
      </c>
    </row>
    <row r="1180" spans="1:29" s="12" customFormat="1" ht="136.5" customHeight="1" x14ac:dyDescent="0.25">
      <c r="A1180" s="566">
        <v>45607</v>
      </c>
      <c r="B1180" s="884"/>
      <c r="C1180" s="1105" t="s">
        <v>9266</v>
      </c>
      <c r="D1180" s="41" t="s">
        <v>9267</v>
      </c>
      <c r="E1180" s="536" t="s">
        <v>39</v>
      </c>
      <c r="F1180" s="19">
        <v>1</v>
      </c>
      <c r="G1180" s="1007"/>
      <c r="H1180" s="1008"/>
      <c r="I1180" s="245" t="s">
        <v>9268</v>
      </c>
      <c r="J1180" s="955" t="s">
        <v>9269</v>
      </c>
      <c r="K1180" s="701" t="s">
        <v>3014</v>
      </c>
      <c r="L1180" s="42" t="s">
        <v>63</v>
      </c>
      <c r="M1180" s="42" t="s">
        <v>42</v>
      </c>
      <c r="N1180" s="77" t="s">
        <v>9270</v>
      </c>
      <c r="O1180" s="234" t="s">
        <v>9271</v>
      </c>
      <c r="P1180" s="1056" t="s">
        <v>9272</v>
      </c>
      <c r="Q1180" s="703" t="s">
        <v>9273</v>
      </c>
      <c r="R1180" s="42">
        <v>147</v>
      </c>
      <c r="S1180" s="42">
        <v>565</v>
      </c>
      <c r="T1180" s="42" t="s">
        <v>141</v>
      </c>
      <c r="U1180" s="42">
        <v>52</v>
      </c>
      <c r="V1180" s="42">
        <v>260</v>
      </c>
      <c r="W1180" s="1106" t="s">
        <v>142</v>
      </c>
      <c r="X1180" s="956" t="s">
        <v>1243</v>
      </c>
      <c r="Y1180" s="829" t="s">
        <v>8161</v>
      </c>
      <c r="Z1180" s="224" t="s">
        <v>5104</v>
      </c>
      <c r="AA1180" s="693" t="s">
        <v>1622</v>
      </c>
      <c r="AB1180" s="1107">
        <v>45583</v>
      </c>
      <c r="AC1180" s="963">
        <f>8262+1200+3200</f>
        <v>12662</v>
      </c>
    </row>
    <row r="1181" spans="1:29" s="200" customFormat="1" ht="257.25" customHeight="1" x14ac:dyDescent="0.25">
      <c r="A1181" s="566">
        <v>45604</v>
      </c>
      <c r="B1181" s="884"/>
      <c r="C1181" s="726" t="s">
        <v>9192</v>
      </c>
      <c r="D1181" s="606" t="s">
        <v>9274</v>
      </c>
      <c r="E1181" s="607" t="s">
        <v>39</v>
      </c>
      <c r="F1181" s="905">
        <v>1</v>
      </c>
      <c r="G1181" s="927"/>
      <c r="H1181" s="1108"/>
      <c r="I1181" s="599" t="s">
        <v>9275</v>
      </c>
      <c r="J1181" s="928">
        <v>50</v>
      </c>
      <c r="K1181" s="610" t="s">
        <v>9276</v>
      </c>
      <c r="L1181" s="611" t="s">
        <v>63</v>
      </c>
      <c r="M1181" s="835" t="s">
        <v>42</v>
      </c>
      <c r="N1181" s="600" t="s">
        <v>9277</v>
      </c>
      <c r="O1181" s="1009" t="s">
        <v>9135</v>
      </c>
      <c r="P1181" s="1048" t="s">
        <v>9136</v>
      </c>
      <c r="Q1181" s="734" t="s">
        <v>9137</v>
      </c>
      <c r="R1181" s="1045">
        <v>25</v>
      </c>
      <c r="S1181" s="1109">
        <v>42</v>
      </c>
      <c r="T1181" s="614" t="s">
        <v>549</v>
      </c>
      <c r="U1181" s="614">
        <v>2</v>
      </c>
      <c r="V1181" s="615">
        <v>500</v>
      </c>
      <c r="W1181" s="614" t="s">
        <v>350</v>
      </c>
      <c r="X1181" s="616" t="s">
        <v>9138</v>
      </c>
      <c r="Y1181" s="1110" t="s">
        <v>82</v>
      </c>
      <c r="Z1181" s="1057"/>
      <c r="AA1181" s="1111" t="s">
        <v>9139</v>
      </c>
      <c r="AB1181" s="1058" t="s">
        <v>9129</v>
      </c>
      <c r="AC1181" s="1112">
        <f>((19024-900)/400 * 50)+900</f>
        <v>3165.5</v>
      </c>
    </row>
    <row r="1182" spans="1:29" s="200" customFormat="1" ht="82.5" customHeight="1" x14ac:dyDescent="0.25">
      <c r="A1182" s="566">
        <v>45604</v>
      </c>
      <c r="B1182" s="884"/>
      <c r="C1182" s="947" t="s">
        <v>9278</v>
      </c>
      <c r="D1182" s="1113" t="s">
        <v>9279</v>
      </c>
      <c r="E1182" s="1114" t="s">
        <v>39</v>
      </c>
      <c r="F1182" s="1115"/>
      <c r="G1182" s="1115"/>
      <c r="H1182" s="1115">
        <v>1</v>
      </c>
      <c r="I1182" s="1116" t="s">
        <v>9280</v>
      </c>
      <c r="J1182" s="1117">
        <v>10</v>
      </c>
      <c r="K1182" s="967" t="s">
        <v>9281</v>
      </c>
      <c r="L1182" s="1118" t="s">
        <v>63</v>
      </c>
      <c r="M1182" s="1119" t="s">
        <v>42</v>
      </c>
      <c r="N1182" s="1120" t="s">
        <v>9282</v>
      </c>
      <c r="O1182" s="1121" t="s">
        <v>9283</v>
      </c>
      <c r="P1182" s="1122" t="s">
        <v>9284</v>
      </c>
      <c r="Q1182" s="1123" t="s">
        <v>9285</v>
      </c>
      <c r="R1182" s="1124">
        <v>150</v>
      </c>
      <c r="S1182" s="1124">
        <v>328</v>
      </c>
      <c r="T1182" s="1125" t="s">
        <v>9286</v>
      </c>
      <c r="U1182" s="1125">
        <v>12</v>
      </c>
      <c r="V1182" s="1126">
        <f>U1182*J1182</f>
        <v>120</v>
      </c>
      <c r="W1182" s="680" t="s">
        <v>350</v>
      </c>
      <c r="X1182" s="616" t="s">
        <v>6337</v>
      </c>
      <c r="Y1182" s="199" t="s">
        <v>82</v>
      </c>
      <c r="Z1182" s="1127"/>
      <c r="AA1182" s="837" t="s">
        <v>2734</v>
      </c>
      <c r="AB1182" s="1128">
        <v>45597</v>
      </c>
      <c r="AC1182" s="838">
        <v>7246</v>
      </c>
    </row>
    <row r="1183" spans="1:29" s="12" customFormat="1" ht="48.75" customHeight="1" x14ac:dyDescent="0.25">
      <c r="A1183" s="566">
        <v>45603</v>
      </c>
      <c r="B1183" s="884"/>
      <c r="C1183" s="993" t="s">
        <v>9287</v>
      </c>
      <c r="D1183" s="994" t="s">
        <v>9288</v>
      </c>
      <c r="E1183" s="1129" t="s">
        <v>39</v>
      </c>
      <c r="F1183" s="1130"/>
      <c r="G1183" s="1130"/>
      <c r="H1183" s="1131">
        <v>1</v>
      </c>
      <c r="I1183" s="523" t="s">
        <v>9289</v>
      </c>
      <c r="J1183" s="700">
        <v>100</v>
      </c>
      <c r="K1183" s="996" t="s">
        <v>9290</v>
      </c>
      <c r="L1183" s="145" t="s">
        <v>63</v>
      </c>
      <c r="M1183" s="145" t="s">
        <v>42</v>
      </c>
      <c r="N1183" s="1132" t="s">
        <v>9291</v>
      </c>
      <c r="O1183" s="1133" t="s">
        <v>9292</v>
      </c>
      <c r="P1183" s="998" t="s">
        <v>9293</v>
      </c>
      <c r="Q1183" s="1134" t="s">
        <v>9294</v>
      </c>
      <c r="R1183" s="1135">
        <v>9</v>
      </c>
      <c r="S1183" s="1136">
        <v>211</v>
      </c>
      <c r="T1183" s="145" t="s">
        <v>47</v>
      </c>
      <c r="U1183" s="145">
        <v>0</v>
      </c>
      <c r="V1183" s="145">
        <v>0</v>
      </c>
      <c r="W1183" s="997" t="s">
        <v>68</v>
      </c>
      <c r="X1183" s="1137" t="s">
        <v>2329</v>
      </c>
      <c r="Y1183" s="1138" t="s">
        <v>70</v>
      </c>
      <c r="Z1183" s="1139"/>
      <c r="AA1183" s="1140" t="s">
        <v>9295</v>
      </c>
      <c r="AB1183" s="1107">
        <v>45587</v>
      </c>
      <c r="AC1183" s="1141">
        <v>6225</v>
      </c>
    </row>
    <row r="1184" spans="1:29" s="12" customFormat="1" ht="90" x14ac:dyDescent="0.25">
      <c r="A1184" s="566">
        <v>45602</v>
      </c>
      <c r="B1184" s="566"/>
      <c r="C1184" s="224" t="s">
        <v>9296</v>
      </c>
      <c r="D1184" s="1142" t="s">
        <v>9297</v>
      </c>
      <c r="E1184" s="1143" t="s">
        <v>39</v>
      </c>
      <c r="F1184" s="1144">
        <v>1</v>
      </c>
      <c r="G1184" s="1145"/>
      <c r="H1184" s="1145"/>
      <c r="I1184" s="1035" t="s">
        <v>9298</v>
      </c>
      <c r="J1184" s="88">
        <v>225</v>
      </c>
      <c r="K1184" s="88" t="s">
        <v>9299</v>
      </c>
      <c r="L1184" s="1143" t="s">
        <v>63</v>
      </c>
      <c r="M1184" s="1143" t="s">
        <v>42</v>
      </c>
      <c r="N1184" s="1146" t="s">
        <v>9300</v>
      </c>
      <c r="O1184" s="1009" t="s">
        <v>9301</v>
      </c>
      <c r="P1184" s="702" t="s">
        <v>9302</v>
      </c>
      <c r="Q1184" s="1147" t="s">
        <v>9303</v>
      </c>
      <c r="R1184" s="1143">
        <v>2</v>
      </c>
      <c r="S1184" s="1143">
        <v>2</v>
      </c>
      <c r="T1184" s="1143" t="s">
        <v>47</v>
      </c>
      <c r="U1184" s="1143">
        <v>0</v>
      </c>
      <c r="V1184" s="1143">
        <v>0</v>
      </c>
      <c r="W1184" s="1143" t="s">
        <v>350</v>
      </c>
      <c r="X1184" s="956" t="s">
        <v>265</v>
      </c>
      <c r="Y1184" s="736" t="s">
        <v>82</v>
      </c>
      <c r="Z1184" s="736"/>
      <c r="AA1184" s="736" t="s">
        <v>2899</v>
      </c>
      <c r="AB1184" s="1033">
        <v>45586</v>
      </c>
      <c r="AC1184" s="1034">
        <v>3947.5</v>
      </c>
    </row>
    <row r="1185" spans="1:29" s="200" customFormat="1" ht="18.75" customHeight="1" x14ac:dyDescent="0.25">
      <c r="A1185" s="566">
        <v>45602</v>
      </c>
      <c r="B1185" s="884"/>
      <c r="C1185" s="596" t="s">
        <v>9304</v>
      </c>
      <c r="D1185" s="607"/>
      <c r="E1185" s="84" t="s">
        <v>39</v>
      </c>
      <c r="F1185" s="905">
        <v>1</v>
      </c>
      <c r="G1185" s="823"/>
      <c r="H1185" s="1028"/>
      <c r="I1185" s="599" t="s">
        <v>9305</v>
      </c>
      <c r="J1185" s="609">
        <v>175</v>
      </c>
      <c r="K1185" s="610" t="s">
        <v>9306</v>
      </c>
      <c r="L1185" s="611" t="s">
        <v>63</v>
      </c>
      <c r="M1185" s="835"/>
      <c r="N1185" s="401" t="s">
        <v>9307</v>
      </c>
      <c r="O1185" s="1148" t="s">
        <v>9308</v>
      </c>
      <c r="P1185" s="1149" t="s">
        <v>9309</v>
      </c>
      <c r="Q1185" s="1150" t="s">
        <v>9310</v>
      </c>
      <c r="R1185" s="1045">
        <v>32</v>
      </c>
      <c r="S1185" s="1045">
        <v>46</v>
      </c>
      <c r="T1185" s="614" t="s">
        <v>47</v>
      </c>
      <c r="U1185" s="614">
        <v>0</v>
      </c>
      <c r="V1185" s="615">
        <f>U1185*J1185</f>
        <v>0</v>
      </c>
      <c r="W1185" s="1046" t="s">
        <v>350</v>
      </c>
      <c r="X1185" s="616" t="s">
        <v>5544</v>
      </c>
      <c r="Y1185" s="829" t="s">
        <v>82</v>
      </c>
      <c r="Z1185" s="692"/>
      <c r="AA1185" s="693" t="s">
        <v>2764</v>
      </c>
      <c r="AB1185" s="938"/>
      <c r="AC1185" s="863">
        <v>2978.5</v>
      </c>
    </row>
    <row r="1186" spans="1:29" s="12" customFormat="1" ht="152.25" customHeight="1" x14ac:dyDescent="0.25">
      <c r="A1186" s="566">
        <v>45602</v>
      </c>
      <c r="B1186" s="884"/>
      <c r="C1186" s="952" t="s">
        <v>9311</v>
      </c>
      <c r="D1186" s="278"/>
      <c r="E1186" s="42" t="s">
        <v>39</v>
      </c>
      <c r="F1186" s="953">
        <v>1</v>
      </c>
      <c r="G1186" s="953"/>
      <c r="H1186" s="954"/>
      <c r="I1186" s="245" t="s">
        <v>9312</v>
      </c>
      <c r="J1186" s="955">
        <v>8</v>
      </c>
      <c r="K1186" s="701" t="s">
        <v>9313</v>
      </c>
      <c r="L1186" s="42" t="s">
        <v>63</v>
      </c>
      <c r="M1186" s="42" t="s">
        <v>42</v>
      </c>
      <c r="N1186" s="1029" t="s">
        <v>9314</v>
      </c>
      <c r="O1186" s="1148" t="s">
        <v>9315</v>
      </c>
      <c r="P1186" s="1009" t="s">
        <v>9316</v>
      </c>
      <c r="Q1186" s="1151" t="s">
        <v>9317</v>
      </c>
      <c r="R1186" s="42">
        <v>147</v>
      </c>
      <c r="S1186" s="42">
        <v>527</v>
      </c>
      <c r="T1186" s="42" t="s">
        <v>9318</v>
      </c>
      <c r="U1186" s="42">
        <v>52</v>
      </c>
      <c r="V1186" s="42">
        <v>520</v>
      </c>
      <c r="W1186" s="64" t="s">
        <v>350</v>
      </c>
      <c r="X1186" s="956" t="s">
        <v>1004</v>
      </c>
      <c r="Y1186" s="829" t="s">
        <v>82</v>
      </c>
      <c r="Z1186" s="736" t="s">
        <v>9319</v>
      </c>
      <c r="AA1186" s="582" t="s">
        <v>2774</v>
      </c>
      <c r="AB1186" s="957">
        <v>45583</v>
      </c>
      <c r="AC1186" s="829">
        <v>6026.8</v>
      </c>
    </row>
    <row r="1187" spans="1:29" s="12" customFormat="1" ht="210" x14ac:dyDescent="0.25">
      <c r="A1187" s="566">
        <v>45601</v>
      </c>
      <c r="B1187" s="884"/>
      <c r="C1187" s="821" t="s">
        <v>9320</v>
      </c>
      <c r="D1187" s="822"/>
      <c r="E1187" s="84" t="s">
        <v>39</v>
      </c>
      <c r="F1187" s="905">
        <v>1</v>
      </c>
      <c r="G1187" s="823"/>
      <c r="H1187" s="1028"/>
      <c r="I1187" s="1035">
        <v>126651</v>
      </c>
      <c r="J1187" s="1041">
        <v>19</v>
      </c>
      <c r="K1187" s="826" t="s">
        <v>9321</v>
      </c>
      <c r="L1187" s="84" t="s">
        <v>63</v>
      </c>
      <c r="M1187" s="84" t="s">
        <v>42</v>
      </c>
      <c r="N1187" s="1152" t="s">
        <v>9322</v>
      </c>
      <c r="O1187" s="1036"/>
      <c r="P1187" s="1009" t="s">
        <v>9323</v>
      </c>
      <c r="Q1187" s="1036" t="s">
        <v>9324</v>
      </c>
      <c r="R1187" s="1153">
        <v>2</v>
      </c>
      <c r="S1187" s="84">
        <v>4</v>
      </c>
      <c r="T1187" s="84" t="s">
        <v>96</v>
      </c>
      <c r="U1187" s="84">
        <v>30</v>
      </c>
      <c r="V1187" s="84">
        <v>570</v>
      </c>
      <c r="W1187" s="64" t="s">
        <v>142</v>
      </c>
      <c r="X1187" s="956" t="s">
        <v>98</v>
      </c>
      <c r="Y1187" s="829" t="s">
        <v>82</v>
      </c>
      <c r="Z1187" s="736"/>
      <c r="AA1187" s="693" t="s">
        <v>2793</v>
      </c>
      <c r="AB1187" s="957">
        <v>45587</v>
      </c>
      <c r="AC1187" s="958">
        <v>4714</v>
      </c>
    </row>
    <row r="1188" spans="1:29" s="200" customFormat="1" ht="165" x14ac:dyDescent="0.25">
      <c r="A1188" s="566">
        <v>45601</v>
      </c>
      <c r="B1188" s="884"/>
      <c r="C1188" s="883" t="s">
        <v>9325</v>
      </c>
      <c r="D1188" s="607"/>
      <c r="E1188" s="607" t="s">
        <v>195</v>
      </c>
      <c r="F1188" s="823">
        <v>2</v>
      </c>
      <c r="G1188" s="823"/>
      <c r="H1188" s="1028"/>
      <c r="I1188" s="599" t="s">
        <v>9326</v>
      </c>
      <c r="J1188" s="609">
        <v>25</v>
      </c>
      <c r="K1188" s="610" t="s">
        <v>9327</v>
      </c>
      <c r="L1188" s="611" t="s">
        <v>63</v>
      </c>
      <c r="M1188" s="835"/>
      <c r="N1188" s="862" t="s">
        <v>240</v>
      </c>
      <c r="O1188" s="1149" t="s">
        <v>9328</v>
      </c>
      <c r="P1188" s="1149" t="s">
        <v>9329</v>
      </c>
      <c r="Q1188" s="1154" t="s">
        <v>9330</v>
      </c>
      <c r="R1188" s="1045">
        <v>16</v>
      </c>
      <c r="S1188" s="1045">
        <v>25</v>
      </c>
      <c r="T1188" s="1081" t="s">
        <v>96</v>
      </c>
      <c r="U1188" s="614">
        <v>2</v>
      </c>
      <c r="V1188" s="615">
        <f>U1188*J1188</f>
        <v>50</v>
      </c>
      <c r="W1188" s="1046" t="s">
        <v>350</v>
      </c>
      <c r="X1188" s="616" t="s">
        <v>960</v>
      </c>
      <c r="Y1188" s="932" t="s">
        <v>324</v>
      </c>
      <c r="Z1188" s="692"/>
      <c r="AA1188" s="582" t="s">
        <v>2899</v>
      </c>
      <c r="AB1188" s="938"/>
      <c r="AC1188" s="863">
        <v>2675</v>
      </c>
    </row>
    <row r="1189" spans="1:29" s="12" customFormat="1" ht="375" x14ac:dyDescent="0.25">
      <c r="A1189" s="566">
        <v>45601</v>
      </c>
      <c r="B1189" s="884"/>
      <c r="C1189" s="952" t="s">
        <v>9331</v>
      </c>
      <c r="D1189" s="822"/>
      <c r="E1189" s="84" t="s">
        <v>39</v>
      </c>
      <c r="F1189" s="823">
        <v>1</v>
      </c>
      <c r="G1189" s="823"/>
      <c r="H1189" s="1028"/>
      <c r="I1189" s="1035" t="s">
        <v>9332</v>
      </c>
      <c r="J1189" s="1041">
        <v>100</v>
      </c>
      <c r="K1189" s="701" t="s">
        <v>9333</v>
      </c>
      <c r="L1189" s="84" t="s">
        <v>63</v>
      </c>
      <c r="M1189" s="84" t="s">
        <v>42</v>
      </c>
      <c r="N1189" s="77" t="s">
        <v>9334</v>
      </c>
      <c r="O1189" s="1148" t="s">
        <v>9335</v>
      </c>
      <c r="P1189" s="1009" t="s">
        <v>9336</v>
      </c>
      <c r="Q1189" s="1036" t="s">
        <v>9337</v>
      </c>
      <c r="R1189" s="1153">
        <v>38</v>
      </c>
      <c r="S1189" s="84">
        <v>110</v>
      </c>
      <c r="T1189" s="84" t="s">
        <v>47</v>
      </c>
      <c r="U1189" s="84">
        <v>1</v>
      </c>
      <c r="V1189" s="84">
        <v>100</v>
      </c>
      <c r="W1189" s="64" t="s">
        <v>68</v>
      </c>
      <c r="X1189" s="956" t="s">
        <v>9338</v>
      </c>
      <c r="Y1189" s="829" t="s">
        <v>70</v>
      </c>
      <c r="Z1189" s="736"/>
      <c r="AA1189" s="693" t="s">
        <v>2984</v>
      </c>
      <c r="AB1189" s="957">
        <v>45560</v>
      </c>
      <c r="AC1189" s="958">
        <v>4140</v>
      </c>
    </row>
    <row r="1190" spans="1:29" s="12" customFormat="1" ht="60" x14ac:dyDescent="0.25">
      <c r="A1190" s="566">
        <v>45601</v>
      </c>
      <c r="B1190" s="884"/>
      <c r="C1190" s="952" t="s">
        <v>9339</v>
      </c>
      <c r="D1190" s="822"/>
      <c r="E1190" s="84" t="s">
        <v>39</v>
      </c>
      <c r="F1190" s="823">
        <v>1</v>
      </c>
      <c r="G1190" s="823"/>
      <c r="H1190" s="1028"/>
      <c r="I1190" s="1035" t="s">
        <v>9340</v>
      </c>
      <c r="J1190" s="1041">
        <v>70</v>
      </c>
      <c r="K1190" s="826" t="s">
        <v>9321</v>
      </c>
      <c r="L1190" s="84" t="s">
        <v>63</v>
      </c>
      <c r="M1190" s="84" t="s">
        <v>42</v>
      </c>
      <c r="N1190" s="1029" t="s">
        <v>5381</v>
      </c>
      <c r="O1190" s="1148" t="s">
        <v>9341</v>
      </c>
      <c r="P1190" s="1009" t="s">
        <v>9342</v>
      </c>
      <c r="Q1190" s="1142" t="s">
        <v>9343</v>
      </c>
      <c r="R1190" s="1153">
        <v>105</v>
      </c>
      <c r="S1190" s="84">
        <v>290</v>
      </c>
      <c r="T1190" s="84" t="s">
        <v>180</v>
      </c>
      <c r="U1190" s="84">
        <v>1</v>
      </c>
      <c r="V1190" s="84">
        <v>70</v>
      </c>
      <c r="W1190" s="64" t="s">
        <v>68</v>
      </c>
      <c r="X1190" s="956" t="s">
        <v>2329</v>
      </c>
      <c r="Y1190" s="829" t="s">
        <v>70</v>
      </c>
      <c r="Z1190" s="736"/>
      <c r="AA1190" s="582" t="s">
        <v>3336</v>
      </c>
      <c r="AB1190" s="957">
        <v>45579</v>
      </c>
      <c r="AC1190" s="958">
        <v>8498</v>
      </c>
    </row>
    <row r="1191" spans="1:29" s="12" customFormat="1" ht="409.5" x14ac:dyDescent="0.25">
      <c r="A1191" s="566">
        <v>45601</v>
      </c>
      <c r="B1191" s="884"/>
      <c r="C1191" s="952" t="s">
        <v>9344</v>
      </c>
      <c r="D1191" s="278" t="s">
        <v>9345</v>
      </c>
      <c r="E1191" s="42" t="s">
        <v>9346</v>
      </c>
      <c r="F1191" s="953">
        <v>1</v>
      </c>
      <c r="G1191" s="953"/>
      <c r="H1191" s="954"/>
      <c r="I1191" s="245" t="s">
        <v>9347</v>
      </c>
      <c r="J1191" s="955">
        <v>20</v>
      </c>
      <c r="K1191" s="1155" t="s">
        <v>9348</v>
      </c>
      <c r="L1191" s="1156" t="s">
        <v>63</v>
      </c>
      <c r="M1191" s="1156" t="s">
        <v>42</v>
      </c>
      <c r="N1191" s="1029" t="s">
        <v>9349</v>
      </c>
      <c r="O1191" s="1148" t="s">
        <v>9350</v>
      </c>
      <c r="P1191" s="998" t="s">
        <v>9351</v>
      </c>
      <c r="Q1191" s="1157" t="s">
        <v>9352</v>
      </c>
      <c r="R1191" s="42">
        <v>113</v>
      </c>
      <c r="S1191" s="42">
        <v>363</v>
      </c>
      <c r="T1191" s="42" t="s">
        <v>158</v>
      </c>
      <c r="U1191" s="42">
        <v>67</v>
      </c>
      <c r="V1191" s="42">
        <f>J1191*U1191</f>
        <v>1340</v>
      </c>
      <c r="W1191" s="64" t="s">
        <v>350</v>
      </c>
      <c r="X1191" s="956" t="s">
        <v>5544</v>
      </c>
      <c r="Y1191" s="829" t="s">
        <v>70</v>
      </c>
      <c r="Z1191" s="736"/>
      <c r="AA1191" s="582" t="s">
        <v>2925</v>
      </c>
      <c r="AB1191" s="957">
        <v>45580</v>
      </c>
      <c r="AC1191" s="958">
        <v>9254</v>
      </c>
    </row>
    <row r="1192" spans="1:29" s="12" customFormat="1" ht="185.25" customHeight="1" x14ac:dyDescent="0.25">
      <c r="A1192" s="566">
        <v>45601</v>
      </c>
      <c r="B1192" s="884"/>
      <c r="C1192" s="1158" t="s">
        <v>9353</v>
      </c>
      <c r="D1192" s="1159" t="s">
        <v>9354</v>
      </c>
      <c r="E1192" s="1160"/>
      <c r="F1192" s="1161"/>
      <c r="G1192" s="1161"/>
      <c r="H1192" s="1161">
        <v>1</v>
      </c>
      <c r="I1192" s="825" t="s">
        <v>9355</v>
      </c>
      <c r="J1192" s="1162">
        <v>2</v>
      </c>
      <c r="K1192" s="1163" t="s">
        <v>9356</v>
      </c>
      <c r="L1192" s="1160" t="s">
        <v>63</v>
      </c>
      <c r="M1192" s="1160"/>
      <c r="N1192" s="1164" t="s">
        <v>9357</v>
      </c>
      <c r="O1192" s="1165" t="s">
        <v>9358</v>
      </c>
      <c r="P1192" s="1165" t="s">
        <v>9359</v>
      </c>
      <c r="Q1192" s="1166" t="s">
        <v>9360</v>
      </c>
      <c r="R1192" s="1160">
        <v>47</v>
      </c>
      <c r="S1192" s="1160">
        <v>356</v>
      </c>
      <c r="T1192" s="1160" t="s">
        <v>47</v>
      </c>
      <c r="U1192" s="1160">
        <v>5</v>
      </c>
      <c r="V1192" s="1160">
        <v>10</v>
      </c>
      <c r="W1192" s="1167" t="s">
        <v>68</v>
      </c>
      <c r="X1192" s="828" t="s">
        <v>7873</v>
      </c>
      <c r="Y1192" s="829" t="s">
        <v>50</v>
      </c>
      <c r="Z1192" s="736"/>
      <c r="AA1192" s="582" t="s">
        <v>1701</v>
      </c>
      <c r="AB1192" s="957">
        <v>45582</v>
      </c>
      <c r="AC1192" s="958">
        <v>3927</v>
      </c>
    </row>
    <row r="1193" spans="1:29" s="12" customFormat="1" ht="165" x14ac:dyDescent="0.25">
      <c r="A1193" s="566">
        <v>45600</v>
      </c>
      <c r="B1193" s="884"/>
      <c r="C1193" s="821" t="s">
        <v>9361</v>
      </c>
      <c r="D1193" s="822" t="s">
        <v>9362</v>
      </c>
      <c r="E1193" s="84" t="s">
        <v>39</v>
      </c>
      <c r="F1193" s="823"/>
      <c r="G1193" s="824">
        <v>1</v>
      </c>
      <c r="H1193" s="1028"/>
      <c r="I1193" s="1035" t="s">
        <v>9363</v>
      </c>
      <c r="J1193" s="1041">
        <v>990</v>
      </c>
      <c r="K1193" s="826" t="s">
        <v>9364</v>
      </c>
      <c r="L1193" s="84" t="s">
        <v>63</v>
      </c>
      <c r="M1193" s="84"/>
      <c r="N1193" s="1152" t="s">
        <v>9365</v>
      </c>
      <c r="O1193" s="1009" t="s">
        <v>9366</v>
      </c>
      <c r="P1193" s="1009" t="s">
        <v>9367</v>
      </c>
      <c r="Q1193" s="1147" t="s">
        <v>9310</v>
      </c>
      <c r="R1193" s="1153">
        <v>40</v>
      </c>
      <c r="S1193" s="84">
        <v>69</v>
      </c>
      <c r="T1193" s="84" t="s">
        <v>180</v>
      </c>
      <c r="U1193" s="84">
        <v>0</v>
      </c>
      <c r="V1193" s="84">
        <v>0</v>
      </c>
      <c r="W1193" s="64" t="s">
        <v>350</v>
      </c>
      <c r="X1193" s="956" t="s">
        <v>2756</v>
      </c>
      <c r="Y1193" s="829" t="s">
        <v>144</v>
      </c>
      <c r="Z1193" s="736" t="s">
        <v>9368</v>
      </c>
      <c r="AA1193" s="582" t="s">
        <v>9182</v>
      </c>
      <c r="AB1193" s="957">
        <v>45575</v>
      </c>
      <c r="AC1193" s="958">
        <v>11068.2</v>
      </c>
    </row>
    <row r="1194" spans="1:29" s="12" customFormat="1" ht="60" x14ac:dyDescent="0.25">
      <c r="A1194" s="566">
        <v>45600</v>
      </c>
      <c r="B1194" s="884"/>
      <c r="C1194" s="821" t="s">
        <v>9369</v>
      </c>
      <c r="D1194" s="822" t="s">
        <v>9370</v>
      </c>
      <c r="E1194" s="84" t="s">
        <v>39</v>
      </c>
      <c r="F1194" s="823"/>
      <c r="G1194" s="823">
        <v>1</v>
      </c>
      <c r="H1194" s="823"/>
      <c r="I1194" s="825" t="s">
        <v>9371</v>
      </c>
      <c r="J1194" s="826">
        <v>70</v>
      </c>
      <c r="K1194" s="826" t="s">
        <v>9372</v>
      </c>
      <c r="L1194" s="84" t="s">
        <v>63</v>
      </c>
      <c r="M1194" s="84" t="s">
        <v>42</v>
      </c>
      <c r="N1194" s="1029" t="s">
        <v>779</v>
      </c>
      <c r="O1194" s="1168"/>
      <c r="P1194" s="1009" t="s">
        <v>9373</v>
      </c>
      <c r="Q1194" s="1169" t="s">
        <v>9374</v>
      </c>
      <c r="R1194" s="84">
        <v>80</v>
      </c>
      <c r="S1194" s="84">
        <v>132</v>
      </c>
      <c r="T1194" s="84" t="s">
        <v>47</v>
      </c>
      <c r="U1194" s="84">
        <v>18</v>
      </c>
      <c r="V1194" s="84">
        <v>1260</v>
      </c>
      <c r="W1194" s="64" t="s">
        <v>68</v>
      </c>
      <c r="X1194" s="956" t="s">
        <v>1445</v>
      </c>
      <c r="Y1194" s="829" t="s">
        <v>144</v>
      </c>
      <c r="Z1194" s="736"/>
      <c r="AA1194" s="582" t="s">
        <v>3477</v>
      </c>
      <c r="AB1194" s="957">
        <v>45582</v>
      </c>
      <c r="AC1194" s="958">
        <v>5760</v>
      </c>
    </row>
    <row r="1195" spans="1:29" s="12" customFormat="1" ht="210" x14ac:dyDescent="0.25">
      <c r="A1195" s="566">
        <v>45597</v>
      </c>
      <c r="B1195" s="884"/>
      <c r="C1195" s="952" t="s">
        <v>9375</v>
      </c>
      <c r="D1195" s="278"/>
      <c r="E1195" s="1003" t="s">
        <v>39</v>
      </c>
      <c r="F1195" s="953">
        <v>1</v>
      </c>
      <c r="G1195" s="953"/>
      <c r="H1195" s="954"/>
      <c r="I1195" s="245" t="s">
        <v>9376</v>
      </c>
      <c r="J1195" s="955">
        <v>2</v>
      </c>
      <c r="K1195" s="701" t="s">
        <v>9377</v>
      </c>
      <c r="L1195" s="42" t="s">
        <v>63</v>
      </c>
      <c r="M1195" s="42" t="s">
        <v>42</v>
      </c>
      <c r="N1195" s="1029" t="s">
        <v>9314</v>
      </c>
      <c r="O1195" s="1148" t="s">
        <v>9315</v>
      </c>
      <c r="P1195" s="1009" t="s">
        <v>9316</v>
      </c>
      <c r="Q1195" s="1151" t="s">
        <v>9317</v>
      </c>
      <c r="R1195" s="42">
        <v>147</v>
      </c>
      <c r="S1195" s="42">
        <v>527</v>
      </c>
      <c r="T1195" s="42" t="s">
        <v>9318</v>
      </c>
      <c r="U1195" s="42">
        <v>52</v>
      </c>
      <c r="V1195" s="42">
        <v>520</v>
      </c>
      <c r="W1195" s="64" t="s">
        <v>350</v>
      </c>
      <c r="X1195" s="956" t="s">
        <v>1004</v>
      </c>
      <c r="Y1195" s="829" t="s">
        <v>82</v>
      </c>
      <c r="Z1195" s="736"/>
      <c r="AA1195" s="582" t="s">
        <v>2774</v>
      </c>
      <c r="AB1195" s="957">
        <v>45583</v>
      </c>
      <c r="AC1195" s="829">
        <v>2706.7</v>
      </c>
    </row>
    <row r="1196" spans="1:29" ht="87" x14ac:dyDescent="0.25">
      <c r="A1196" s="566">
        <v>45596</v>
      </c>
      <c r="B1196" s="884"/>
      <c r="C1196" s="1170" t="s">
        <v>9378</v>
      </c>
      <c r="D1196" s="1171"/>
      <c r="E1196" s="1172" t="s">
        <v>39</v>
      </c>
      <c r="F1196" s="1173"/>
      <c r="G1196" s="1173"/>
      <c r="H1196" s="1174">
        <v>1</v>
      </c>
      <c r="I1196" s="1175">
        <v>128353</v>
      </c>
      <c r="J1196" s="1176">
        <v>17</v>
      </c>
      <c r="K1196" s="1177" t="s">
        <v>9379</v>
      </c>
      <c r="L1196" s="1178" t="s">
        <v>63</v>
      </c>
      <c r="M1196" s="1179" t="s">
        <v>42</v>
      </c>
      <c r="N1196" s="1180" t="s">
        <v>9380</v>
      </c>
      <c r="O1196" s="1181" t="s">
        <v>9381</v>
      </c>
      <c r="P1196" s="1182" t="s">
        <v>9382</v>
      </c>
      <c r="Q1196" s="1181" t="s">
        <v>9383</v>
      </c>
      <c r="R1196" s="1183">
        <v>111</v>
      </c>
      <c r="S1196" s="1183">
        <v>466</v>
      </c>
      <c r="T1196" s="1184" t="s">
        <v>180</v>
      </c>
      <c r="U1196" s="1184">
        <v>8</v>
      </c>
      <c r="V1196" s="1185">
        <f>U1196*J1196</f>
        <v>136</v>
      </c>
      <c r="W1196" s="1180" t="s">
        <v>350</v>
      </c>
      <c r="X1196" s="616" t="s">
        <v>210</v>
      </c>
      <c r="Y1196" s="829"/>
      <c r="Z1196" s="692"/>
      <c r="AA1196" s="619" t="s">
        <v>2764</v>
      </c>
      <c r="AB1196" s="618"/>
      <c r="AC1196" s="619">
        <v>5730.17</v>
      </c>
    </row>
    <row r="1197" spans="1:29" s="200" customFormat="1" ht="60" x14ac:dyDescent="0.25">
      <c r="A1197" s="566">
        <v>45596</v>
      </c>
      <c r="B1197" s="884"/>
      <c r="C1197" s="1170" t="s">
        <v>9384</v>
      </c>
      <c r="D1197" s="1171"/>
      <c r="E1197" s="1172" t="s">
        <v>39</v>
      </c>
      <c r="F1197" s="905">
        <v>1</v>
      </c>
      <c r="G1197" s="1173"/>
      <c r="H1197" s="1186"/>
      <c r="I1197" s="599" t="s">
        <v>9385</v>
      </c>
      <c r="J1197" s="1176">
        <v>10</v>
      </c>
      <c r="K1197" s="1187" t="s">
        <v>9386</v>
      </c>
      <c r="L1197" s="1178" t="s">
        <v>63</v>
      </c>
      <c r="M1197" s="1179"/>
      <c r="N1197" s="1180" t="s">
        <v>9387</v>
      </c>
      <c r="O1197" s="1182" t="s">
        <v>9388</v>
      </c>
      <c r="P1197" s="1182" t="s">
        <v>9389</v>
      </c>
      <c r="Q1197" s="1188" t="s">
        <v>9390</v>
      </c>
      <c r="R1197" s="1183">
        <v>6</v>
      </c>
      <c r="S1197" s="1183">
        <v>36</v>
      </c>
      <c r="T1197" s="1184" t="s">
        <v>47</v>
      </c>
      <c r="U1197" s="1184">
        <v>16</v>
      </c>
      <c r="V1197" s="1185">
        <f>U1197*J1197</f>
        <v>160</v>
      </c>
      <c r="W1197" s="1180" t="s">
        <v>350</v>
      </c>
      <c r="X1197" s="616" t="s">
        <v>8777</v>
      </c>
      <c r="Y1197" s="829" t="s">
        <v>9224</v>
      </c>
      <c r="Z1197" s="692"/>
      <c r="AA1197" s="619" t="s">
        <v>9391</v>
      </c>
      <c r="AB1197" s="618"/>
      <c r="AC1197" s="619">
        <v>5288.5</v>
      </c>
    </row>
    <row r="1198" spans="1:29" s="200" customFormat="1" ht="150" x14ac:dyDescent="0.25">
      <c r="A1198" s="566">
        <v>45596</v>
      </c>
      <c r="B1198" s="884"/>
      <c r="C1198" s="1189" t="s">
        <v>9392</v>
      </c>
      <c r="D1198" s="1171"/>
      <c r="E1198" s="1172" t="s">
        <v>195</v>
      </c>
      <c r="F1198" s="905">
        <v>1</v>
      </c>
      <c r="G1198" s="1190"/>
      <c r="H1198" s="1191"/>
      <c r="I1198" s="599" t="s">
        <v>9393</v>
      </c>
      <c r="J1198" s="1176">
        <v>50</v>
      </c>
      <c r="K1198" s="1187" t="s">
        <v>9386</v>
      </c>
      <c r="L1198" s="1178" t="s">
        <v>63</v>
      </c>
      <c r="M1198" s="1179"/>
      <c r="N1198" s="1180" t="s">
        <v>1563</v>
      </c>
      <c r="O1198" s="1192" t="s">
        <v>9394</v>
      </c>
      <c r="P1198" s="1193" t="s">
        <v>9395</v>
      </c>
      <c r="Q1198" s="1194" t="s">
        <v>9396</v>
      </c>
      <c r="R1198" s="1195">
        <v>47</v>
      </c>
      <c r="S1198" s="1183">
        <v>105</v>
      </c>
      <c r="T1198" s="1196" t="s">
        <v>47</v>
      </c>
      <c r="U1198" s="1184">
        <v>24</v>
      </c>
      <c r="V1198" s="1185">
        <f>U1198*J1198</f>
        <v>1200</v>
      </c>
      <c r="W1198" s="1180" t="s">
        <v>350</v>
      </c>
      <c r="X1198" s="616" t="s">
        <v>905</v>
      </c>
      <c r="Y1198" s="829" t="s">
        <v>9397</v>
      </c>
      <c r="Z1198" s="692"/>
      <c r="AA1198" s="619" t="s">
        <v>1622</v>
      </c>
      <c r="AB1198" s="618"/>
      <c r="AC1198" s="619">
        <v>15562.5</v>
      </c>
    </row>
    <row r="1199" spans="1:29" s="12" customFormat="1" ht="51" x14ac:dyDescent="0.25">
      <c r="A1199" s="566">
        <v>45596</v>
      </c>
      <c r="B1199" s="884"/>
      <c r="C1199" s="952" t="s">
        <v>9398</v>
      </c>
      <c r="D1199" s="278"/>
      <c r="E1199" s="963" t="s">
        <v>39</v>
      </c>
      <c r="F1199" s="953"/>
      <c r="G1199" s="953"/>
      <c r="H1199" s="953">
        <v>2</v>
      </c>
      <c r="I1199" s="1197" t="s">
        <v>9399</v>
      </c>
      <c r="J1199" s="701">
        <v>10</v>
      </c>
      <c r="K1199" s="701" t="s">
        <v>3300</v>
      </c>
      <c r="L1199" s="42" t="s">
        <v>63</v>
      </c>
      <c r="M1199" s="42"/>
      <c r="N1199" s="77" t="s">
        <v>1563</v>
      </c>
      <c r="O1199" s="1198"/>
      <c r="P1199" s="1009" t="s">
        <v>9400</v>
      </c>
      <c r="Q1199" s="1199" t="s">
        <v>9401</v>
      </c>
      <c r="R1199" s="42">
        <v>82</v>
      </c>
      <c r="S1199" s="42">
        <v>283</v>
      </c>
      <c r="T1199" s="42" t="s">
        <v>67</v>
      </c>
      <c r="U1199" s="42">
        <v>0</v>
      </c>
      <c r="V1199" s="42">
        <v>0</v>
      </c>
      <c r="W1199" s="64" t="s">
        <v>350</v>
      </c>
      <c r="X1199" s="956" t="s">
        <v>9402</v>
      </c>
      <c r="Y1199" s="619" t="s">
        <v>9397</v>
      </c>
      <c r="Z1199" s="736"/>
      <c r="AA1199" s="582" t="s">
        <v>2899</v>
      </c>
      <c r="AB1199" s="957">
        <v>45587</v>
      </c>
      <c r="AC1199" s="829">
        <v>2802.2</v>
      </c>
    </row>
    <row r="1200" spans="1:29" s="12" customFormat="1" ht="90" x14ac:dyDescent="0.25">
      <c r="A1200" s="566">
        <v>45596</v>
      </c>
      <c r="B1200" s="884"/>
      <c r="C1200" s="952" t="s">
        <v>9403</v>
      </c>
      <c r="D1200" s="822"/>
      <c r="E1200" s="963" t="s">
        <v>39</v>
      </c>
      <c r="F1200" s="823"/>
      <c r="G1200" s="823"/>
      <c r="H1200" s="1200">
        <v>1</v>
      </c>
      <c r="I1200" s="825" t="s">
        <v>9404</v>
      </c>
      <c r="J1200" s="826">
        <v>2</v>
      </c>
      <c r="K1200" s="826" t="s">
        <v>3274</v>
      </c>
      <c r="L1200" s="84" t="s">
        <v>63</v>
      </c>
      <c r="M1200" s="84" t="s">
        <v>42</v>
      </c>
      <c r="N1200" s="1029" t="s">
        <v>9405</v>
      </c>
      <c r="O1200" s="1168"/>
      <c r="P1200" s="1009" t="s">
        <v>9406</v>
      </c>
      <c r="Q1200" s="1201" t="s">
        <v>9407</v>
      </c>
      <c r="R1200" s="84">
        <v>5</v>
      </c>
      <c r="S1200" s="84">
        <v>648</v>
      </c>
      <c r="T1200" s="84" t="s">
        <v>96</v>
      </c>
      <c r="U1200" s="84">
        <v>336</v>
      </c>
      <c r="V1200" s="84">
        <v>672</v>
      </c>
      <c r="W1200" s="64" t="s">
        <v>350</v>
      </c>
      <c r="X1200" s="956" t="s">
        <v>9408</v>
      </c>
      <c r="Y1200" s="829" t="s">
        <v>9409</v>
      </c>
      <c r="Z1200" s="736"/>
      <c r="AA1200" s="582" t="s">
        <v>1701</v>
      </c>
      <c r="AB1200" s="957">
        <v>45613</v>
      </c>
      <c r="AC1200" s="829">
        <v>4316.8</v>
      </c>
    </row>
    <row r="1201" spans="1:29" s="12" customFormat="1" ht="195" x14ac:dyDescent="0.25">
      <c r="A1201" s="566">
        <v>45595</v>
      </c>
      <c r="B1201" s="884"/>
      <c r="C1201" s="1202" t="s">
        <v>9410</v>
      </c>
      <c r="D1201" s="1203" t="s">
        <v>9411</v>
      </c>
      <c r="E1201" s="1204" t="s">
        <v>9412</v>
      </c>
      <c r="F1201" s="1205"/>
      <c r="G1201" s="1205"/>
      <c r="H1201" s="1174">
        <v>1</v>
      </c>
      <c r="I1201" s="245" t="s">
        <v>9413</v>
      </c>
      <c r="J1201" s="1206">
        <v>125</v>
      </c>
      <c r="K1201" s="1207" t="s">
        <v>9414</v>
      </c>
      <c r="L1201" s="1208" t="s">
        <v>63</v>
      </c>
      <c r="M1201" s="1208" t="s">
        <v>42</v>
      </c>
      <c r="N1201" s="1209" t="s">
        <v>9415</v>
      </c>
      <c r="O1201" s="1210" t="s">
        <v>9416</v>
      </c>
      <c r="P1201" s="1203" t="s">
        <v>9417</v>
      </c>
      <c r="Q1201" s="1211" t="s">
        <v>9396</v>
      </c>
      <c r="R1201" s="1208">
        <v>45</v>
      </c>
      <c r="S1201" s="1208">
        <v>129</v>
      </c>
      <c r="T1201" s="1208" t="s">
        <v>180</v>
      </c>
      <c r="U1201" s="1208">
        <v>22</v>
      </c>
      <c r="V1201" s="1208">
        <v>2750</v>
      </c>
      <c r="W1201" s="1212" t="s">
        <v>350</v>
      </c>
      <c r="X1201" s="956" t="s">
        <v>1420</v>
      </c>
      <c r="Y1201" s="829" t="s">
        <v>9418</v>
      </c>
      <c r="Z1201" s="736" t="s">
        <v>9419</v>
      </c>
      <c r="AA1201" s="582" t="s">
        <v>2899</v>
      </c>
      <c r="AB1201" s="957">
        <v>45586</v>
      </c>
      <c r="AC1201" s="829">
        <v>13956.25</v>
      </c>
    </row>
    <row r="1202" spans="1:29" s="12" customFormat="1" ht="180" x14ac:dyDescent="0.25">
      <c r="A1202" s="566">
        <v>45595</v>
      </c>
      <c r="B1202" s="884"/>
      <c r="C1202" s="952" t="s">
        <v>9420</v>
      </c>
      <c r="D1202" s="822"/>
      <c r="E1202" s="963" t="s">
        <v>39</v>
      </c>
      <c r="F1202" s="823"/>
      <c r="G1202" s="823"/>
      <c r="H1202" s="823">
        <v>1</v>
      </c>
      <c r="I1202" s="825" t="s">
        <v>9847</v>
      </c>
      <c r="J1202" s="826">
        <v>200</v>
      </c>
      <c r="K1202" s="826" t="s">
        <v>3312</v>
      </c>
      <c r="L1202" s="84" t="s">
        <v>63</v>
      </c>
      <c r="M1202" s="84"/>
      <c r="N1202" s="74" t="s">
        <v>9421</v>
      </c>
      <c r="O1202" s="1168"/>
      <c r="P1202" s="1009" t="s">
        <v>9422</v>
      </c>
      <c r="Q1202" s="1151" t="s">
        <v>9401</v>
      </c>
      <c r="R1202" s="84">
        <v>33</v>
      </c>
      <c r="S1202" s="84">
        <v>167</v>
      </c>
      <c r="T1202" s="84" t="s">
        <v>96</v>
      </c>
      <c r="U1202" s="84">
        <v>9</v>
      </c>
      <c r="V1202" s="84">
        <v>1800</v>
      </c>
      <c r="W1202" s="64" t="s">
        <v>350</v>
      </c>
      <c r="X1202" s="956" t="s">
        <v>1982</v>
      </c>
      <c r="Y1202" s="1213"/>
      <c r="Z1202" s="736" t="s">
        <v>9423</v>
      </c>
      <c r="AA1202" s="582" t="s">
        <v>3237</v>
      </c>
      <c r="AB1202" s="957">
        <v>45583</v>
      </c>
      <c r="AC1202" s="829">
        <v>9802</v>
      </c>
    </row>
    <row r="1203" spans="1:29" s="12" customFormat="1" ht="105" x14ac:dyDescent="0.25">
      <c r="A1203" s="566">
        <v>45595</v>
      </c>
      <c r="B1203" s="884"/>
      <c r="C1203" s="821" t="s">
        <v>9424</v>
      </c>
      <c r="D1203" s="822" t="s">
        <v>9425</v>
      </c>
      <c r="E1203" s="963" t="s">
        <v>39</v>
      </c>
      <c r="F1203" s="823">
        <v>1</v>
      </c>
      <c r="G1203" s="823"/>
      <c r="H1203" s="823"/>
      <c r="I1203" s="825" t="s">
        <v>9426</v>
      </c>
      <c r="J1203" s="826">
        <v>200</v>
      </c>
      <c r="K1203" s="826" t="s">
        <v>9427</v>
      </c>
      <c r="L1203" s="84" t="s">
        <v>63</v>
      </c>
      <c r="M1203" s="84" t="s">
        <v>42</v>
      </c>
      <c r="N1203" s="1029" t="s">
        <v>9428</v>
      </c>
      <c r="O1203" s="1214" t="s">
        <v>9429</v>
      </c>
      <c r="P1203" s="1215" t="s">
        <v>9373</v>
      </c>
      <c r="Q1203" s="1201" t="s">
        <v>9430</v>
      </c>
      <c r="R1203" s="84">
        <v>75</v>
      </c>
      <c r="S1203" s="84">
        <v>304</v>
      </c>
      <c r="T1203" s="84" t="s">
        <v>549</v>
      </c>
      <c r="U1203" s="84">
        <v>9</v>
      </c>
      <c r="V1203" s="84">
        <v>1800</v>
      </c>
      <c r="W1203" s="64" t="s">
        <v>68</v>
      </c>
      <c r="X1203" s="956" t="s">
        <v>1935</v>
      </c>
      <c r="Y1203" s="1216"/>
      <c r="Z1203" s="736"/>
      <c r="AA1203" s="582" t="s">
        <v>3503</v>
      </c>
      <c r="AB1203" s="957">
        <v>45574</v>
      </c>
      <c r="AC1203" s="829">
        <v>17076</v>
      </c>
    </row>
    <row r="1204" spans="1:29" s="12" customFormat="1" ht="63.75" x14ac:dyDescent="0.25">
      <c r="A1204" s="566">
        <v>45595</v>
      </c>
      <c r="B1204" s="884"/>
      <c r="C1204" s="821" t="s">
        <v>9431</v>
      </c>
      <c r="D1204" s="822" t="s">
        <v>9370</v>
      </c>
      <c r="E1204" s="963" t="s">
        <v>39</v>
      </c>
      <c r="F1204" s="823"/>
      <c r="G1204" s="823"/>
      <c r="H1204" s="1200">
        <v>1</v>
      </c>
      <c r="I1204" s="825" t="s">
        <v>9432</v>
      </c>
      <c r="J1204" s="826">
        <v>200</v>
      </c>
      <c r="K1204" s="826" t="s">
        <v>9427</v>
      </c>
      <c r="L1204" s="84" t="s">
        <v>63</v>
      </c>
      <c r="M1204" s="84" t="s">
        <v>42</v>
      </c>
      <c r="N1204" s="1029" t="s">
        <v>9433</v>
      </c>
      <c r="O1204" s="1217" t="s">
        <v>9434</v>
      </c>
      <c r="P1204" s="1009" t="s">
        <v>9435</v>
      </c>
      <c r="Q1204" s="1201" t="s">
        <v>9436</v>
      </c>
      <c r="R1204" s="84">
        <v>55</v>
      </c>
      <c r="S1204" s="84">
        <v>156</v>
      </c>
      <c r="T1204" s="84" t="s">
        <v>180</v>
      </c>
      <c r="U1204" s="84">
        <v>5</v>
      </c>
      <c r="V1204" s="84">
        <v>1000</v>
      </c>
      <c r="W1204" s="64" t="s">
        <v>68</v>
      </c>
      <c r="X1204" s="956" t="s">
        <v>1935</v>
      </c>
      <c r="Y1204" s="829"/>
      <c r="Z1204" s="736"/>
      <c r="AA1204" s="582" t="s">
        <v>9295</v>
      </c>
      <c r="AB1204" s="957">
        <v>45581</v>
      </c>
      <c r="AC1204" s="829">
        <v>10268</v>
      </c>
    </row>
    <row r="1205" spans="1:29" s="12" customFormat="1" ht="195" x14ac:dyDescent="0.25">
      <c r="A1205" s="566">
        <v>45595</v>
      </c>
      <c r="B1205" s="884"/>
      <c r="C1205" s="821" t="s">
        <v>9437</v>
      </c>
      <c r="D1205" s="822"/>
      <c r="E1205" s="963" t="s">
        <v>39</v>
      </c>
      <c r="F1205" s="823"/>
      <c r="G1205" s="823">
        <v>1</v>
      </c>
      <c r="H1205" s="823"/>
      <c r="I1205" s="825" t="s">
        <v>9438</v>
      </c>
      <c r="J1205" s="826">
        <v>345</v>
      </c>
      <c r="K1205" s="826" t="s">
        <v>9427</v>
      </c>
      <c r="L1205" s="84" t="s">
        <v>63</v>
      </c>
      <c r="M1205" s="64"/>
      <c r="N1205" s="1029" t="s">
        <v>9439</v>
      </c>
      <c r="O1205" s="1168" t="s">
        <v>3155</v>
      </c>
      <c r="P1205" s="1218" t="s">
        <v>9440</v>
      </c>
      <c r="Q1205" s="1030" t="s">
        <v>9441</v>
      </c>
      <c r="R1205" s="84">
        <v>29</v>
      </c>
      <c r="S1205" s="84">
        <v>56</v>
      </c>
      <c r="T1205" s="84" t="s">
        <v>67</v>
      </c>
      <c r="U1205" s="84">
        <v>4</v>
      </c>
      <c r="V1205" s="84">
        <v>1380</v>
      </c>
      <c r="W1205" s="64" t="s">
        <v>142</v>
      </c>
      <c r="X1205" s="956" t="s">
        <v>9442</v>
      </c>
      <c r="Y1205" s="829"/>
      <c r="Z1205" s="736"/>
      <c r="AA1205" s="582" t="s">
        <v>2925</v>
      </c>
      <c r="AB1205" s="957">
        <v>45576</v>
      </c>
      <c r="AC1205" s="829">
        <v>6703.35</v>
      </c>
    </row>
    <row r="1206" spans="1:29" s="12" customFormat="1" ht="150" x14ac:dyDescent="0.25">
      <c r="A1206" s="566">
        <v>45594</v>
      </c>
      <c r="B1206" s="884"/>
      <c r="C1206" s="821" t="s">
        <v>9443</v>
      </c>
      <c r="D1206" s="822"/>
      <c r="E1206" s="963" t="s">
        <v>195</v>
      </c>
      <c r="F1206" s="823"/>
      <c r="G1206" s="823"/>
      <c r="H1206" s="823"/>
      <c r="I1206" s="825" t="s">
        <v>9444</v>
      </c>
      <c r="J1206" s="826">
        <v>100</v>
      </c>
      <c r="K1206" s="826" t="s">
        <v>9427</v>
      </c>
      <c r="L1206" s="84" t="s">
        <v>42</v>
      </c>
      <c r="M1206" s="84"/>
      <c r="N1206" s="1029" t="s">
        <v>9445</v>
      </c>
      <c r="O1206" s="1168"/>
      <c r="P1206" s="1036"/>
      <c r="Q1206" s="963"/>
      <c r="R1206" s="84">
        <v>0</v>
      </c>
      <c r="S1206" s="84">
        <v>0</v>
      </c>
      <c r="T1206" s="84"/>
      <c r="U1206" s="84">
        <v>46</v>
      </c>
      <c r="V1206" s="84">
        <v>4600</v>
      </c>
      <c r="W1206" s="64" t="s">
        <v>221</v>
      </c>
      <c r="X1206" s="828" t="s">
        <v>3079</v>
      </c>
      <c r="Y1206" s="829"/>
      <c r="Z1206" s="736" t="s">
        <v>9446</v>
      </c>
      <c r="AA1206" s="582" t="s">
        <v>9295</v>
      </c>
      <c r="AB1206" s="957">
        <v>45580</v>
      </c>
      <c r="AC1206" s="829">
        <v>6946</v>
      </c>
    </row>
    <row r="1207" spans="1:29" s="12" customFormat="1" ht="75" x14ac:dyDescent="0.25">
      <c r="A1207" s="566">
        <v>45593</v>
      </c>
      <c r="B1207" s="884"/>
      <c r="C1207" s="1219" t="s">
        <v>9447</v>
      </c>
      <c r="D1207" s="822"/>
      <c r="E1207" s="963"/>
      <c r="F1207" s="823">
        <v>1</v>
      </c>
      <c r="G1207" s="823"/>
      <c r="H1207" s="823"/>
      <c r="I1207" s="1220" t="s">
        <v>9448</v>
      </c>
      <c r="J1207" s="826">
        <v>2</v>
      </c>
      <c r="K1207" s="826" t="s">
        <v>3359</v>
      </c>
      <c r="L1207" s="84" t="s">
        <v>63</v>
      </c>
      <c r="M1207" s="84" t="s">
        <v>42</v>
      </c>
      <c r="N1207" s="1029" t="s">
        <v>9449</v>
      </c>
      <c r="O1207" s="1221" t="s">
        <v>9450</v>
      </c>
      <c r="P1207" s="1221" t="s">
        <v>9451</v>
      </c>
      <c r="Q1207" s="1222" t="s">
        <v>9452</v>
      </c>
      <c r="R1207" s="84">
        <v>106</v>
      </c>
      <c r="S1207" s="84">
        <v>509</v>
      </c>
      <c r="T1207" s="84" t="s">
        <v>180</v>
      </c>
      <c r="U1207" s="84">
        <v>42</v>
      </c>
      <c r="V1207" s="84">
        <v>84</v>
      </c>
      <c r="W1207" s="64" t="s">
        <v>142</v>
      </c>
      <c r="X1207" s="828" t="s">
        <v>8730</v>
      </c>
      <c r="Y1207" s="829"/>
      <c r="Z1207" s="736"/>
      <c r="AA1207" s="582" t="s">
        <v>9453</v>
      </c>
      <c r="AB1207" s="957">
        <v>45568</v>
      </c>
      <c r="AC1207" s="829">
        <f>2271+1150</f>
        <v>3421</v>
      </c>
    </row>
    <row r="1208" spans="1:29" s="12" customFormat="1" ht="225" x14ac:dyDescent="0.25">
      <c r="A1208" s="566">
        <v>45590</v>
      </c>
      <c r="B1208" s="884"/>
      <c r="C1208" s="1219" t="s">
        <v>9454</v>
      </c>
      <c r="D1208" s="822"/>
      <c r="E1208" s="963"/>
      <c r="F1208" s="823">
        <v>1</v>
      </c>
      <c r="G1208" s="823"/>
      <c r="H1208" s="823"/>
      <c r="I1208" s="1220" t="s">
        <v>9455</v>
      </c>
      <c r="J1208" s="826">
        <v>500</v>
      </c>
      <c r="K1208" s="826" t="s">
        <v>9456</v>
      </c>
      <c r="L1208" s="84" t="s">
        <v>63</v>
      </c>
      <c r="M1208" s="84" t="s">
        <v>42</v>
      </c>
      <c r="N1208" s="1029" t="s">
        <v>9457</v>
      </c>
      <c r="O1208" s="1221" t="s">
        <v>9458</v>
      </c>
      <c r="P1208" s="1221" t="s">
        <v>9459</v>
      </c>
      <c r="Q1208" s="1222" t="s">
        <v>9460</v>
      </c>
      <c r="R1208" s="84">
        <v>120</v>
      </c>
      <c r="S1208" s="84">
        <v>400</v>
      </c>
      <c r="T1208" s="84" t="s">
        <v>141</v>
      </c>
      <c r="U1208" s="84">
        <v>18</v>
      </c>
      <c r="V1208" s="84">
        <v>9000</v>
      </c>
      <c r="W1208" s="64" t="s">
        <v>221</v>
      </c>
      <c r="X1208" s="828" t="s">
        <v>98</v>
      </c>
      <c r="Y1208" s="619"/>
      <c r="Z1208" s="736" t="s">
        <v>9461</v>
      </c>
      <c r="AA1208" s="582" t="s">
        <v>352</v>
      </c>
      <c r="AB1208" s="957">
        <v>45519</v>
      </c>
      <c r="AC1208" s="829">
        <v>39220</v>
      </c>
    </row>
    <row r="1209" spans="1:29" s="12" customFormat="1" ht="180" x14ac:dyDescent="0.25">
      <c r="A1209" s="566">
        <v>45589</v>
      </c>
      <c r="B1209" s="884"/>
      <c r="C1209" s="1219" t="s">
        <v>9462</v>
      </c>
      <c r="D1209" s="822"/>
      <c r="E1209" s="963"/>
      <c r="F1209" s="823">
        <v>1</v>
      </c>
      <c r="G1209" s="823"/>
      <c r="H1209" s="823"/>
      <c r="I1209" s="1220" t="s">
        <v>9463</v>
      </c>
      <c r="J1209" s="826">
        <v>50</v>
      </c>
      <c r="K1209" s="826" t="s">
        <v>9464</v>
      </c>
      <c r="L1209" s="84" t="s">
        <v>63</v>
      </c>
      <c r="M1209" s="84"/>
      <c r="N1209" s="1029" t="s">
        <v>9465</v>
      </c>
      <c r="O1209" s="1221" t="s">
        <v>9466</v>
      </c>
      <c r="P1209" s="1221" t="s">
        <v>9467</v>
      </c>
      <c r="Q1209" s="1222" t="s">
        <v>9468</v>
      </c>
      <c r="R1209" s="84">
        <v>71</v>
      </c>
      <c r="S1209" s="84">
        <v>451</v>
      </c>
      <c r="T1209" s="84" t="s">
        <v>47</v>
      </c>
      <c r="U1209" s="84">
        <v>48</v>
      </c>
      <c r="V1209" s="84">
        <v>2400</v>
      </c>
      <c r="W1209" s="64" t="s">
        <v>350</v>
      </c>
      <c r="X1209" s="828" t="s">
        <v>9469</v>
      </c>
      <c r="Y1209" s="619"/>
      <c r="Z1209" s="736"/>
      <c r="AA1209" s="582" t="s">
        <v>3503</v>
      </c>
      <c r="AB1209" s="957">
        <v>45573</v>
      </c>
      <c r="AC1209" s="829">
        <v>11943.5</v>
      </c>
    </row>
    <row r="1210" spans="1:29" s="12" customFormat="1" ht="210" x14ac:dyDescent="0.25">
      <c r="A1210" s="566">
        <v>45589</v>
      </c>
      <c r="B1210" s="884"/>
      <c r="C1210" s="1219" t="s">
        <v>9470</v>
      </c>
      <c r="D1210" s="822"/>
      <c r="E1210" s="963"/>
      <c r="F1210" s="823">
        <v>1</v>
      </c>
      <c r="G1210" s="823"/>
      <c r="H1210" s="823"/>
      <c r="I1210" s="1220" t="s">
        <v>9471</v>
      </c>
      <c r="J1210" s="826">
        <v>35</v>
      </c>
      <c r="K1210" s="826" t="s">
        <v>3413</v>
      </c>
      <c r="L1210" s="84" t="s">
        <v>63</v>
      </c>
      <c r="M1210" s="84" t="s">
        <v>42</v>
      </c>
      <c r="N1210" s="1029" t="s">
        <v>9472</v>
      </c>
      <c r="O1210" s="963" t="s">
        <v>9473</v>
      </c>
      <c r="P1210" s="963" t="s">
        <v>9474</v>
      </c>
      <c r="Q1210" s="1222" t="s">
        <v>9475</v>
      </c>
      <c r="R1210" s="84">
        <v>93</v>
      </c>
      <c r="S1210" s="84">
        <v>657</v>
      </c>
      <c r="T1210" s="84" t="s">
        <v>549</v>
      </c>
      <c r="U1210" s="84">
        <v>15</v>
      </c>
      <c r="V1210" s="84">
        <v>525</v>
      </c>
      <c r="W1210" s="64" t="s">
        <v>350</v>
      </c>
      <c r="X1210" s="828" t="s">
        <v>934</v>
      </c>
      <c r="Y1210" s="829"/>
      <c r="Z1210" s="736"/>
      <c r="AA1210" s="582" t="s">
        <v>2925</v>
      </c>
      <c r="AB1210" s="957">
        <v>45576</v>
      </c>
      <c r="AC1210" s="829">
        <v>13545.15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5177-D628-4B23-AD80-0B2ABBC13F5E}">
  <dimension ref="A1:DO71"/>
  <sheetViews>
    <sheetView workbookViewId="0">
      <selection activeCell="A3" sqref="A3"/>
    </sheetView>
  </sheetViews>
  <sheetFormatPr defaultRowHeight="15" x14ac:dyDescent="0.25"/>
  <cols>
    <col min="1" max="1" width="11.140625" style="1223" customWidth="1"/>
    <col min="2" max="2" width="7.28515625" style="1223" customWidth="1"/>
    <col min="3" max="3" width="13.7109375" customWidth="1"/>
    <col min="4" max="4" width="9.140625" bestFit="1" customWidth="1"/>
    <col min="5" max="5" width="5.42578125" customWidth="1"/>
    <col min="6" max="8" width="3.85546875" customWidth="1"/>
    <col min="9" max="9" width="15.140625" style="1223" customWidth="1"/>
    <col min="10" max="10" width="6.140625" customWidth="1"/>
    <col min="11" max="11" width="8.42578125" customWidth="1"/>
    <col min="12" max="13" width="2.42578125" customWidth="1"/>
    <col min="14" max="14" width="26.42578125" customWidth="1"/>
    <col min="15" max="17" width="9.140625" bestFit="1" customWidth="1"/>
    <col min="18" max="18" width="4.7109375" customWidth="1"/>
    <col min="19" max="19" width="5.42578125" customWidth="1"/>
    <col min="20" max="21" width="4.7109375" customWidth="1"/>
    <col min="22" max="22" width="5.7109375" customWidth="1"/>
    <col min="23" max="23" width="6.85546875" customWidth="1"/>
    <col min="24" max="24" width="8" customWidth="1"/>
    <col min="25" max="25" width="9.140625" bestFit="1" customWidth="1"/>
    <col min="26" max="26" width="7.7109375" bestFit="1" customWidth="1"/>
    <col min="27" max="27" width="13.85546875" customWidth="1"/>
    <col min="28" max="28" width="9.140625" bestFit="1" customWidth="1"/>
    <col min="29" max="29" width="9.85546875" bestFit="1" customWidth="1"/>
    <col min="30" max="30" width="11.42578125" customWidth="1"/>
  </cols>
  <sheetData>
    <row r="1" spans="1:119" s="13" customFormat="1" ht="113.25" customHeight="1" x14ac:dyDescent="0.25">
      <c r="A1" s="1224" t="s">
        <v>0</v>
      </c>
      <c r="B1" s="2" t="s">
        <v>1</v>
      </c>
      <c r="C1" s="2" t="s">
        <v>2</v>
      </c>
      <c r="D1" s="3" t="s">
        <v>3</v>
      </c>
      <c r="E1" s="3" t="s">
        <v>4</v>
      </c>
      <c r="F1" s="3" t="s">
        <v>5</v>
      </c>
      <c r="G1" s="3" t="s">
        <v>6</v>
      </c>
      <c r="H1" s="3" t="s">
        <v>7</v>
      </c>
      <c r="I1" s="4" t="s">
        <v>8</v>
      </c>
      <c r="J1" s="4" t="s">
        <v>9</v>
      </c>
      <c r="K1" s="4" t="s">
        <v>10</v>
      </c>
      <c r="L1" s="3" t="s">
        <v>11</v>
      </c>
      <c r="M1" s="3" t="s">
        <v>12</v>
      </c>
      <c r="N1" s="3" t="s">
        <v>13</v>
      </c>
      <c r="O1" s="5" t="s">
        <v>14</v>
      </c>
      <c r="P1" s="6" t="s">
        <v>15</v>
      </c>
      <c r="Q1" s="5" t="s">
        <v>16</v>
      </c>
      <c r="R1" s="3" t="s">
        <v>17</v>
      </c>
      <c r="S1" s="3" t="s">
        <v>18</v>
      </c>
      <c r="T1" s="3" t="s">
        <v>19</v>
      </c>
      <c r="U1" s="3" t="s">
        <v>20</v>
      </c>
      <c r="V1" s="3" t="s">
        <v>21</v>
      </c>
      <c r="W1" s="3" t="s">
        <v>22</v>
      </c>
      <c r="X1" s="7" t="s">
        <v>23</v>
      </c>
      <c r="Y1" s="7" t="s">
        <v>24</v>
      </c>
      <c r="Z1" s="8" t="s">
        <v>25</v>
      </c>
      <c r="AA1" s="9" t="s">
        <v>26</v>
      </c>
      <c r="AB1" s="8" t="s">
        <v>27</v>
      </c>
      <c r="AC1" s="10" t="s">
        <v>28</v>
      </c>
      <c r="AD1" s="8"/>
      <c r="AE1" s="11" t="s">
        <v>29</v>
      </c>
      <c r="AF1" s="11" t="s">
        <v>30</v>
      </c>
      <c r="AG1" s="11" t="s">
        <v>31</v>
      </c>
      <c r="AH1" s="11" t="s">
        <v>32</v>
      </c>
      <c r="AI1" s="11" t="s">
        <v>9476</v>
      </c>
      <c r="AJ1" s="11" t="s">
        <v>34</v>
      </c>
      <c r="AK1" s="11" t="s">
        <v>35</v>
      </c>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row>
    <row r="2" spans="1:119" s="13" customFormat="1" ht="113.25" customHeight="1" x14ac:dyDescent="0.25">
      <c r="A2" s="14">
        <v>46120</v>
      </c>
      <c r="B2" s="1345" t="s">
        <v>9477</v>
      </c>
      <c r="C2" s="1345" t="s">
        <v>9478</v>
      </c>
      <c r="D2" s="1345" t="s">
        <v>9479</v>
      </c>
      <c r="E2" s="1368" t="s">
        <v>39</v>
      </c>
      <c r="F2" s="1363"/>
      <c r="G2" s="1430">
        <v>1</v>
      </c>
      <c r="H2" s="1363"/>
      <c r="I2" s="1364" t="s">
        <v>9480</v>
      </c>
      <c r="J2" s="1365">
        <v>200</v>
      </c>
      <c r="K2" s="1346" t="s">
        <v>9481</v>
      </c>
      <c r="L2" s="1459" t="s">
        <v>41</v>
      </c>
      <c r="M2" s="1368" t="s">
        <v>55</v>
      </c>
      <c r="N2" s="48" t="s">
        <v>9482</v>
      </c>
      <c r="O2" s="1370"/>
      <c r="P2" s="1370" t="s">
        <v>9483</v>
      </c>
      <c r="Q2" s="1370" t="s">
        <v>377</v>
      </c>
      <c r="R2" s="1371">
        <v>2</v>
      </c>
      <c r="S2" s="1371">
        <v>2</v>
      </c>
      <c r="T2" s="1372" t="s">
        <v>96</v>
      </c>
      <c r="U2" s="1372">
        <v>0</v>
      </c>
      <c r="V2" s="1373">
        <f>U2*J2</f>
        <v>0</v>
      </c>
      <c r="W2" s="1372" t="s">
        <v>9484</v>
      </c>
      <c r="X2" s="1374" t="s">
        <v>9485</v>
      </c>
      <c r="Y2" s="1417"/>
      <c r="Z2" s="32" t="s">
        <v>51</v>
      </c>
      <c r="AA2" s="1377" t="s">
        <v>146</v>
      </c>
      <c r="AB2" s="1378" t="s">
        <v>9486</v>
      </c>
      <c r="AC2" s="1435">
        <v>2372</v>
      </c>
      <c r="AD2" s="1413"/>
      <c r="AE2" s="1347" t="s">
        <v>2505</v>
      </c>
      <c r="AF2" s="1380" t="s">
        <v>55</v>
      </c>
      <c r="AG2" s="1380" t="s">
        <v>56</v>
      </c>
      <c r="AH2" s="1380" t="s">
        <v>56</v>
      </c>
      <c r="AI2" s="1380" t="s">
        <v>9487</v>
      </c>
      <c r="AJ2" s="38" t="s">
        <v>56</v>
      </c>
      <c r="AK2" s="38" t="s">
        <v>74</v>
      </c>
      <c r="AL2" s="66"/>
      <c r="AM2" s="66">
        <v>1</v>
      </c>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row>
    <row r="3" spans="1:119" s="13" customFormat="1" ht="165" x14ac:dyDescent="0.25">
      <c r="A3" s="14">
        <v>46118</v>
      </c>
      <c r="B3" s="41" t="s">
        <v>588</v>
      </c>
      <c r="C3" s="41" t="s">
        <v>589</v>
      </c>
      <c r="D3" s="1391" t="s">
        <v>9488</v>
      </c>
      <c r="E3" s="1368" t="s">
        <v>39</v>
      </c>
      <c r="F3" s="43"/>
      <c r="G3" s="43"/>
      <c r="H3" s="1430">
        <v>1</v>
      </c>
      <c r="I3" s="1396" t="s">
        <v>9489</v>
      </c>
      <c r="J3" s="45">
        <v>33</v>
      </c>
      <c r="K3" s="1346" t="s">
        <v>9490</v>
      </c>
      <c r="L3" s="1367" t="s">
        <v>63</v>
      </c>
      <c r="M3" s="42" t="s">
        <v>42</v>
      </c>
      <c r="N3" s="77" t="s">
        <v>9491</v>
      </c>
      <c r="O3" s="49" t="s">
        <v>535</v>
      </c>
      <c r="P3" s="49" t="s">
        <v>603</v>
      </c>
      <c r="Q3" s="129" t="s">
        <v>9492</v>
      </c>
      <c r="R3" s="92">
        <v>209</v>
      </c>
      <c r="S3" s="92">
        <v>2869</v>
      </c>
      <c r="T3" s="51" t="s">
        <v>141</v>
      </c>
      <c r="U3" s="51">
        <v>2</v>
      </c>
      <c r="V3" s="31">
        <f>U3*J3</f>
        <v>66</v>
      </c>
      <c r="W3" s="51" t="s">
        <v>9484</v>
      </c>
      <c r="X3" s="1266" t="s">
        <v>9485</v>
      </c>
      <c r="Y3" s="64"/>
      <c r="Z3" s="32" t="s">
        <v>51</v>
      </c>
      <c r="AA3" s="33" t="s">
        <v>190</v>
      </c>
      <c r="AB3" s="65" t="s">
        <v>9493</v>
      </c>
      <c r="AC3" s="1267">
        <v>92048.1</v>
      </c>
      <c r="AD3" s="66"/>
      <c r="AE3" s="107" t="s">
        <v>9494</v>
      </c>
      <c r="AF3" s="38" t="s">
        <v>55</v>
      </c>
      <c r="AG3" s="38" t="s">
        <v>56</v>
      </c>
      <c r="AH3" s="38" t="s">
        <v>56</v>
      </c>
      <c r="AI3" s="38" t="s">
        <v>87</v>
      </c>
      <c r="AJ3" s="38"/>
      <c r="AK3" s="38"/>
      <c r="AL3" s="78" t="s">
        <v>9495</v>
      </c>
      <c r="AM3" s="66">
        <v>1</v>
      </c>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row>
    <row r="4" spans="1:119" s="13" customFormat="1" ht="113.25" customHeight="1" x14ac:dyDescent="0.25">
      <c r="A4" s="14">
        <v>46083</v>
      </c>
      <c r="B4" s="55" t="s">
        <v>9496</v>
      </c>
      <c r="C4" s="55" t="s">
        <v>9497</v>
      </c>
      <c r="D4" s="55" t="s">
        <v>9498</v>
      </c>
      <c r="E4" s="1403" t="s">
        <v>39</v>
      </c>
      <c r="F4" s="1404"/>
      <c r="G4" s="1404"/>
      <c r="H4" s="1405">
        <v>1</v>
      </c>
      <c r="I4" s="1396" t="s">
        <v>9499</v>
      </c>
      <c r="J4" s="1399">
        <v>4</v>
      </c>
      <c r="K4" s="1400" t="s">
        <v>1292</v>
      </c>
      <c r="L4" s="1402" t="s">
        <v>63</v>
      </c>
      <c r="M4" s="61" t="s">
        <v>42</v>
      </c>
      <c r="N4" s="1432" t="s">
        <v>9500</v>
      </c>
      <c r="O4" s="1414" t="s">
        <v>1260</v>
      </c>
      <c r="P4" s="1414" t="s">
        <v>1269</v>
      </c>
      <c r="Q4" s="1433" t="s">
        <v>9501</v>
      </c>
      <c r="R4" s="1402">
        <v>36</v>
      </c>
      <c r="S4" s="1402">
        <v>163</v>
      </c>
      <c r="T4" s="1403" t="s">
        <v>47</v>
      </c>
      <c r="U4" s="1403">
        <v>2</v>
      </c>
      <c r="V4" s="1415">
        <f>U4*J4</f>
        <v>8</v>
      </c>
      <c r="W4" s="1403" t="s">
        <v>48</v>
      </c>
      <c r="X4" s="1434" t="s">
        <v>9485</v>
      </c>
      <c r="Y4" s="1417"/>
      <c r="Z4" s="1393" t="s">
        <v>51</v>
      </c>
      <c r="AA4" s="1418" t="s">
        <v>7255</v>
      </c>
      <c r="AB4" s="1378" t="s">
        <v>7077</v>
      </c>
      <c r="AC4" s="1435">
        <v>20670</v>
      </c>
      <c r="AD4" s="1413"/>
      <c r="AE4" s="1347" t="s">
        <v>1236</v>
      </c>
      <c r="AF4" s="1380" t="s">
        <v>55</v>
      </c>
      <c r="AG4" s="1380" t="s">
        <v>56</v>
      </c>
      <c r="AH4" s="1380" t="s">
        <v>56</v>
      </c>
      <c r="AI4" s="1380"/>
      <c r="AJ4" s="1380"/>
      <c r="AK4" s="1380"/>
      <c r="AL4" s="1436" t="s">
        <v>9495</v>
      </c>
      <c r="AM4" s="1413">
        <v>1</v>
      </c>
      <c r="AN4" s="1413"/>
      <c r="AO4" s="1413"/>
      <c r="AP4" s="1413"/>
      <c r="AQ4" s="1413"/>
      <c r="AR4" s="1413"/>
      <c r="AS4" s="1413"/>
      <c r="AT4" s="1413"/>
      <c r="AU4" s="1413"/>
      <c r="AV4" s="1413"/>
      <c r="AW4" s="1413"/>
      <c r="AX4" s="1413"/>
      <c r="AY4" s="1413"/>
      <c r="AZ4" s="1413"/>
      <c r="BA4" s="1413"/>
      <c r="BB4" s="1413"/>
      <c r="BC4" s="1413"/>
      <c r="BD4" s="1413"/>
      <c r="BE4" s="1413"/>
      <c r="BF4" s="1413"/>
      <c r="BG4" s="1413"/>
      <c r="BH4" s="1413"/>
      <c r="BI4" s="1413"/>
      <c r="BJ4" s="1413"/>
      <c r="BK4" s="1413"/>
      <c r="BL4" s="1413"/>
      <c r="BM4" s="1413"/>
      <c r="BN4" s="1413"/>
      <c r="BO4" s="1413"/>
      <c r="BP4" s="1413"/>
      <c r="BQ4" s="1413"/>
      <c r="BR4" s="1413"/>
      <c r="BS4" s="1413"/>
      <c r="BT4" s="1413"/>
      <c r="BU4" s="1413"/>
      <c r="BV4" s="1413"/>
      <c r="BW4" s="1413"/>
      <c r="BX4" s="1413"/>
      <c r="BY4" s="1413"/>
      <c r="BZ4" s="1413"/>
      <c r="CA4" s="1413"/>
      <c r="CB4" s="1413"/>
      <c r="CC4" s="1413"/>
      <c r="CD4" s="1413"/>
      <c r="CE4" s="1413"/>
      <c r="CF4" s="1413"/>
      <c r="CG4" s="1413"/>
      <c r="CH4" s="1413"/>
      <c r="CI4" s="1413"/>
      <c r="CJ4" s="1413"/>
      <c r="CK4" s="1413"/>
      <c r="CL4" s="1413"/>
      <c r="CM4" s="1413"/>
      <c r="CN4" s="1413"/>
      <c r="CO4" s="1413"/>
      <c r="CP4" s="1413"/>
      <c r="CQ4" s="1413"/>
      <c r="CR4" s="1413"/>
      <c r="CS4" s="1413"/>
      <c r="CT4" s="1413"/>
      <c r="CU4" s="1413"/>
      <c r="CV4" s="1413"/>
      <c r="CW4" s="1413"/>
      <c r="CX4" s="1413"/>
      <c r="CY4" s="1413"/>
      <c r="CZ4" s="1413"/>
      <c r="DA4" s="1413"/>
      <c r="DB4" s="1413"/>
      <c r="DC4" s="1413"/>
      <c r="DD4" s="1413"/>
      <c r="DE4" s="1413"/>
      <c r="DF4" s="1413"/>
      <c r="DG4" s="66"/>
    </row>
    <row r="5" spans="1:119" s="13" customFormat="1" ht="113.25" customHeight="1" x14ac:dyDescent="0.25">
      <c r="A5" s="14">
        <v>46080</v>
      </c>
      <c r="B5" s="1345"/>
      <c r="C5" s="1345" t="s">
        <v>9502</v>
      </c>
      <c r="D5" s="1345"/>
      <c r="E5" s="1362" t="s">
        <v>9503</v>
      </c>
      <c r="F5" s="1363"/>
      <c r="G5" s="1363"/>
      <c r="H5" s="1363"/>
      <c r="I5" s="1364" t="s">
        <v>9504</v>
      </c>
      <c r="J5" s="1421">
        <v>9</v>
      </c>
      <c r="K5" s="1346" t="s">
        <v>9505</v>
      </c>
      <c r="L5" s="1367"/>
      <c r="M5" s="1368"/>
      <c r="N5" s="1422" t="s">
        <v>9506</v>
      </c>
      <c r="O5" s="1370"/>
      <c r="P5" s="1370"/>
      <c r="Q5" s="1370"/>
      <c r="R5" s="1371"/>
      <c r="S5" s="1371"/>
      <c r="T5" s="1372"/>
      <c r="U5" s="1372"/>
      <c r="V5" s="1373">
        <v>0</v>
      </c>
      <c r="W5" s="1372" t="s">
        <v>9507</v>
      </c>
      <c r="X5" s="1374" t="s">
        <v>9508</v>
      </c>
      <c r="Y5" s="1375"/>
      <c r="Z5" s="1376"/>
      <c r="AA5" s="1377">
        <v>46065</v>
      </c>
      <c r="AB5" s="1378"/>
      <c r="AC5" s="1379"/>
      <c r="AD5" s="1264"/>
      <c r="AE5" s="1265"/>
      <c r="AF5" s="1265"/>
      <c r="AG5" s="1265"/>
      <c r="AH5" s="1265"/>
      <c r="AI5" s="1265"/>
      <c r="AJ5" s="1265"/>
      <c r="AK5" s="1265"/>
      <c r="AL5" s="1264"/>
      <c r="AM5" s="1264"/>
      <c r="AN5" s="1264"/>
      <c r="AO5" s="1264"/>
      <c r="AP5" s="1264"/>
      <c r="AQ5" s="1264"/>
      <c r="AR5" s="1264"/>
      <c r="AS5" s="1264"/>
      <c r="AT5" s="1264"/>
      <c r="AU5" s="1264"/>
      <c r="AV5" s="1264"/>
      <c r="AW5" s="1264"/>
      <c r="AX5" s="1264"/>
      <c r="AY5" s="1264"/>
      <c r="AZ5" s="1264"/>
      <c r="BA5" s="1264"/>
      <c r="BB5" s="1264"/>
      <c r="BC5" s="1264"/>
      <c r="BD5" s="1264"/>
      <c r="BE5" s="1264"/>
      <c r="BF5" s="1264"/>
      <c r="BG5" s="1264"/>
      <c r="BH5" s="1264"/>
      <c r="BI5" s="1264"/>
      <c r="BJ5" s="1264"/>
      <c r="BK5" s="1264"/>
      <c r="BL5" s="1264"/>
      <c r="BM5" s="1264"/>
      <c r="BN5" s="1264"/>
      <c r="BO5" s="1264"/>
      <c r="BP5" s="1264"/>
      <c r="BQ5" s="1264"/>
      <c r="BR5" s="1264"/>
      <c r="BS5" s="1264"/>
      <c r="BT5" s="1264"/>
      <c r="BU5" s="1264"/>
      <c r="BV5" s="1264"/>
      <c r="BW5" s="1264"/>
      <c r="BX5" s="1264"/>
      <c r="BY5" s="1264"/>
      <c r="BZ5" s="1264"/>
      <c r="CA5" s="1264"/>
      <c r="CB5" s="1264"/>
      <c r="CC5" s="1264"/>
      <c r="CD5" s="1264"/>
      <c r="CE5" s="1264"/>
      <c r="CF5" s="1264"/>
      <c r="CG5" s="1264"/>
      <c r="CH5" s="1264"/>
      <c r="CI5" s="1264"/>
      <c r="CJ5" s="1264"/>
      <c r="CK5" s="1264"/>
      <c r="CL5" s="1264"/>
      <c r="CM5" s="1264"/>
      <c r="CN5" s="1264"/>
      <c r="CO5" s="1264"/>
      <c r="CP5" s="1264"/>
      <c r="CQ5" s="1264"/>
      <c r="CR5" s="1264"/>
      <c r="CS5" s="1264"/>
      <c r="CT5" s="1264"/>
      <c r="CU5" s="1264"/>
      <c r="CV5" s="1264"/>
      <c r="CW5" s="1264"/>
      <c r="CX5" s="1264"/>
      <c r="CY5" s="1264"/>
      <c r="CZ5" s="1264"/>
      <c r="DA5" s="1264"/>
      <c r="DB5" s="1264"/>
      <c r="DC5" s="1264"/>
      <c r="DD5" s="1264"/>
      <c r="DE5" s="1264"/>
      <c r="DF5" s="1264"/>
      <c r="DG5" s="1264"/>
    </row>
    <row r="6" spans="1:119" s="13" customFormat="1" ht="113.25" customHeight="1" x14ac:dyDescent="0.25">
      <c r="A6" s="14">
        <v>46078</v>
      </c>
      <c r="B6" s="1345"/>
      <c r="C6" s="1345" t="s">
        <v>9509</v>
      </c>
      <c r="D6" s="1345"/>
      <c r="E6" s="1362" t="s">
        <v>9510</v>
      </c>
      <c r="F6" s="1363"/>
      <c r="G6" s="1363"/>
      <c r="H6" s="1363"/>
      <c r="I6" s="1364" t="s">
        <v>9511</v>
      </c>
      <c r="J6" s="1421">
        <v>8</v>
      </c>
      <c r="K6" s="1346" t="s">
        <v>9512</v>
      </c>
      <c r="L6" s="1367"/>
      <c r="M6" s="1368"/>
      <c r="N6" s="1422" t="s">
        <v>9513</v>
      </c>
      <c r="O6" s="1370"/>
      <c r="P6" s="1370"/>
      <c r="Q6" s="1370"/>
      <c r="R6" s="1371"/>
      <c r="S6" s="1371"/>
      <c r="T6" s="1372"/>
      <c r="U6" s="1372"/>
      <c r="V6" s="1373">
        <v>0</v>
      </c>
      <c r="W6" s="1372" t="s">
        <v>9507</v>
      </c>
      <c r="X6" s="1374" t="s">
        <v>9508</v>
      </c>
      <c r="Y6" s="1375"/>
      <c r="Z6" s="1376"/>
      <c r="AA6" s="1377">
        <v>46064</v>
      </c>
      <c r="AB6" s="1378"/>
      <c r="AC6" s="1379"/>
      <c r="AD6" s="1420"/>
      <c r="AE6" s="37"/>
      <c r="AF6" s="1380"/>
      <c r="AG6" s="1380"/>
      <c r="AH6" s="1380"/>
      <c r="AI6" s="1380"/>
      <c r="AJ6" s="1380"/>
      <c r="AK6" s="1380"/>
      <c r="AL6" s="1380"/>
      <c r="AM6" s="1420"/>
      <c r="AN6" s="1420"/>
      <c r="AO6" s="1420"/>
      <c r="AP6" s="1420"/>
      <c r="AQ6" s="1420"/>
      <c r="AR6" s="1420"/>
      <c r="AS6" s="1420"/>
      <c r="AT6" s="1420"/>
      <c r="AU6" s="1420"/>
      <c r="AV6" s="1420"/>
      <c r="AW6" s="1420"/>
      <c r="AX6" s="1420"/>
      <c r="AY6" s="1420"/>
      <c r="AZ6" s="1420"/>
      <c r="BA6" s="1420"/>
      <c r="BB6" s="1420"/>
      <c r="BC6" s="1420"/>
      <c r="BD6" s="1420"/>
      <c r="BE6" s="1420"/>
      <c r="BF6" s="1420"/>
      <c r="BG6" s="1420"/>
      <c r="BH6" s="1420"/>
      <c r="BI6" s="1420"/>
      <c r="BJ6" s="1420"/>
      <c r="BK6" s="1420"/>
      <c r="BL6" s="1420"/>
      <c r="BM6" s="1420"/>
      <c r="BN6" s="1420"/>
      <c r="BO6" s="1420"/>
      <c r="BP6" s="1420"/>
      <c r="BQ6" s="1420"/>
      <c r="BR6" s="1420"/>
      <c r="BS6" s="1420"/>
      <c r="BT6" s="1420"/>
      <c r="BU6" s="1420"/>
      <c r="BV6" s="1420"/>
      <c r="BW6" s="1420"/>
      <c r="BX6" s="1420"/>
      <c r="BY6" s="1420"/>
      <c r="BZ6" s="1420"/>
      <c r="CA6" s="1420"/>
      <c r="CB6" s="1420"/>
      <c r="CC6" s="1420"/>
      <c r="CD6" s="1420"/>
      <c r="CE6" s="1420"/>
      <c r="CF6" s="1420"/>
      <c r="CG6" s="1420"/>
      <c r="CH6" s="1420"/>
      <c r="CI6" s="1420"/>
      <c r="CJ6" s="1420"/>
      <c r="CK6" s="1420"/>
      <c r="CL6" s="1420"/>
      <c r="CM6" s="1420"/>
      <c r="CN6" s="1420"/>
      <c r="CO6" s="1420"/>
      <c r="CP6" s="1420"/>
      <c r="CQ6" s="1420"/>
      <c r="CR6" s="1420"/>
      <c r="CS6" s="1420"/>
      <c r="CT6" s="1420"/>
      <c r="CU6" s="1420"/>
      <c r="CV6" s="1420"/>
      <c r="CW6" s="1420"/>
      <c r="CX6" s="1420"/>
      <c r="CY6" s="1420"/>
      <c r="CZ6" s="1420"/>
      <c r="DA6" s="1420"/>
      <c r="DB6" s="1420"/>
      <c r="DC6" s="36"/>
      <c r="DD6" s="36"/>
      <c r="DE6" s="36"/>
      <c r="DF6" s="36"/>
      <c r="DG6" s="36"/>
    </row>
    <row r="7" spans="1:119" s="13" customFormat="1" ht="113.25" customHeight="1" x14ac:dyDescent="0.25">
      <c r="A7" s="14">
        <v>46078</v>
      </c>
      <c r="B7" s="41"/>
      <c r="C7" s="41" t="s">
        <v>9509</v>
      </c>
      <c r="D7" s="41"/>
      <c r="E7" s="1362" t="s">
        <v>9514</v>
      </c>
      <c r="F7" s="43"/>
      <c r="G7" s="43"/>
      <c r="H7" s="43"/>
      <c r="I7" s="1364" t="s">
        <v>9515</v>
      </c>
      <c r="J7" s="1421">
        <v>8</v>
      </c>
      <c r="K7" s="46" t="s">
        <v>9512</v>
      </c>
      <c r="L7" s="47"/>
      <c r="M7" s="42"/>
      <c r="N7" s="1422" t="s">
        <v>9516</v>
      </c>
      <c r="O7" s="49"/>
      <c r="P7" s="49"/>
      <c r="Q7" s="49"/>
      <c r="R7" s="50"/>
      <c r="S7" s="50"/>
      <c r="T7" s="51"/>
      <c r="U7" s="51"/>
      <c r="V7" s="52">
        <v>0</v>
      </c>
      <c r="W7" s="51" t="s">
        <v>9507</v>
      </c>
      <c r="X7" s="1266" t="s">
        <v>9508</v>
      </c>
      <c r="Y7" s="31"/>
      <c r="Z7" s="1226"/>
      <c r="AA7" s="1423">
        <v>46063</v>
      </c>
      <c r="AB7" s="65"/>
      <c r="AC7" s="35"/>
      <c r="AD7" s="36"/>
      <c r="AE7" s="67"/>
      <c r="AF7" s="38"/>
      <c r="AG7" s="38"/>
      <c r="AH7" s="38"/>
      <c r="AI7" s="38"/>
      <c r="AJ7" s="38"/>
      <c r="AK7" s="38"/>
      <c r="AL7" s="38"/>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row>
    <row r="8" spans="1:119" s="13" customFormat="1" ht="113.25" customHeight="1" x14ac:dyDescent="0.25">
      <c r="A8" s="14">
        <v>46076</v>
      </c>
      <c r="B8" s="1345" t="s">
        <v>9517</v>
      </c>
      <c r="C8" s="41" t="s">
        <v>9518</v>
      </c>
      <c r="D8" s="41"/>
      <c r="E8" s="42" t="s">
        <v>39</v>
      </c>
      <c r="F8" s="43"/>
      <c r="G8" s="43"/>
      <c r="H8" s="563" t="s">
        <v>1572</v>
      </c>
      <c r="I8" s="1396" t="s">
        <v>9519</v>
      </c>
      <c r="J8" s="45">
        <v>12</v>
      </c>
      <c r="K8" s="46" t="s">
        <v>1435</v>
      </c>
      <c r="L8" s="51" t="s">
        <v>63</v>
      </c>
      <c r="M8" s="73" t="s">
        <v>42</v>
      </c>
      <c r="N8" s="48" t="s">
        <v>9520</v>
      </c>
      <c r="O8" s="49" t="s">
        <v>1591</v>
      </c>
      <c r="P8" s="49" t="s">
        <v>9521</v>
      </c>
      <c r="Q8" s="49" t="s">
        <v>1488</v>
      </c>
      <c r="R8" s="92">
        <v>258</v>
      </c>
      <c r="S8" s="92">
        <v>4819</v>
      </c>
      <c r="T8" s="51" t="s">
        <v>933</v>
      </c>
      <c r="U8" s="51">
        <v>17</v>
      </c>
      <c r="V8" s="52">
        <f>U8*J8</f>
        <v>204</v>
      </c>
      <c r="W8" s="51" t="s">
        <v>48</v>
      </c>
      <c r="X8" s="1266" t="s">
        <v>9485</v>
      </c>
      <c r="Y8" s="64"/>
      <c r="Z8" s="32" t="s">
        <v>51</v>
      </c>
      <c r="AA8" s="33" t="s">
        <v>2064</v>
      </c>
      <c r="AB8" s="65" t="s">
        <v>9522</v>
      </c>
      <c r="AC8" s="1267">
        <v>141044</v>
      </c>
      <c r="AD8" s="66"/>
      <c r="AE8" s="107" t="s">
        <v>1453</v>
      </c>
      <c r="AF8" s="38" t="s">
        <v>354</v>
      </c>
      <c r="AG8" s="38" t="s">
        <v>56</v>
      </c>
      <c r="AH8" s="38" t="s">
        <v>56</v>
      </c>
      <c r="AI8" s="38"/>
      <c r="AJ8" s="38" t="s">
        <v>56</v>
      </c>
      <c r="AK8" s="38" t="s">
        <v>74</v>
      </c>
      <c r="AL8" s="78" t="s">
        <v>9495</v>
      </c>
      <c r="AM8" s="66">
        <v>1</v>
      </c>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row>
    <row r="9" spans="1:119" s="13" customFormat="1" ht="113.25" customHeight="1" x14ac:dyDescent="0.25">
      <c r="A9" s="14">
        <v>46070</v>
      </c>
      <c r="B9" s="1345"/>
      <c r="C9" s="1345" t="s">
        <v>9523</v>
      </c>
      <c r="D9" s="1362"/>
      <c r="E9" s="1362" t="s">
        <v>9524</v>
      </c>
      <c r="F9" s="1363"/>
      <c r="G9" s="1363"/>
      <c r="H9" s="1363"/>
      <c r="I9" s="1364" t="s">
        <v>9525</v>
      </c>
      <c r="J9" s="1365">
        <v>1</v>
      </c>
      <c r="K9" s="1366" t="s">
        <v>9526</v>
      </c>
      <c r="L9" s="1367"/>
      <c r="M9" s="1368"/>
      <c r="N9" s="1369" t="s">
        <v>9527</v>
      </c>
      <c r="O9" s="1370"/>
      <c r="P9" s="1370"/>
      <c r="Q9" s="1370"/>
      <c r="R9" s="1371"/>
      <c r="S9" s="1371"/>
      <c r="T9" s="1372"/>
      <c r="U9" s="1372"/>
      <c r="V9" s="1373">
        <f>U9*J9</f>
        <v>0</v>
      </c>
      <c r="W9" s="1372" t="s">
        <v>9507</v>
      </c>
      <c r="X9" s="1374" t="s">
        <v>9508</v>
      </c>
      <c r="Y9" s="1375"/>
      <c r="Z9" s="1376"/>
      <c r="AA9" s="1377">
        <v>46064</v>
      </c>
      <c r="AB9" s="1378"/>
      <c r="AC9" s="1379"/>
      <c r="AD9" s="36"/>
      <c r="AE9" s="37"/>
      <c r="AF9" s="1380"/>
      <c r="AG9" s="1380"/>
      <c r="AH9" s="1380"/>
      <c r="AI9" s="1380"/>
      <c r="AJ9" s="1380"/>
      <c r="AK9" s="1380"/>
      <c r="AL9" s="1380"/>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c r="CL9" s="36"/>
      <c r="CM9" s="36"/>
      <c r="CN9" s="36"/>
      <c r="CO9" s="36"/>
      <c r="CP9" s="36"/>
      <c r="CQ9" s="36"/>
      <c r="CR9" s="36"/>
      <c r="CS9" s="36"/>
      <c r="CT9" s="36"/>
      <c r="CU9" s="36"/>
      <c r="CV9" s="36"/>
      <c r="CW9" s="36"/>
      <c r="CX9" s="36"/>
      <c r="CY9" s="36"/>
      <c r="CZ9" s="36"/>
      <c r="DA9" s="36"/>
      <c r="DB9" s="36"/>
      <c r="DC9" s="36"/>
      <c r="DD9" s="36"/>
      <c r="DE9" s="36"/>
    </row>
    <row r="10" spans="1:119" s="13" customFormat="1" ht="113.25" customHeight="1" x14ac:dyDescent="0.3">
      <c r="A10" s="14">
        <v>46070</v>
      </c>
      <c r="B10" s="1351"/>
      <c r="C10" s="1259" t="s">
        <v>9528</v>
      </c>
      <c r="D10" s="233"/>
      <c r="E10" s="235" t="s">
        <v>9529</v>
      </c>
      <c r="F10" s="1255"/>
      <c r="G10" s="1255"/>
      <c r="H10" s="1255"/>
      <c r="I10" s="1260" t="s">
        <v>9530</v>
      </c>
      <c r="J10" s="1352">
        <v>8</v>
      </c>
      <c r="K10" s="1261" t="s">
        <v>9531</v>
      </c>
      <c r="L10" s="1262"/>
      <c r="M10" s="1262"/>
      <c r="N10" s="1353" t="s">
        <v>9532</v>
      </c>
      <c r="O10" s="1354"/>
      <c r="P10" s="1254"/>
      <c r="Q10" s="1254"/>
      <c r="R10" s="1255"/>
      <c r="S10" s="1255"/>
      <c r="T10" s="1255"/>
      <c r="U10" s="1255"/>
      <c r="V10" s="1255"/>
      <c r="W10" s="235" t="s">
        <v>9507</v>
      </c>
      <c r="X10" s="1256" t="s">
        <v>9508</v>
      </c>
      <c r="Y10" s="1355"/>
      <c r="Z10" s="1356"/>
      <c r="AA10" s="1357">
        <v>46055</v>
      </c>
      <c r="AB10" s="1358"/>
      <c r="AC10" s="1359"/>
      <c r="AD10" s="1360"/>
      <c r="AE10" s="1361"/>
      <c r="AF10" s="1361"/>
      <c r="AG10" s="1361"/>
      <c r="AH10" s="1361"/>
      <c r="AI10" s="1361"/>
      <c r="AJ10" s="1361"/>
      <c r="AK10" s="1361"/>
      <c r="AL10" s="1350"/>
      <c r="AM10" s="1350"/>
      <c r="AN10" s="1350"/>
      <c r="AO10" s="1350"/>
      <c r="AP10" s="1350"/>
      <c r="AQ10" s="1350"/>
      <c r="AR10" s="1350"/>
      <c r="AS10" s="1350"/>
      <c r="AT10" s="1350"/>
      <c r="AU10" s="1350"/>
      <c r="AV10" s="1350"/>
      <c r="AW10" s="1350"/>
      <c r="AX10" s="1350"/>
      <c r="AY10" s="1350"/>
      <c r="AZ10" s="1350"/>
      <c r="BA10" s="1350"/>
      <c r="BB10" s="1350"/>
      <c r="BC10" s="1350"/>
      <c r="BD10" s="1350"/>
      <c r="BE10" s="1350"/>
      <c r="BF10" s="1350"/>
      <c r="BG10" s="1350"/>
      <c r="BH10" s="1350"/>
      <c r="BI10" s="1350"/>
      <c r="BJ10" s="1350"/>
      <c r="BK10" s="1350"/>
      <c r="BL10" s="1350"/>
      <c r="BM10" s="1350"/>
      <c r="BN10" s="1350"/>
      <c r="BO10" s="1350"/>
      <c r="BP10" s="1350"/>
      <c r="BQ10" s="1350"/>
      <c r="BR10" s="1350"/>
      <c r="BS10" s="1350"/>
      <c r="BT10" s="1350"/>
      <c r="BU10" s="1350"/>
      <c r="BV10" s="1350"/>
      <c r="BW10" s="1350"/>
      <c r="BX10" s="1350"/>
      <c r="BY10" s="1350"/>
      <c r="BZ10" s="1350"/>
      <c r="CA10" s="1350"/>
      <c r="CB10" s="1350"/>
      <c r="CC10" s="1350"/>
      <c r="CD10" s="1350"/>
      <c r="CE10" s="1350"/>
      <c r="CF10" s="1350"/>
      <c r="CG10" s="1350"/>
      <c r="CH10" s="1350"/>
      <c r="CI10" s="1350"/>
      <c r="CJ10" s="1350"/>
      <c r="CK10" s="1350"/>
      <c r="CL10" s="1350"/>
      <c r="CM10" s="1350"/>
      <c r="CN10" s="1350"/>
      <c r="CO10" s="1350"/>
      <c r="CP10" s="1350"/>
      <c r="CQ10" s="1350"/>
      <c r="CR10" s="1350"/>
      <c r="CS10" s="1350"/>
      <c r="CT10" s="1350"/>
      <c r="CU10" s="1350"/>
      <c r="CV10" s="1350"/>
      <c r="CW10" s="1350"/>
      <c r="CX10" s="1350"/>
      <c r="CY10" s="1350"/>
      <c r="CZ10" s="1350"/>
      <c r="DA10" s="1350"/>
      <c r="DB10" s="1350"/>
      <c r="DC10" s="1350"/>
      <c r="DD10" s="1350"/>
      <c r="DE10" s="1350"/>
    </row>
    <row r="11" spans="1:119" s="13" customFormat="1" ht="113.25" customHeight="1" x14ac:dyDescent="0.3">
      <c r="A11" s="14">
        <v>46070</v>
      </c>
      <c r="B11" s="1351"/>
      <c r="C11" s="1259" t="s">
        <v>9528</v>
      </c>
      <c r="D11" s="233"/>
      <c r="E11" s="235" t="s">
        <v>9533</v>
      </c>
      <c r="F11" s="1255"/>
      <c r="G11" s="1255"/>
      <c r="H11" s="1255"/>
      <c r="I11" s="1260" t="s">
        <v>9534</v>
      </c>
      <c r="J11" s="1352">
        <v>8</v>
      </c>
      <c r="K11" s="1261" t="s">
        <v>9531</v>
      </c>
      <c r="L11" s="1262"/>
      <c r="M11" s="1262"/>
      <c r="N11" s="1353" t="s">
        <v>9535</v>
      </c>
      <c r="O11" s="1354"/>
      <c r="P11" s="1254"/>
      <c r="Q11" s="1254"/>
      <c r="R11" s="1255"/>
      <c r="S11" s="1255"/>
      <c r="T11" s="1255"/>
      <c r="U11" s="1255"/>
      <c r="V11" s="1255"/>
      <c r="W11" s="235" t="s">
        <v>9507</v>
      </c>
      <c r="X11" s="1256" t="s">
        <v>9508</v>
      </c>
      <c r="Y11" s="1355"/>
      <c r="Z11" s="1356"/>
      <c r="AA11" s="1357">
        <v>46055</v>
      </c>
      <c r="AB11" s="106"/>
      <c r="AC11" s="1359"/>
      <c r="AD11" s="1360"/>
      <c r="AE11" s="67"/>
      <c r="AF11" s="1361"/>
      <c r="AG11" s="1361"/>
      <c r="AH11" s="1361"/>
      <c r="AI11" s="1361"/>
      <c r="AJ11" s="1361"/>
      <c r="AK11" s="1361"/>
      <c r="AL11" s="1350"/>
      <c r="AM11" s="1350"/>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row>
    <row r="12" spans="1:119" s="36" customFormat="1" ht="90" x14ac:dyDescent="0.25">
      <c r="A12" s="1225">
        <v>46052</v>
      </c>
      <c r="B12" s="41"/>
      <c r="C12" s="41" t="s">
        <v>7977</v>
      </c>
      <c r="D12" s="41"/>
      <c r="E12" s="42" t="s">
        <v>195</v>
      </c>
      <c r="F12" s="43"/>
      <c r="G12" s="43"/>
      <c r="H12" s="43"/>
      <c r="I12" s="72" t="s">
        <v>9536</v>
      </c>
      <c r="J12" s="45">
        <v>24</v>
      </c>
      <c r="K12" s="46" t="s">
        <v>9537</v>
      </c>
      <c r="L12" s="47"/>
      <c r="M12" s="42"/>
      <c r="N12" s="77" t="s">
        <v>9538</v>
      </c>
      <c r="O12" s="49"/>
      <c r="P12" s="49"/>
      <c r="Q12" s="49"/>
      <c r="R12" s="50"/>
      <c r="S12" s="50"/>
      <c r="T12" s="51"/>
      <c r="U12" s="51"/>
      <c r="V12" s="52">
        <f>U12*J12</f>
        <v>0</v>
      </c>
      <c r="W12" s="51"/>
      <c r="X12" s="30"/>
      <c r="Y12" s="31"/>
      <c r="Z12" s="1226"/>
      <c r="AA12" s="33" t="s">
        <v>83</v>
      </c>
      <c r="AB12" s="65"/>
      <c r="AC12" s="35">
        <v>1560</v>
      </c>
      <c r="AE12" s="67"/>
      <c r="AF12" s="38"/>
      <c r="AG12" s="38"/>
      <c r="AH12" s="38"/>
      <c r="AI12" s="38"/>
      <c r="AJ12" s="38"/>
      <c r="AK12" s="38"/>
      <c r="AL12" s="38"/>
    </row>
    <row r="13" spans="1:119" s="36" customFormat="1" ht="105" x14ac:dyDescent="0.25">
      <c r="A13" s="1225">
        <v>46051</v>
      </c>
      <c r="B13" s="41"/>
      <c r="C13" s="41" t="s">
        <v>7977</v>
      </c>
      <c r="D13" s="41"/>
      <c r="E13" s="42" t="s">
        <v>195</v>
      </c>
      <c r="F13" s="43"/>
      <c r="G13" s="43"/>
      <c r="H13" s="43"/>
      <c r="I13" s="72" t="s">
        <v>9539</v>
      </c>
      <c r="J13" s="45">
        <v>1</v>
      </c>
      <c r="K13" s="46" t="s">
        <v>9537</v>
      </c>
      <c r="L13" s="47"/>
      <c r="M13" s="42"/>
      <c r="N13" s="77" t="s">
        <v>9540</v>
      </c>
      <c r="O13" s="49"/>
      <c r="P13" s="49"/>
      <c r="Q13" s="49"/>
      <c r="R13" s="50"/>
      <c r="S13" s="50"/>
      <c r="T13" s="51"/>
      <c r="U13" s="51"/>
      <c r="V13" s="52">
        <f>U13*J13</f>
        <v>0</v>
      </c>
      <c r="W13" s="51"/>
      <c r="X13" s="30"/>
      <c r="Y13" s="31"/>
      <c r="Z13" s="1226"/>
      <c r="AA13" s="33" t="s">
        <v>83</v>
      </c>
      <c r="AB13" s="65"/>
      <c r="AC13" s="35">
        <v>1360</v>
      </c>
      <c r="AE13" s="67"/>
      <c r="AF13" s="38"/>
      <c r="AG13" s="38"/>
      <c r="AH13" s="38"/>
      <c r="AI13" s="38"/>
      <c r="AJ13" s="38"/>
      <c r="AK13" s="38"/>
      <c r="AL13" s="38"/>
    </row>
    <row r="14" spans="1:119" s="66" customFormat="1" ht="113.25" customHeight="1" x14ac:dyDescent="0.3">
      <c r="B14" s="1227" t="s">
        <v>9541</v>
      </c>
      <c r="C14" s="1227" t="s">
        <v>9541</v>
      </c>
      <c r="D14" s="1228"/>
      <c r="E14" s="1229" t="s">
        <v>9542</v>
      </c>
      <c r="F14" s="1230"/>
      <c r="G14" s="1230"/>
      <c r="H14" s="1230"/>
      <c r="I14" s="1231" t="s">
        <v>9543</v>
      </c>
      <c r="J14" s="1232" t="s">
        <v>9544</v>
      </c>
      <c r="K14" s="1233" t="s">
        <v>9545</v>
      </c>
      <c r="L14" s="193" t="s">
        <v>42</v>
      </c>
      <c r="M14" s="193" t="s">
        <v>42</v>
      </c>
      <c r="N14" s="1234" t="s">
        <v>9546</v>
      </c>
      <c r="O14" s="1235"/>
      <c r="P14" s="1236"/>
      <c r="Q14" s="1236"/>
      <c r="R14" s="1237"/>
      <c r="S14" s="1238"/>
      <c r="T14" s="1238"/>
      <c r="U14" s="1237"/>
      <c r="V14" s="1237"/>
      <c r="W14" s="1239" t="s">
        <v>9507</v>
      </c>
      <c r="X14" s="1240" t="s">
        <v>9508</v>
      </c>
      <c r="Y14" s="1230"/>
      <c r="Z14" s="1241"/>
      <c r="AA14" s="1242">
        <v>46031</v>
      </c>
      <c r="AB14" s="1243"/>
      <c r="AC14" s="1244"/>
      <c r="AD14" s="67"/>
      <c r="AE14" s="38"/>
      <c r="AF14" s="38"/>
      <c r="AG14" s="38"/>
      <c r="AH14" s="38"/>
      <c r="AI14" s="38"/>
      <c r="AJ14" s="38"/>
      <c r="AK14" s="68"/>
    </row>
    <row r="15" spans="1:119" s="66" customFormat="1" ht="113.25" customHeight="1" x14ac:dyDescent="0.3">
      <c r="B15" s="1245" t="s">
        <v>9547</v>
      </c>
      <c r="C15" s="233" t="s">
        <v>9547</v>
      </c>
      <c r="D15" s="1246"/>
      <c r="E15" s="235" t="s">
        <v>9548</v>
      </c>
      <c r="F15" s="1247"/>
      <c r="G15" s="1248"/>
      <c r="H15" s="1248"/>
      <c r="I15" s="1249" t="s">
        <v>9549</v>
      </c>
      <c r="J15" s="1250" t="s">
        <v>9544</v>
      </c>
      <c r="K15" s="1251" t="s">
        <v>9545</v>
      </c>
      <c r="L15" s="73" t="s">
        <v>42</v>
      </c>
      <c r="M15" s="73" t="s">
        <v>42</v>
      </c>
      <c r="N15" s="1252" t="s">
        <v>9550</v>
      </c>
      <c r="O15" s="1253"/>
      <c r="P15" s="1254"/>
      <c r="Q15" s="1254"/>
      <c r="R15" s="1255"/>
      <c r="S15" s="1255"/>
      <c r="T15" s="1255"/>
      <c r="U15" s="1255"/>
      <c r="V15" s="1255"/>
      <c r="W15" s="235"/>
      <c r="X15" s="1256"/>
      <c r="Y15" s="1248"/>
      <c r="Z15" s="1257"/>
      <c r="AA15" s="1258"/>
      <c r="AB15" s="921"/>
      <c r="AC15" s="113"/>
      <c r="AD15" s="67"/>
      <c r="AE15" s="38"/>
      <c r="AF15" s="38"/>
      <c r="AG15" s="38"/>
      <c r="AH15" s="38"/>
      <c r="AI15" s="38"/>
      <c r="AJ15" s="38"/>
      <c r="AK15" s="68"/>
    </row>
    <row r="16" spans="1:119" s="1264" customFormat="1" ht="113.25" customHeight="1" x14ac:dyDescent="0.3">
      <c r="A16" s="36"/>
      <c r="B16" s="1259" t="s">
        <v>9551</v>
      </c>
      <c r="C16" s="1259" t="s">
        <v>9552</v>
      </c>
      <c r="D16" s="233"/>
      <c r="E16" s="235" t="s">
        <v>9553</v>
      </c>
      <c r="F16" s="1248"/>
      <c r="G16" s="1248"/>
      <c r="H16" s="1248"/>
      <c r="I16" s="1260" t="s">
        <v>9554</v>
      </c>
      <c r="J16" s="1250" t="s">
        <v>9544</v>
      </c>
      <c r="K16" s="1261" t="s">
        <v>9555</v>
      </c>
      <c r="L16" s="1262" t="s">
        <v>42</v>
      </c>
      <c r="M16" s="1262" t="s">
        <v>42</v>
      </c>
      <c r="N16" s="1263" t="s">
        <v>9556</v>
      </c>
      <c r="O16" s="1253"/>
      <c r="P16" s="1254"/>
      <c r="Q16" s="1254"/>
      <c r="R16" s="1255"/>
      <c r="S16" s="1255"/>
      <c r="T16" s="1255"/>
      <c r="U16" s="1255"/>
      <c r="V16" s="1255"/>
      <c r="W16" s="235" t="s">
        <v>9507</v>
      </c>
      <c r="X16" s="1256" t="s">
        <v>9508</v>
      </c>
      <c r="Y16" s="1248"/>
      <c r="Z16" s="1257"/>
      <c r="AA16" s="1258">
        <v>46035</v>
      </c>
      <c r="AB16" s="921"/>
      <c r="AC16" s="113"/>
      <c r="AE16" s="1265"/>
      <c r="AF16" s="1265"/>
      <c r="AG16" s="1265"/>
      <c r="AH16" s="1265"/>
      <c r="AI16" s="1265"/>
      <c r="AJ16" s="1265"/>
      <c r="AK16" s="1265"/>
    </row>
    <row r="17" spans="1:39" s="66" customFormat="1" ht="120.75" customHeight="1" x14ac:dyDescent="0.25">
      <c r="A17" s="14">
        <v>46044</v>
      </c>
      <c r="B17" s="41" t="s">
        <v>9557</v>
      </c>
      <c r="C17" s="204" t="s">
        <v>9558</v>
      </c>
      <c r="D17" s="41" t="s">
        <v>9559</v>
      </c>
      <c r="E17" s="42" t="s">
        <v>39</v>
      </c>
      <c r="F17" s="43"/>
      <c r="G17" s="43"/>
      <c r="H17" s="19">
        <v>1</v>
      </c>
      <c r="I17" s="1444" t="s">
        <v>9560</v>
      </c>
      <c r="J17" s="45">
        <v>20</v>
      </c>
      <c r="K17" s="46" t="s">
        <v>9561</v>
      </c>
      <c r="L17" s="50" t="s">
        <v>63</v>
      </c>
      <c r="M17" s="73" t="s">
        <v>42</v>
      </c>
      <c r="N17" s="77" t="s">
        <v>9562</v>
      </c>
      <c r="O17" s="49" t="s">
        <v>9563</v>
      </c>
      <c r="P17" s="49" t="s">
        <v>2036</v>
      </c>
      <c r="Q17" s="49" t="s">
        <v>9564</v>
      </c>
      <c r="R17" s="92">
        <v>205</v>
      </c>
      <c r="S17" s="92">
        <v>2821</v>
      </c>
      <c r="T17" s="51" t="s">
        <v>141</v>
      </c>
      <c r="U17" s="51">
        <v>52</v>
      </c>
      <c r="V17" s="75">
        <f>U17*J17</f>
        <v>1040</v>
      </c>
      <c r="W17" s="51" t="s">
        <v>9484</v>
      </c>
      <c r="X17" s="1266" t="s">
        <v>9485</v>
      </c>
      <c r="Y17" s="64"/>
      <c r="Z17" s="32" t="s">
        <v>51</v>
      </c>
      <c r="AA17" s="33" t="s">
        <v>2064</v>
      </c>
      <c r="AB17" s="116" t="s">
        <v>9565</v>
      </c>
      <c r="AC17" s="1267">
        <v>72277.2</v>
      </c>
      <c r="AE17" s="67" t="s">
        <v>73</v>
      </c>
      <c r="AF17" s="38" t="s">
        <v>354</v>
      </c>
      <c r="AG17" s="38" t="s">
        <v>56</v>
      </c>
      <c r="AH17" s="38" t="s">
        <v>56</v>
      </c>
      <c r="AI17" s="38"/>
      <c r="AJ17" s="38"/>
      <c r="AK17" s="38"/>
      <c r="AL17" s="78" t="s">
        <v>9495</v>
      </c>
      <c r="AM17" s="66">
        <v>1</v>
      </c>
    </row>
    <row r="18" spans="1:39" s="66" customFormat="1" ht="225" x14ac:dyDescent="0.25">
      <c r="A18" s="14">
        <v>46041</v>
      </c>
      <c r="B18" s="41" t="s">
        <v>9566</v>
      </c>
      <c r="C18" s="41" t="s">
        <v>9567</v>
      </c>
      <c r="D18" s="41" t="s">
        <v>9568</v>
      </c>
      <c r="E18" s="42" t="s">
        <v>39</v>
      </c>
      <c r="F18" s="43"/>
      <c r="G18" s="43"/>
      <c r="H18" s="19">
        <v>1</v>
      </c>
      <c r="I18" s="1268" t="s">
        <v>9569</v>
      </c>
      <c r="J18" s="45">
        <v>8</v>
      </c>
      <c r="K18" s="46" t="s">
        <v>2023</v>
      </c>
      <c r="L18" s="51" t="s">
        <v>63</v>
      </c>
      <c r="M18" s="73" t="s">
        <v>42</v>
      </c>
      <c r="N18" s="77" t="s">
        <v>9570</v>
      </c>
      <c r="O18" s="49" t="s">
        <v>9571</v>
      </c>
      <c r="P18" s="49" t="s">
        <v>9572</v>
      </c>
      <c r="Q18" s="49" t="s">
        <v>9573</v>
      </c>
      <c r="R18" s="92">
        <v>258</v>
      </c>
      <c r="S18" s="92">
        <v>4819</v>
      </c>
      <c r="T18" s="51" t="s">
        <v>933</v>
      </c>
      <c r="U18" s="51">
        <v>17</v>
      </c>
      <c r="V18" s="52">
        <f>U18*J18</f>
        <v>136</v>
      </c>
      <c r="W18" s="51" t="s">
        <v>48</v>
      </c>
      <c r="X18" s="1266" t="s">
        <v>9485</v>
      </c>
      <c r="Y18" s="64"/>
      <c r="Z18" s="32" t="s">
        <v>51</v>
      </c>
      <c r="AA18" s="33" t="s">
        <v>2064</v>
      </c>
      <c r="AB18" s="65" t="s">
        <v>2517</v>
      </c>
      <c r="AC18" s="1267">
        <v>140736</v>
      </c>
      <c r="AE18" s="67" t="s">
        <v>73</v>
      </c>
      <c r="AF18" s="38" t="s">
        <v>354</v>
      </c>
      <c r="AG18" s="38" t="s">
        <v>56</v>
      </c>
      <c r="AH18" s="38" t="s">
        <v>56</v>
      </c>
      <c r="AI18" s="38"/>
      <c r="AJ18" s="38"/>
      <c r="AK18" s="38"/>
      <c r="AL18" s="78" t="s">
        <v>9495</v>
      </c>
      <c r="AM18" s="66">
        <v>1</v>
      </c>
    </row>
    <row r="19" spans="1:39" s="66" customFormat="1" ht="122.25" customHeight="1" x14ac:dyDescent="0.25">
      <c r="A19" s="14">
        <v>46036</v>
      </c>
      <c r="B19" s="41" t="s">
        <v>9574</v>
      </c>
      <c r="C19" s="41" t="s">
        <v>9575</v>
      </c>
      <c r="D19" s="41"/>
      <c r="E19" s="42" t="s">
        <v>39</v>
      </c>
      <c r="F19" s="43"/>
      <c r="G19" s="43"/>
      <c r="H19" s="19">
        <v>2</v>
      </c>
      <c r="I19" s="1268" t="s">
        <v>9576</v>
      </c>
      <c r="J19" s="45">
        <v>16</v>
      </c>
      <c r="K19" s="46" t="s">
        <v>2110</v>
      </c>
      <c r="L19" s="50" t="s">
        <v>63</v>
      </c>
      <c r="M19" s="73" t="s">
        <v>42</v>
      </c>
      <c r="N19" s="77" t="s">
        <v>9577</v>
      </c>
      <c r="O19" s="49" t="s">
        <v>9578</v>
      </c>
      <c r="P19" s="49" t="s">
        <v>1943</v>
      </c>
      <c r="Q19" s="49" t="s">
        <v>1943</v>
      </c>
      <c r="R19" s="50">
        <v>51</v>
      </c>
      <c r="S19" s="50">
        <v>234</v>
      </c>
      <c r="T19" s="51" t="s">
        <v>47</v>
      </c>
      <c r="U19" s="51">
        <v>0</v>
      </c>
      <c r="V19" s="52">
        <f>U19*J19</f>
        <v>0</v>
      </c>
      <c r="W19" s="51" t="s">
        <v>48</v>
      </c>
      <c r="X19" s="1266" t="s">
        <v>9485</v>
      </c>
      <c r="Y19" s="64"/>
      <c r="Z19" s="32" t="s">
        <v>645</v>
      </c>
      <c r="AA19" s="33" t="s">
        <v>83</v>
      </c>
      <c r="AB19" s="65" t="s">
        <v>9579</v>
      </c>
      <c r="AC19" s="1267">
        <v>22575</v>
      </c>
      <c r="AE19" s="67" t="s">
        <v>73</v>
      </c>
      <c r="AF19" s="38"/>
      <c r="AG19" s="38" t="s">
        <v>56</v>
      </c>
      <c r="AH19" s="38" t="s">
        <v>56</v>
      </c>
      <c r="AI19" s="38"/>
      <c r="AJ19" s="38"/>
      <c r="AK19" s="38"/>
      <c r="AL19" s="78" t="s">
        <v>9580</v>
      </c>
      <c r="AM19" s="66">
        <v>1</v>
      </c>
    </row>
    <row r="20" spans="1:39" s="66" customFormat="1" ht="60" x14ac:dyDescent="0.25">
      <c r="A20" s="14">
        <v>46028</v>
      </c>
      <c r="B20" s="41" t="s">
        <v>9581</v>
      </c>
      <c r="C20" s="41" t="s">
        <v>9582</v>
      </c>
      <c r="D20" s="41" t="s">
        <v>9583</v>
      </c>
      <c r="E20" s="42" t="s">
        <v>39</v>
      </c>
      <c r="F20" s="365"/>
      <c r="G20" s="365"/>
      <c r="H20" s="19">
        <v>2</v>
      </c>
      <c r="I20" s="58" t="s">
        <v>9584</v>
      </c>
      <c r="J20" s="45">
        <v>4</v>
      </c>
      <c r="K20" s="46" t="s">
        <v>2240</v>
      </c>
      <c r="L20" s="47" t="s">
        <v>63</v>
      </c>
      <c r="M20" s="73" t="s">
        <v>42</v>
      </c>
      <c r="N20" s="77" t="s">
        <v>9585</v>
      </c>
      <c r="O20" s="49"/>
      <c r="P20" s="49" t="s">
        <v>2336</v>
      </c>
      <c r="Q20" s="49" t="s">
        <v>9586</v>
      </c>
      <c r="R20" s="50">
        <v>2</v>
      </c>
      <c r="S20" s="50">
        <v>2</v>
      </c>
      <c r="T20" s="51" t="s">
        <v>96</v>
      </c>
      <c r="U20" s="51">
        <v>2</v>
      </c>
      <c r="V20" s="52">
        <v>17</v>
      </c>
      <c r="W20" s="51" t="s">
        <v>9587</v>
      </c>
      <c r="X20" s="30" t="s">
        <v>9485</v>
      </c>
      <c r="Y20" s="64"/>
      <c r="Z20" s="32"/>
      <c r="AA20" s="33" t="s">
        <v>9588</v>
      </c>
      <c r="AB20" s="189" t="s">
        <v>9589</v>
      </c>
      <c r="AC20" s="35">
        <v>2620</v>
      </c>
      <c r="AE20" s="67" t="s">
        <v>73</v>
      </c>
      <c r="AF20" s="38"/>
      <c r="AG20" s="38" t="s">
        <v>56</v>
      </c>
      <c r="AH20" s="38" t="s">
        <v>56</v>
      </c>
      <c r="AI20" s="38"/>
      <c r="AJ20" s="38"/>
      <c r="AK20" s="38"/>
      <c r="AL20" s="68"/>
      <c r="AM20" s="66">
        <v>1</v>
      </c>
    </row>
    <row r="21" spans="1:39" s="1264" customFormat="1" ht="300" x14ac:dyDescent="0.3">
      <c r="A21" s="14">
        <v>46027</v>
      </c>
      <c r="B21" s="1269" t="s">
        <v>9590</v>
      </c>
      <c r="C21" s="233" t="s">
        <v>9590</v>
      </c>
      <c r="D21" s="235" t="s">
        <v>9591</v>
      </c>
      <c r="E21" s="1248"/>
      <c r="F21" s="1248"/>
      <c r="G21" s="1248"/>
      <c r="H21" s="1248"/>
      <c r="I21" s="1260" t="s">
        <v>9592</v>
      </c>
      <c r="J21" s="1270" t="s">
        <v>9544</v>
      </c>
      <c r="K21" s="1270" t="s">
        <v>9593</v>
      </c>
      <c r="L21" s="1255"/>
      <c r="M21" s="1255"/>
      <c r="N21" s="1271" t="s">
        <v>9594</v>
      </c>
      <c r="O21" s="1272"/>
      <c r="P21" s="1272"/>
      <c r="Q21" s="1273"/>
      <c r="R21" s="1238"/>
      <c r="S21" s="1238"/>
      <c r="T21" s="1273"/>
      <c r="U21" s="1273"/>
      <c r="V21" s="1274"/>
      <c r="W21" s="1275" t="s">
        <v>9507</v>
      </c>
      <c r="X21" s="1276" t="s">
        <v>9508</v>
      </c>
      <c r="Y21" s="1277"/>
      <c r="Z21" s="1248"/>
      <c r="AA21" s="1278"/>
      <c r="AB21" s="1279"/>
      <c r="AC21" s="1280"/>
      <c r="AE21" s="1265"/>
      <c r="AF21" s="1265"/>
      <c r="AG21" s="1265"/>
      <c r="AH21" s="1265"/>
      <c r="AI21" s="1265"/>
      <c r="AJ21" s="1265"/>
      <c r="AK21" s="1265"/>
    </row>
    <row r="22" spans="1:39" ht="54" customHeight="1" x14ac:dyDescent="0.25">
      <c r="A22" t="s">
        <v>9595</v>
      </c>
      <c r="B22" s="41" t="s">
        <v>9596</v>
      </c>
      <c r="C22" s="41" t="s">
        <v>9597</v>
      </c>
      <c r="D22" s="41" t="s">
        <v>9598</v>
      </c>
      <c r="E22" s="42" t="s">
        <v>39</v>
      </c>
      <c r="F22" s="43"/>
      <c r="G22" s="43"/>
      <c r="H22" s="19" t="s">
        <v>1877</v>
      </c>
      <c r="I22" s="1281" t="s">
        <v>9599</v>
      </c>
      <c r="J22" s="45" t="s">
        <v>9600</v>
      </c>
      <c r="K22" s="46" t="s">
        <v>9601</v>
      </c>
      <c r="L22" s="47" t="s">
        <v>63</v>
      </c>
      <c r="M22" s="73" t="s">
        <v>42</v>
      </c>
      <c r="N22" s="77" t="s">
        <v>9602</v>
      </c>
      <c r="O22" s="49"/>
      <c r="P22" s="49"/>
      <c r="Q22" s="49"/>
      <c r="R22" s="50">
        <v>82</v>
      </c>
      <c r="S22" s="50">
        <v>412</v>
      </c>
      <c r="T22" s="51" t="s">
        <v>67</v>
      </c>
      <c r="U22" s="51">
        <v>21</v>
      </c>
      <c r="V22" s="75">
        <f>630+630+420</f>
        <v>1680</v>
      </c>
      <c r="W22" s="51" t="s">
        <v>2982</v>
      </c>
      <c r="X22" s="198" t="s">
        <v>9603</v>
      </c>
      <c r="Y22" s="168"/>
      <c r="Z22" s="269"/>
      <c r="AA22" s="170" t="s">
        <v>4812</v>
      </c>
      <c r="AB22" s="171" t="s">
        <v>3705</v>
      </c>
      <c r="AC22" s="35">
        <f>29649.9+29649.9</f>
        <v>59299.8</v>
      </c>
      <c r="AE22" s="255" t="s">
        <v>54</v>
      </c>
      <c r="AF22" s="138"/>
      <c r="AG22" s="138" t="s">
        <v>56</v>
      </c>
      <c r="AH22" s="138" t="s">
        <v>56</v>
      </c>
      <c r="AI22" s="138"/>
      <c r="AJ22" s="138" t="s">
        <v>56</v>
      </c>
      <c r="AK22" s="138" t="s">
        <v>9604</v>
      </c>
      <c r="AL22" s="222" t="s">
        <v>55</v>
      </c>
    </row>
    <row r="23" spans="1:39" ht="51" x14ac:dyDescent="0.25">
      <c r="A23" s="14">
        <v>45980</v>
      </c>
      <c r="B23" s="14">
        <v>45946</v>
      </c>
      <c r="C23" s="1282" t="s">
        <v>9605</v>
      </c>
      <c r="D23" s="1282"/>
      <c r="E23" s="1283" t="s">
        <v>2929</v>
      </c>
      <c r="F23" s="1283"/>
      <c r="G23" s="1284"/>
      <c r="H23" s="1284"/>
      <c r="I23" s="455" t="s">
        <v>9606</v>
      </c>
      <c r="J23" s="1285">
        <v>1</v>
      </c>
      <c r="K23" s="45" t="s">
        <v>9607</v>
      </c>
      <c r="L23" s="1285"/>
      <c r="M23" s="1050" t="s">
        <v>42</v>
      </c>
      <c r="N23" s="77" t="s">
        <v>9608</v>
      </c>
      <c r="O23" s="1080"/>
      <c r="P23" s="1080"/>
      <c r="Q23" s="1080"/>
      <c r="R23" s="1049"/>
      <c r="S23" s="1049"/>
      <c r="T23" s="1052"/>
      <c r="U23" s="1052"/>
      <c r="V23" s="1286"/>
      <c r="W23" s="1052"/>
      <c r="X23" s="202" t="s">
        <v>9508</v>
      </c>
      <c r="Y23" s="1287"/>
      <c r="Z23" s="1288"/>
      <c r="AA23" s="170" t="s">
        <v>9609</v>
      </c>
      <c r="AB23" s="538" t="s">
        <v>9000</v>
      </c>
      <c r="AC23" s="172">
        <v>125</v>
      </c>
      <c r="AE23" s="1289"/>
      <c r="AF23" s="402"/>
      <c r="AG23" s="402"/>
      <c r="AH23" s="402"/>
      <c r="AI23" s="402"/>
      <c r="AJ23" s="402"/>
      <c r="AK23" s="402"/>
      <c r="AL23" s="517"/>
    </row>
    <row r="24" spans="1:39" ht="51" x14ac:dyDescent="0.25">
      <c r="A24" s="14">
        <v>45980</v>
      </c>
      <c r="B24" s="14">
        <v>45946</v>
      </c>
      <c r="C24" s="1282" t="s">
        <v>9605</v>
      </c>
      <c r="D24" s="1282"/>
      <c r="E24" s="1283" t="s">
        <v>2929</v>
      </c>
      <c r="F24" s="1283"/>
      <c r="G24" s="1284"/>
      <c r="H24" s="1284"/>
      <c r="I24" s="455" t="s">
        <v>9610</v>
      </c>
      <c r="J24" s="1285">
        <v>1</v>
      </c>
      <c r="K24" s="45" t="s">
        <v>9607</v>
      </c>
      <c r="L24" s="1285"/>
      <c r="M24" s="1050" t="s">
        <v>42</v>
      </c>
      <c r="N24" s="77" t="s">
        <v>9611</v>
      </c>
      <c r="O24" s="1080"/>
      <c r="P24" s="1080"/>
      <c r="Q24" s="1080"/>
      <c r="R24" s="1049"/>
      <c r="S24" s="1049"/>
      <c r="T24" s="1052"/>
      <c r="U24" s="1052"/>
      <c r="V24" s="1286"/>
      <c r="W24" s="1052"/>
      <c r="X24" s="202" t="s">
        <v>9508</v>
      </c>
      <c r="Y24" s="1287"/>
      <c r="Z24" s="1288"/>
      <c r="AA24" s="170" t="s">
        <v>9609</v>
      </c>
      <c r="AB24" s="538" t="s">
        <v>9000</v>
      </c>
      <c r="AC24" s="172">
        <v>125</v>
      </c>
      <c r="AE24" s="1289"/>
      <c r="AF24" s="402"/>
      <c r="AG24" s="402"/>
      <c r="AH24" s="402"/>
      <c r="AI24" s="402"/>
      <c r="AJ24" s="402"/>
      <c r="AK24" s="402"/>
      <c r="AL24" s="517"/>
    </row>
    <row r="25" spans="1:39" ht="51" x14ac:dyDescent="0.25">
      <c r="A25" s="14">
        <v>45980</v>
      </c>
      <c r="B25" s="14">
        <v>45946</v>
      </c>
      <c r="C25" s="1282" t="s">
        <v>9605</v>
      </c>
      <c r="D25" s="1282"/>
      <c r="E25" s="1283" t="s">
        <v>2929</v>
      </c>
      <c r="F25" s="1283"/>
      <c r="G25" s="1284"/>
      <c r="H25" s="1284"/>
      <c r="I25" s="455" t="s">
        <v>9612</v>
      </c>
      <c r="J25" s="1285">
        <v>1</v>
      </c>
      <c r="K25" s="45" t="s">
        <v>9607</v>
      </c>
      <c r="L25" s="1285"/>
      <c r="M25" s="1050" t="s">
        <v>42</v>
      </c>
      <c r="N25" s="77" t="s">
        <v>9613</v>
      </c>
      <c r="O25" s="1080"/>
      <c r="P25" s="1080"/>
      <c r="Q25" s="1080"/>
      <c r="R25" s="1049"/>
      <c r="S25" s="1049"/>
      <c r="T25" s="1052"/>
      <c r="U25" s="1052"/>
      <c r="V25" s="1286"/>
      <c r="W25" s="1052"/>
      <c r="X25" s="202" t="s">
        <v>9508</v>
      </c>
      <c r="Y25" s="1287"/>
      <c r="Z25" s="1288"/>
      <c r="AA25" s="170" t="s">
        <v>9609</v>
      </c>
      <c r="AB25" s="538" t="s">
        <v>9000</v>
      </c>
      <c r="AC25" s="172">
        <v>125</v>
      </c>
      <c r="AE25" s="1289"/>
      <c r="AF25" s="402"/>
      <c r="AG25" s="402"/>
      <c r="AH25" s="402"/>
      <c r="AI25" s="402"/>
      <c r="AJ25" s="402"/>
      <c r="AK25" s="402"/>
      <c r="AL25" s="517"/>
    </row>
    <row r="26" spans="1:39" ht="45" customHeight="1" x14ac:dyDescent="0.25">
      <c r="A26" s="14">
        <v>45980</v>
      </c>
      <c r="B26" s="14">
        <v>45946</v>
      </c>
      <c r="C26" s="1282" t="s">
        <v>9605</v>
      </c>
      <c r="D26" s="1282"/>
      <c r="E26" s="1283" t="s">
        <v>2929</v>
      </c>
      <c r="F26" s="1283"/>
      <c r="G26" s="1284"/>
      <c r="H26" s="1284"/>
      <c r="I26" s="455" t="s">
        <v>9614</v>
      </c>
      <c r="J26" s="1285">
        <v>1</v>
      </c>
      <c r="K26" s="45" t="s">
        <v>9607</v>
      </c>
      <c r="L26" s="1285"/>
      <c r="M26" s="1050" t="s">
        <v>42</v>
      </c>
      <c r="N26" s="77" t="s">
        <v>9615</v>
      </c>
      <c r="O26" s="1080"/>
      <c r="P26" s="1080"/>
      <c r="Q26" s="1080"/>
      <c r="R26" s="1049"/>
      <c r="S26" s="1049"/>
      <c r="T26" s="1052"/>
      <c r="U26" s="1052"/>
      <c r="V26" s="1286"/>
      <c r="W26" s="1052"/>
      <c r="X26" s="202" t="s">
        <v>9508</v>
      </c>
      <c r="Y26" s="1287"/>
      <c r="Z26" s="1288"/>
      <c r="AA26" s="170" t="s">
        <v>9609</v>
      </c>
      <c r="AB26" s="538" t="s">
        <v>9000</v>
      </c>
      <c r="AC26" s="172">
        <v>125</v>
      </c>
      <c r="AE26" s="1289"/>
      <c r="AF26" s="402"/>
      <c r="AG26" s="402"/>
      <c r="AH26" s="402"/>
      <c r="AI26" s="402"/>
      <c r="AJ26" s="402"/>
      <c r="AK26" s="402"/>
      <c r="AL26" s="517"/>
    </row>
    <row r="27" spans="1:39" ht="60" x14ac:dyDescent="0.25">
      <c r="A27" s="14">
        <v>45980</v>
      </c>
      <c r="B27" s="14">
        <v>45946</v>
      </c>
      <c r="C27" s="1282" t="s">
        <v>9605</v>
      </c>
      <c r="D27" s="1282"/>
      <c r="E27" s="1283" t="s">
        <v>2929</v>
      </c>
      <c r="F27" s="1283"/>
      <c r="G27" s="1284"/>
      <c r="H27" s="1284"/>
      <c r="I27" s="455" t="s">
        <v>9616</v>
      </c>
      <c r="J27" s="1285">
        <v>1</v>
      </c>
      <c r="K27" s="45" t="s">
        <v>9607</v>
      </c>
      <c r="L27" s="1285"/>
      <c r="M27" s="1050" t="s">
        <v>42</v>
      </c>
      <c r="N27" s="77" t="s">
        <v>9617</v>
      </c>
      <c r="O27" s="1080"/>
      <c r="P27" s="1080"/>
      <c r="Q27" s="1080"/>
      <c r="R27" s="1049"/>
      <c r="S27" s="1049"/>
      <c r="T27" s="1052"/>
      <c r="U27" s="1052"/>
      <c r="V27" s="1286"/>
      <c r="W27" s="1052"/>
      <c r="X27" s="202" t="s">
        <v>9508</v>
      </c>
      <c r="Y27" s="1287"/>
      <c r="Z27" s="1288"/>
      <c r="AA27" s="170" t="s">
        <v>9609</v>
      </c>
      <c r="AB27" s="538" t="s">
        <v>9000</v>
      </c>
      <c r="AC27" s="172">
        <v>125</v>
      </c>
      <c r="AE27" s="1289"/>
      <c r="AF27" s="402"/>
      <c r="AG27" s="402"/>
      <c r="AH27" s="402"/>
      <c r="AI27" s="402"/>
      <c r="AJ27" s="402"/>
      <c r="AK27" s="402"/>
      <c r="AL27" s="517"/>
    </row>
    <row r="28" spans="1:39" ht="60" x14ac:dyDescent="0.25">
      <c r="A28" s="14">
        <v>45980</v>
      </c>
      <c r="B28" s="14">
        <v>45946</v>
      </c>
      <c r="C28" s="1282" t="s">
        <v>9605</v>
      </c>
      <c r="D28" s="1282"/>
      <c r="E28" s="1283" t="s">
        <v>2929</v>
      </c>
      <c r="F28" s="1283"/>
      <c r="G28" s="1284"/>
      <c r="H28" s="1284"/>
      <c r="I28" s="455" t="s">
        <v>9618</v>
      </c>
      <c r="J28" s="1285">
        <v>1</v>
      </c>
      <c r="K28" s="45" t="s">
        <v>9607</v>
      </c>
      <c r="L28" s="1285"/>
      <c r="M28" s="1050" t="s">
        <v>42</v>
      </c>
      <c r="N28" s="77" t="s">
        <v>9619</v>
      </c>
      <c r="O28" s="1080"/>
      <c r="P28" s="1080"/>
      <c r="Q28" s="1080"/>
      <c r="R28" s="1049"/>
      <c r="S28" s="1049"/>
      <c r="T28" s="1052"/>
      <c r="U28" s="1052"/>
      <c r="V28" s="1286"/>
      <c r="W28" s="1052"/>
      <c r="X28" s="202" t="s">
        <v>9508</v>
      </c>
      <c r="Y28" s="1287"/>
      <c r="Z28" s="1288"/>
      <c r="AA28" s="170" t="s">
        <v>9609</v>
      </c>
      <c r="AB28" s="538" t="s">
        <v>9000</v>
      </c>
      <c r="AC28" s="172">
        <v>125</v>
      </c>
      <c r="AE28" s="1289"/>
      <c r="AF28" s="402"/>
      <c r="AG28" s="402"/>
      <c r="AH28" s="402"/>
      <c r="AI28" s="402"/>
      <c r="AJ28" s="402"/>
      <c r="AK28" s="402"/>
      <c r="AL28" s="517"/>
    </row>
    <row r="29" spans="1:39" ht="60" x14ac:dyDescent="0.25">
      <c r="A29" s="14">
        <v>45980</v>
      </c>
      <c r="B29" s="14">
        <v>45946</v>
      </c>
      <c r="C29" s="1282" t="s">
        <v>9605</v>
      </c>
      <c r="D29" s="1282"/>
      <c r="E29" s="1283" t="s">
        <v>2929</v>
      </c>
      <c r="F29" s="1283"/>
      <c r="G29" s="1284"/>
      <c r="H29" s="1284"/>
      <c r="I29" s="455" t="s">
        <v>9620</v>
      </c>
      <c r="J29" s="1285">
        <v>1</v>
      </c>
      <c r="K29" s="45" t="s">
        <v>9607</v>
      </c>
      <c r="L29" s="1285"/>
      <c r="M29" s="1050" t="s">
        <v>42</v>
      </c>
      <c r="N29" s="77" t="s">
        <v>9621</v>
      </c>
      <c r="O29" s="1080"/>
      <c r="P29" s="1080"/>
      <c r="Q29" s="1080"/>
      <c r="R29" s="1049"/>
      <c r="S29" s="1049"/>
      <c r="T29" s="1052"/>
      <c r="U29" s="1052"/>
      <c r="V29" s="1286"/>
      <c r="W29" s="1052"/>
      <c r="X29" s="202" t="s">
        <v>9508</v>
      </c>
      <c r="Y29" s="1287"/>
      <c r="Z29" s="1288"/>
      <c r="AA29" s="170" t="s">
        <v>9609</v>
      </c>
      <c r="AB29" s="538" t="s">
        <v>9000</v>
      </c>
      <c r="AC29" s="172">
        <v>125</v>
      </c>
      <c r="AE29" s="1289"/>
      <c r="AF29" s="402"/>
      <c r="AG29" s="402"/>
      <c r="AH29" s="402"/>
      <c r="AI29" s="402"/>
      <c r="AJ29" s="402"/>
      <c r="AK29" s="402"/>
      <c r="AL29" s="517"/>
    </row>
    <row r="30" spans="1:39" ht="51" x14ac:dyDescent="0.25">
      <c r="A30" s="14">
        <v>45980</v>
      </c>
      <c r="B30" s="14">
        <v>45946</v>
      </c>
      <c r="C30" s="1282" t="s">
        <v>9605</v>
      </c>
      <c r="D30" s="1282"/>
      <c r="E30" s="1283" t="s">
        <v>2929</v>
      </c>
      <c r="F30" s="1283"/>
      <c r="G30" s="1284"/>
      <c r="H30" s="1284"/>
      <c r="I30" s="455" t="s">
        <v>9622</v>
      </c>
      <c r="J30" s="1285">
        <v>1</v>
      </c>
      <c r="K30" s="45" t="s">
        <v>9607</v>
      </c>
      <c r="L30" s="1285"/>
      <c r="M30" s="1050" t="s">
        <v>42</v>
      </c>
      <c r="N30" s="77" t="s">
        <v>9623</v>
      </c>
      <c r="O30" s="1080"/>
      <c r="P30" s="1080"/>
      <c r="Q30" s="1080"/>
      <c r="R30" s="1049"/>
      <c r="S30" s="1049"/>
      <c r="T30" s="1052"/>
      <c r="U30" s="1052"/>
      <c r="V30" s="1286"/>
      <c r="W30" s="1052"/>
      <c r="X30" s="202" t="s">
        <v>9508</v>
      </c>
      <c r="Y30" s="1287"/>
      <c r="Z30" s="1288"/>
      <c r="AA30" s="170" t="s">
        <v>9609</v>
      </c>
      <c r="AB30" s="538" t="s">
        <v>9000</v>
      </c>
      <c r="AC30" s="172">
        <v>125</v>
      </c>
      <c r="AE30" s="1289"/>
      <c r="AF30" s="402"/>
      <c r="AG30" s="402"/>
      <c r="AH30" s="402"/>
      <c r="AI30" s="402"/>
      <c r="AJ30" s="402"/>
      <c r="AK30" s="402"/>
      <c r="AL30" s="517"/>
    </row>
    <row r="31" spans="1:39" ht="51" x14ac:dyDescent="0.25">
      <c r="A31" s="14">
        <v>45980</v>
      </c>
      <c r="B31" s="14">
        <v>45946</v>
      </c>
      <c r="C31" s="1282" t="s">
        <v>9605</v>
      </c>
      <c r="D31" s="1282"/>
      <c r="E31" s="1283" t="s">
        <v>2929</v>
      </c>
      <c r="F31" s="1283"/>
      <c r="G31" s="1284"/>
      <c r="H31" s="1284"/>
      <c r="I31" s="455" t="s">
        <v>9624</v>
      </c>
      <c r="J31" s="1285">
        <v>1</v>
      </c>
      <c r="K31" s="45" t="s">
        <v>9607</v>
      </c>
      <c r="L31" s="1285"/>
      <c r="M31" s="1050" t="s">
        <v>42</v>
      </c>
      <c r="N31" s="77" t="s">
        <v>9625</v>
      </c>
      <c r="O31" s="1080"/>
      <c r="P31" s="1080"/>
      <c r="Q31" s="1080"/>
      <c r="R31" s="1049"/>
      <c r="S31" s="1049"/>
      <c r="T31" s="1052"/>
      <c r="U31" s="1052"/>
      <c r="V31" s="1286"/>
      <c r="W31" s="1052"/>
      <c r="X31" s="202" t="s">
        <v>9508</v>
      </c>
      <c r="Y31" s="1287"/>
      <c r="Z31" s="1288"/>
      <c r="AA31" s="170" t="s">
        <v>9609</v>
      </c>
      <c r="AB31" s="538" t="s">
        <v>9000</v>
      </c>
      <c r="AC31" s="172">
        <v>125</v>
      </c>
      <c r="AE31" s="1289"/>
      <c r="AF31" s="402"/>
      <c r="AG31" s="402"/>
      <c r="AH31" s="402"/>
      <c r="AI31" s="402"/>
      <c r="AJ31" s="402"/>
      <c r="AK31" s="402"/>
      <c r="AL31" s="517"/>
    </row>
    <row r="32" spans="1:39" ht="51" x14ac:dyDescent="0.25">
      <c r="A32" s="14">
        <v>45980</v>
      </c>
      <c r="B32" s="14">
        <v>45946</v>
      </c>
      <c r="C32" s="1282" t="s">
        <v>9605</v>
      </c>
      <c r="D32" s="1282"/>
      <c r="E32" s="1283" t="s">
        <v>2929</v>
      </c>
      <c r="F32" s="1283"/>
      <c r="G32" s="1284"/>
      <c r="H32" s="1284"/>
      <c r="I32" s="455" t="s">
        <v>9626</v>
      </c>
      <c r="J32" s="1285">
        <v>1</v>
      </c>
      <c r="K32" s="45" t="s">
        <v>9607</v>
      </c>
      <c r="L32" s="1285"/>
      <c r="M32" s="1050" t="s">
        <v>42</v>
      </c>
      <c r="N32" s="77" t="s">
        <v>9627</v>
      </c>
      <c r="O32" s="1080"/>
      <c r="P32" s="1080"/>
      <c r="Q32" s="1080"/>
      <c r="R32" s="1049"/>
      <c r="S32" s="1049"/>
      <c r="T32" s="1052"/>
      <c r="U32" s="1052"/>
      <c r="V32" s="1286"/>
      <c r="W32" s="1052"/>
      <c r="X32" s="202" t="s">
        <v>9508</v>
      </c>
      <c r="Y32" s="1287"/>
      <c r="Z32" s="1288"/>
      <c r="AA32" s="170" t="s">
        <v>9609</v>
      </c>
      <c r="AB32" s="538" t="s">
        <v>9000</v>
      </c>
      <c r="AC32" s="172">
        <v>125</v>
      </c>
      <c r="AE32" s="1289"/>
      <c r="AF32" s="402"/>
      <c r="AG32" s="402"/>
      <c r="AH32" s="402"/>
      <c r="AI32" s="402"/>
      <c r="AJ32" s="402"/>
      <c r="AK32" s="402"/>
      <c r="AL32" s="517"/>
    </row>
    <row r="33" spans="1:38" ht="75" x14ac:dyDescent="0.25">
      <c r="A33" s="14">
        <v>45945</v>
      </c>
      <c r="B33" s="41" t="s">
        <v>9628</v>
      </c>
      <c r="C33" s="41" t="s">
        <v>9629</v>
      </c>
      <c r="D33" s="41"/>
      <c r="E33" s="42" t="s">
        <v>39</v>
      </c>
      <c r="F33" s="43"/>
      <c r="G33" s="43"/>
      <c r="H33" s="19">
        <v>2</v>
      </c>
      <c r="I33" s="1281" t="s">
        <v>9630</v>
      </c>
      <c r="J33" s="45">
        <v>4</v>
      </c>
      <c r="K33" s="46" t="s">
        <v>9631</v>
      </c>
      <c r="L33" s="47" t="s">
        <v>63</v>
      </c>
      <c r="M33" s="73" t="s">
        <v>42</v>
      </c>
      <c r="N33" s="77" t="s">
        <v>9632</v>
      </c>
      <c r="O33" s="49" t="s">
        <v>3585</v>
      </c>
      <c r="P33" s="49"/>
      <c r="Q33" s="49" t="s">
        <v>3567</v>
      </c>
      <c r="R33" s="50">
        <v>1</v>
      </c>
      <c r="S33" s="50">
        <v>128</v>
      </c>
      <c r="T33" s="51" t="s">
        <v>393</v>
      </c>
      <c r="U33" s="51">
        <v>0</v>
      </c>
      <c r="V33" s="52">
        <f t="shared" ref="V33:V50" si="0">U33*J33</f>
        <v>0</v>
      </c>
      <c r="W33" s="51" t="s">
        <v>350</v>
      </c>
      <c r="X33" s="198" t="s">
        <v>9485</v>
      </c>
      <c r="Y33" s="168"/>
      <c r="Z33" s="169"/>
      <c r="AA33" s="170" t="s">
        <v>3116</v>
      </c>
      <c r="AB33" s="243" t="s">
        <v>3689</v>
      </c>
      <c r="AC33" s="35">
        <v>2550</v>
      </c>
      <c r="AE33" s="137" t="s">
        <v>3587</v>
      </c>
      <c r="AF33" s="138" t="s">
        <v>354</v>
      </c>
      <c r="AG33" s="138" t="s">
        <v>56</v>
      </c>
      <c r="AH33" s="138" t="s">
        <v>56</v>
      </c>
      <c r="AI33" s="138"/>
      <c r="AJ33" s="138"/>
      <c r="AK33" s="138"/>
      <c r="AL33" s="222" t="s">
        <v>55</v>
      </c>
    </row>
    <row r="34" spans="1:38" ht="47.25" customHeight="1" x14ac:dyDescent="0.25">
      <c r="A34" s="14">
        <v>45938</v>
      </c>
      <c r="B34" s="54" t="s">
        <v>3927</v>
      </c>
      <c r="C34" s="276" t="s">
        <v>9633</v>
      </c>
      <c r="D34" s="276"/>
      <c r="E34" s="1290" t="s">
        <v>39</v>
      </c>
      <c r="F34" s="19">
        <v>3</v>
      </c>
      <c r="G34" s="1291"/>
      <c r="H34" s="1291"/>
      <c r="I34" s="1292" t="s">
        <v>9634</v>
      </c>
      <c r="J34" s="1293">
        <v>1</v>
      </c>
      <c r="K34" s="117" t="s">
        <v>9635</v>
      </c>
      <c r="L34" s="1294" t="s">
        <v>63</v>
      </c>
      <c r="M34" s="1294" t="s">
        <v>42</v>
      </c>
      <c r="N34" s="80" t="s">
        <v>9636</v>
      </c>
      <c r="O34" s="62"/>
      <c r="P34" s="187" t="s">
        <v>9637</v>
      </c>
      <c r="Q34" s="62" t="s">
        <v>3702</v>
      </c>
      <c r="R34" s="1294">
        <v>83</v>
      </c>
      <c r="S34" s="1294">
        <v>211</v>
      </c>
      <c r="T34" s="1290" t="s">
        <v>67</v>
      </c>
      <c r="U34" s="1290">
        <v>7</v>
      </c>
      <c r="V34" s="1295">
        <f t="shared" si="0"/>
        <v>7</v>
      </c>
      <c r="W34" s="1290" t="s">
        <v>510</v>
      </c>
      <c r="X34" s="198" t="s">
        <v>9603</v>
      </c>
      <c r="Y34" s="168"/>
      <c r="Z34" s="169"/>
      <c r="AA34" s="170" t="s">
        <v>3736</v>
      </c>
      <c r="AB34" s="243" t="s">
        <v>3471</v>
      </c>
      <c r="AC34" s="35">
        <f>8943.52*J34/4</f>
        <v>2235.88</v>
      </c>
      <c r="AD34" s="200"/>
      <c r="AE34" s="137" t="s">
        <v>2776</v>
      </c>
      <c r="AF34" s="138"/>
      <c r="AG34" s="138" t="s">
        <v>56</v>
      </c>
      <c r="AH34" s="138" t="s">
        <v>56</v>
      </c>
      <c r="AI34" s="138"/>
      <c r="AJ34" s="138" t="s">
        <v>56</v>
      </c>
      <c r="AK34" s="222" t="s">
        <v>9638</v>
      </c>
      <c r="AL34" s="138" t="s">
        <v>55</v>
      </c>
    </row>
    <row r="35" spans="1:38" ht="74.25" customHeight="1" x14ac:dyDescent="0.25">
      <c r="A35" s="14">
        <v>45936</v>
      </c>
      <c r="B35" s="41" t="s">
        <v>9639</v>
      </c>
      <c r="C35" s="41" t="s">
        <v>9640</v>
      </c>
      <c r="D35" s="41" t="s">
        <v>9641</v>
      </c>
      <c r="E35" s="42" t="s">
        <v>39</v>
      </c>
      <c r="F35" s="43"/>
      <c r="G35" s="43"/>
      <c r="H35" s="19">
        <v>2</v>
      </c>
      <c r="I35" s="1281" t="s">
        <v>9642</v>
      </c>
      <c r="J35" s="45">
        <v>4</v>
      </c>
      <c r="K35" s="46" t="s">
        <v>9643</v>
      </c>
      <c r="L35" s="47" t="s">
        <v>63</v>
      </c>
      <c r="M35" s="73" t="s">
        <v>42</v>
      </c>
      <c r="N35" s="77" t="s">
        <v>9644</v>
      </c>
      <c r="O35" s="49" t="s">
        <v>9645</v>
      </c>
      <c r="P35" s="49" t="s">
        <v>9646</v>
      </c>
      <c r="Q35" s="49" t="s">
        <v>9647</v>
      </c>
      <c r="R35" s="50">
        <v>45</v>
      </c>
      <c r="S35" s="50">
        <v>333</v>
      </c>
      <c r="T35" s="51" t="s">
        <v>47</v>
      </c>
      <c r="U35" s="51">
        <v>3</v>
      </c>
      <c r="V35" s="52">
        <f t="shared" si="0"/>
        <v>12</v>
      </c>
      <c r="W35" s="51" t="s">
        <v>350</v>
      </c>
      <c r="X35" s="202" t="s">
        <v>9485</v>
      </c>
      <c r="Y35" s="168"/>
      <c r="Z35" s="169"/>
      <c r="AA35" s="170" t="s">
        <v>9648</v>
      </c>
      <c r="AB35" s="243" t="s">
        <v>9649</v>
      </c>
      <c r="AC35" s="172" t="s">
        <v>9650</v>
      </c>
      <c r="AE35" s="137" t="s">
        <v>2776</v>
      </c>
      <c r="AF35" s="138" t="s">
        <v>354</v>
      </c>
      <c r="AG35" s="138" t="s">
        <v>56</v>
      </c>
      <c r="AH35" s="138" t="s">
        <v>56</v>
      </c>
      <c r="AI35" s="138"/>
      <c r="AJ35" s="138"/>
      <c r="AK35" s="138"/>
      <c r="AL35" s="251" t="s">
        <v>9651</v>
      </c>
    </row>
    <row r="36" spans="1:38" ht="47.25" customHeight="1" x14ac:dyDescent="0.25">
      <c r="A36" s="14">
        <v>45933</v>
      </c>
      <c r="B36" s="54" t="s">
        <v>3927</v>
      </c>
      <c r="C36" s="276" t="s">
        <v>9633</v>
      </c>
      <c r="D36" s="276"/>
      <c r="E36" s="1290" t="s">
        <v>39</v>
      </c>
      <c r="F36" s="19">
        <v>3</v>
      </c>
      <c r="G36" s="1291"/>
      <c r="H36" s="1291"/>
      <c r="I36" s="1292" t="s">
        <v>9652</v>
      </c>
      <c r="J36" s="1293">
        <v>3</v>
      </c>
      <c r="K36" s="117" t="s">
        <v>9653</v>
      </c>
      <c r="L36" s="1294" t="s">
        <v>63</v>
      </c>
      <c r="M36" s="1294" t="s">
        <v>42</v>
      </c>
      <c r="N36" s="80" t="s">
        <v>9636</v>
      </c>
      <c r="O36" s="62"/>
      <c r="P36" s="187" t="s">
        <v>9637</v>
      </c>
      <c r="Q36" s="62" t="s">
        <v>3702</v>
      </c>
      <c r="R36" s="1294">
        <v>83</v>
      </c>
      <c r="S36" s="1294">
        <v>211</v>
      </c>
      <c r="T36" s="1290" t="s">
        <v>67</v>
      </c>
      <c r="U36" s="1290">
        <v>7</v>
      </c>
      <c r="V36" s="1295">
        <f t="shared" si="0"/>
        <v>21</v>
      </c>
      <c r="W36" s="1290" t="s">
        <v>510</v>
      </c>
      <c r="X36" s="198" t="s">
        <v>9603</v>
      </c>
      <c r="Y36" s="168"/>
      <c r="Z36" s="169"/>
      <c r="AA36" s="170" t="s">
        <v>3736</v>
      </c>
      <c r="AB36" s="243" t="s">
        <v>3471</v>
      </c>
      <c r="AC36" s="35">
        <f>8943.52*J36/4</f>
        <v>6707.64</v>
      </c>
      <c r="AD36" s="200"/>
      <c r="AE36" s="137" t="s">
        <v>2776</v>
      </c>
      <c r="AF36" s="138"/>
      <c r="AG36" s="138" t="s">
        <v>56</v>
      </c>
      <c r="AH36" s="138" t="s">
        <v>56</v>
      </c>
      <c r="AI36" s="138"/>
      <c r="AJ36" s="138" t="s">
        <v>56</v>
      </c>
      <c r="AK36" s="222" t="s">
        <v>9638</v>
      </c>
      <c r="AL36" s="138"/>
    </row>
    <row r="37" spans="1:38" s="200" customFormat="1" ht="61.5" x14ac:dyDescent="0.25">
      <c r="A37" s="14">
        <v>45933</v>
      </c>
      <c r="B37" s="54" t="s">
        <v>3927</v>
      </c>
      <c r="C37" s="54" t="s">
        <v>9654</v>
      </c>
      <c r="D37" s="54"/>
      <c r="E37" s="56" t="s">
        <v>39</v>
      </c>
      <c r="F37" s="19">
        <v>1</v>
      </c>
      <c r="G37" s="57"/>
      <c r="H37" s="57"/>
      <c r="I37" s="1281" t="s">
        <v>9655</v>
      </c>
      <c r="J37" s="59">
        <v>4</v>
      </c>
      <c r="K37" s="117" t="s">
        <v>9653</v>
      </c>
      <c r="L37" s="61" t="s">
        <v>63</v>
      </c>
      <c r="M37" s="61" t="s">
        <v>42</v>
      </c>
      <c r="N37" s="80" t="s">
        <v>9656</v>
      </c>
      <c r="O37" s="62"/>
      <c r="P37" s="62" t="s">
        <v>3754</v>
      </c>
      <c r="Q37" s="62" t="s">
        <v>9657</v>
      </c>
      <c r="R37" s="61">
        <v>49</v>
      </c>
      <c r="S37" s="61">
        <v>154</v>
      </c>
      <c r="T37" s="56" t="s">
        <v>96</v>
      </c>
      <c r="U37" s="56">
        <v>6</v>
      </c>
      <c r="V37" s="63">
        <f t="shared" si="0"/>
        <v>24</v>
      </c>
      <c r="W37" s="56" t="s">
        <v>510</v>
      </c>
      <c r="X37" s="198" t="s">
        <v>9603</v>
      </c>
      <c r="Y37" s="416"/>
      <c r="Z37" s="169"/>
      <c r="AA37" s="170" t="s">
        <v>3336</v>
      </c>
      <c r="AB37" s="243" t="s">
        <v>3471</v>
      </c>
      <c r="AC37" s="309">
        <v>7440</v>
      </c>
      <c r="AE37" s="137" t="s">
        <v>2776</v>
      </c>
      <c r="AF37" s="138"/>
      <c r="AG37" s="138" t="s">
        <v>56</v>
      </c>
      <c r="AH37" s="138" t="s">
        <v>56</v>
      </c>
      <c r="AI37" s="138"/>
      <c r="AJ37" s="138" t="s">
        <v>56</v>
      </c>
      <c r="AK37" s="222" t="s">
        <v>74</v>
      </c>
      <c r="AL37" s="138"/>
    </row>
    <row r="38" spans="1:38" s="200" customFormat="1" ht="57.75" customHeight="1" x14ac:dyDescent="0.25">
      <c r="A38" s="14">
        <v>45933</v>
      </c>
      <c r="B38" s="54" t="s">
        <v>3927</v>
      </c>
      <c r="C38" s="54" t="s">
        <v>9658</v>
      </c>
      <c r="D38" s="54"/>
      <c r="E38" s="56" t="s">
        <v>39</v>
      </c>
      <c r="F38" s="19">
        <v>1</v>
      </c>
      <c r="G38" s="57"/>
      <c r="H38" s="57"/>
      <c r="I38" s="1281" t="s">
        <v>9659</v>
      </c>
      <c r="J38" s="59">
        <v>4</v>
      </c>
      <c r="K38" s="117" t="s">
        <v>9653</v>
      </c>
      <c r="L38" s="61" t="s">
        <v>63</v>
      </c>
      <c r="M38" s="61" t="s">
        <v>42</v>
      </c>
      <c r="N38" s="80" t="s">
        <v>9660</v>
      </c>
      <c r="O38" s="62"/>
      <c r="P38" s="62" t="s">
        <v>3764</v>
      </c>
      <c r="Q38" s="62" t="s">
        <v>9661</v>
      </c>
      <c r="R38" s="61">
        <v>63</v>
      </c>
      <c r="S38" s="61">
        <v>171</v>
      </c>
      <c r="T38" s="56" t="s">
        <v>96</v>
      </c>
      <c r="U38" s="56">
        <v>10</v>
      </c>
      <c r="V38" s="63">
        <f t="shared" si="0"/>
        <v>40</v>
      </c>
      <c r="W38" s="56" t="s">
        <v>510</v>
      </c>
      <c r="X38" s="198" t="s">
        <v>9603</v>
      </c>
      <c r="Y38" s="416"/>
      <c r="Z38" s="169"/>
      <c r="AA38" s="170" t="s">
        <v>3736</v>
      </c>
      <c r="AB38" s="243" t="s">
        <v>3471</v>
      </c>
      <c r="AC38" s="35">
        <v>7595.6</v>
      </c>
      <c r="AE38" s="137" t="s">
        <v>2776</v>
      </c>
      <c r="AF38" s="138"/>
      <c r="AG38" s="138" t="s">
        <v>56</v>
      </c>
      <c r="AH38" s="138" t="s">
        <v>56</v>
      </c>
      <c r="AI38" s="138"/>
      <c r="AJ38" s="138" t="s">
        <v>56</v>
      </c>
      <c r="AK38" s="222" t="s">
        <v>74</v>
      </c>
      <c r="AL38" s="138"/>
    </row>
    <row r="39" spans="1:38" ht="35.25" customHeight="1" x14ac:dyDescent="0.25">
      <c r="A39" s="14">
        <v>45904</v>
      </c>
      <c r="B39" s="41" t="s">
        <v>9662</v>
      </c>
      <c r="C39" s="41" t="s">
        <v>9663</v>
      </c>
      <c r="D39" s="41"/>
      <c r="E39" s="42" t="s">
        <v>2929</v>
      </c>
      <c r="F39" s="43"/>
      <c r="G39" s="43"/>
      <c r="H39" s="43"/>
      <c r="I39" s="455" t="s">
        <v>9664</v>
      </c>
      <c r="J39" s="45">
        <v>1</v>
      </c>
      <c r="K39" s="46" t="s">
        <v>4334</v>
      </c>
      <c r="L39" s="47" t="s">
        <v>42</v>
      </c>
      <c r="M39" s="42" t="s">
        <v>42</v>
      </c>
      <c r="N39" s="77" t="s">
        <v>9665</v>
      </c>
      <c r="O39" s="49"/>
      <c r="P39" s="49"/>
      <c r="Q39" s="49"/>
      <c r="R39" s="50"/>
      <c r="S39" s="50"/>
      <c r="T39" s="51"/>
      <c r="U39" s="51"/>
      <c r="V39" s="52">
        <f t="shared" si="0"/>
        <v>0</v>
      </c>
      <c r="W39" s="51" t="s">
        <v>350</v>
      </c>
      <c r="X39" s="202" t="s">
        <v>9508</v>
      </c>
      <c r="Y39" s="168"/>
      <c r="Z39" s="169"/>
      <c r="AA39" s="170" t="s">
        <v>9666</v>
      </c>
      <c r="AB39" s="243" t="s">
        <v>4161</v>
      </c>
      <c r="AC39" s="172">
        <v>125</v>
      </c>
      <c r="AE39" s="137"/>
      <c r="AF39" s="138"/>
      <c r="AG39" s="138"/>
      <c r="AH39" s="138"/>
      <c r="AI39" s="138"/>
      <c r="AJ39" s="138"/>
      <c r="AK39" s="138"/>
      <c r="AL39" s="222"/>
    </row>
    <row r="40" spans="1:38" ht="35.25" customHeight="1" x14ac:dyDescent="0.25">
      <c r="A40" s="14">
        <v>45904</v>
      </c>
      <c r="B40" s="41" t="s">
        <v>9662</v>
      </c>
      <c r="C40" s="41" t="s">
        <v>9663</v>
      </c>
      <c r="D40" s="41"/>
      <c r="E40" s="42" t="s">
        <v>2929</v>
      </c>
      <c r="F40" s="43"/>
      <c r="G40" s="43"/>
      <c r="H40" s="43"/>
      <c r="I40" s="455" t="s">
        <v>9667</v>
      </c>
      <c r="J40" s="45">
        <v>1</v>
      </c>
      <c r="K40" s="46" t="s">
        <v>4334</v>
      </c>
      <c r="L40" s="47" t="s">
        <v>42</v>
      </c>
      <c r="M40" s="42" t="s">
        <v>42</v>
      </c>
      <c r="N40" s="77" t="s">
        <v>9668</v>
      </c>
      <c r="O40" s="49"/>
      <c r="P40" s="49"/>
      <c r="Q40" s="49"/>
      <c r="R40" s="50"/>
      <c r="S40" s="50"/>
      <c r="T40" s="51"/>
      <c r="U40" s="51"/>
      <c r="V40" s="52">
        <f t="shared" si="0"/>
        <v>0</v>
      </c>
      <c r="W40" s="51" t="s">
        <v>350</v>
      </c>
      <c r="X40" s="202" t="s">
        <v>9508</v>
      </c>
      <c r="Y40" s="168"/>
      <c r="Z40" s="169"/>
      <c r="AA40" s="170" t="s">
        <v>9666</v>
      </c>
      <c r="AB40" s="243" t="s">
        <v>4161</v>
      </c>
      <c r="AC40" s="172">
        <v>125</v>
      </c>
      <c r="AE40" s="137"/>
      <c r="AF40" s="138"/>
      <c r="AG40" s="138"/>
      <c r="AH40" s="138"/>
      <c r="AI40" s="138"/>
      <c r="AJ40" s="138"/>
      <c r="AK40" s="138"/>
      <c r="AL40" s="222"/>
    </row>
    <row r="41" spans="1:38" ht="35.25" customHeight="1" x14ac:dyDescent="0.25">
      <c r="A41" s="14">
        <v>45904</v>
      </c>
      <c r="B41" s="41" t="s">
        <v>9662</v>
      </c>
      <c r="C41" s="41" t="s">
        <v>9663</v>
      </c>
      <c r="D41" s="41"/>
      <c r="E41" s="42" t="s">
        <v>2929</v>
      </c>
      <c r="F41" s="43"/>
      <c r="G41" s="43"/>
      <c r="H41" s="43"/>
      <c r="I41" s="455" t="s">
        <v>9669</v>
      </c>
      <c r="J41" s="45">
        <v>1</v>
      </c>
      <c r="K41" s="46" t="s">
        <v>4334</v>
      </c>
      <c r="L41" s="47" t="s">
        <v>42</v>
      </c>
      <c r="M41" s="42" t="s">
        <v>42</v>
      </c>
      <c r="N41" s="77" t="s">
        <v>9670</v>
      </c>
      <c r="O41" s="49"/>
      <c r="P41" s="49"/>
      <c r="Q41" s="49"/>
      <c r="R41" s="50"/>
      <c r="S41" s="50"/>
      <c r="T41" s="51"/>
      <c r="U41" s="51"/>
      <c r="V41" s="52">
        <f t="shared" si="0"/>
        <v>0</v>
      </c>
      <c r="W41" s="51" t="s">
        <v>350</v>
      </c>
      <c r="X41" s="202" t="s">
        <v>9508</v>
      </c>
      <c r="Y41" s="168"/>
      <c r="Z41" s="169"/>
      <c r="AA41" s="170" t="s">
        <v>9666</v>
      </c>
      <c r="AB41" s="243" t="s">
        <v>4161</v>
      </c>
      <c r="AC41" s="172">
        <v>125</v>
      </c>
      <c r="AE41" s="137"/>
      <c r="AF41" s="138"/>
      <c r="AG41" s="138"/>
      <c r="AH41" s="138"/>
      <c r="AI41" s="138"/>
      <c r="AJ41" s="138"/>
      <c r="AK41" s="138"/>
      <c r="AL41" s="222"/>
    </row>
    <row r="42" spans="1:38" ht="35.25" customHeight="1" x14ac:dyDescent="0.25">
      <c r="A42" s="14">
        <v>45904</v>
      </c>
      <c r="B42" s="41" t="s">
        <v>9662</v>
      </c>
      <c r="C42" s="41" t="s">
        <v>9663</v>
      </c>
      <c r="D42" s="41"/>
      <c r="E42" s="42" t="s">
        <v>2929</v>
      </c>
      <c r="F42" s="43"/>
      <c r="G42" s="43"/>
      <c r="H42" s="43"/>
      <c r="I42" s="455" t="s">
        <v>9671</v>
      </c>
      <c r="J42" s="45">
        <v>1</v>
      </c>
      <c r="K42" s="46" t="s">
        <v>4334</v>
      </c>
      <c r="L42" s="47" t="s">
        <v>42</v>
      </c>
      <c r="M42" s="42" t="s">
        <v>42</v>
      </c>
      <c r="N42" s="77" t="s">
        <v>9672</v>
      </c>
      <c r="O42" s="49"/>
      <c r="P42" s="49"/>
      <c r="Q42" s="49"/>
      <c r="R42" s="50"/>
      <c r="S42" s="50"/>
      <c r="T42" s="51"/>
      <c r="U42" s="51"/>
      <c r="V42" s="52">
        <f t="shared" si="0"/>
        <v>0</v>
      </c>
      <c r="W42" s="51" t="s">
        <v>350</v>
      </c>
      <c r="X42" s="202" t="s">
        <v>9508</v>
      </c>
      <c r="Y42" s="168"/>
      <c r="Z42" s="169"/>
      <c r="AA42" s="170" t="s">
        <v>9666</v>
      </c>
      <c r="AB42" s="243" t="s">
        <v>4161</v>
      </c>
      <c r="AC42" s="172">
        <v>125</v>
      </c>
      <c r="AE42" s="137"/>
      <c r="AF42" s="138"/>
      <c r="AG42" s="138"/>
      <c r="AH42" s="138"/>
      <c r="AI42" s="138"/>
      <c r="AJ42" s="138"/>
      <c r="AK42" s="138"/>
      <c r="AL42" s="222"/>
    </row>
    <row r="43" spans="1:38" ht="35.25" customHeight="1" x14ac:dyDescent="0.25">
      <c r="A43" s="14">
        <v>45904</v>
      </c>
      <c r="B43" s="41" t="s">
        <v>9662</v>
      </c>
      <c r="C43" s="41" t="s">
        <v>9663</v>
      </c>
      <c r="D43" s="41"/>
      <c r="E43" s="42" t="s">
        <v>2929</v>
      </c>
      <c r="F43" s="43"/>
      <c r="G43" s="43"/>
      <c r="H43" s="43"/>
      <c r="I43" s="455" t="s">
        <v>9673</v>
      </c>
      <c r="J43" s="45">
        <v>1</v>
      </c>
      <c r="K43" s="46" t="s">
        <v>4334</v>
      </c>
      <c r="L43" s="47" t="s">
        <v>42</v>
      </c>
      <c r="M43" s="42" t="s">
        <v>42</v>
      </c>
      <c r="N43" s="77" t="s">
        <v>9674</v>
      </c>
      <c r="O43" s="49"/>
      <c r="P43" s="49"/>
      <c r="Q43" s="49"/>
      <c r="R43" s="50"/>
      <c r="S43" s="50"/>
      <c r="T43" s="51"/>
      <c r="U43" s="51"/>
      <c r="V43" s="52">
        <f t="shared" si="0"/>
        <v>0</v>
      </c>
      <c r="W43" s="51" t="s">
        <v>350</v>
      </c>
      <c r="X43" s="202" t="s">
        <v>9508</v>
      </c>
      <c r="Y43" s="168"/>
      <c r="Z43" s="169"/>
      <c r="AA43" s="170" t="s">
        <v>9666</v>
      </c>
      <c r="AB43" s="243" t="s">
        <v>4161</v>
      </c>
      <c r="AC43" s="172">
        <v>125</v>
      </c>
      <c r="AE43" s="137"/>
      <c r="AF43" s="138"/>
      <c r="AG43" s="138"/>
      <c r="AH43" s="138"/>
      <c r="AI43" s="138"/>
      <c r="AJ43" s="138"/>
      <c r="AK43" s="138"/>
      <c r="AL43" s="222"/>
    </row>
    <row r="44" spans="1:38" ht="51" x14ac:dyDescent="0.25">
      <c r="A44" s="14">
        <v>45904</v>
      </c>
      <c r="B44" s="41" t="s">
        <v>9662</v>
      </c>
      <c r="C44" s="41" t="s">
        <v>9663</v>
      </c>
      <c r="D44" s="41"/>
      <c r="E44" s="42" t="s">
        <v>2929</v>
      </c>
      <c r="F44" s="43"/>
      <c r="G44" s="43"/>
      <c r="H44" s="43"/>
      <c r="I44" s="455" t="s">
        <v>9675</v>
      </c>
      <c r="J44" s="45">
        <v>1</v>
      </c>
      <c r="K44" s="46" t="s">
        <v>4334</v>
      </c>
      <c r="L44" s="47" t="s">
        <v>42</v>
      </c>
      <c r="M44" s="42" t="s">
        <v>42</v>
      </c>
      <c r="N44" s="77" t="s">
        <v>9676</v>
      </c>
      <c r="O44" s="49"/>
      <c r="P44" s="49"/>
      <c r="Q44" s="49"/>
      <c r="R44" s="50"/>
      <c r="S44" s="50"/>
      <c r="T44" s="51"/>
      <c r="U44" s="51"/>
      <c r="V44" s="52">
        <f t="shared" si="0"/>
        <v>0</v>
      </c>
      <c r="W44" s="51" t="s">
        <v>350</v>
      </c>
      <c r="X44" s="202" t="s">
        <v>9508</v>
      </c>
      <c r="Y44" s="168"/>
      <c r="Z44" s="169"/>
      <c r="AA44" s="170" t="s">
        <v>9666</v>
      </c>
      <c r="AB44" s="243" t="s">
        <v>4161</v>
      </c>
      <c r="AC44" s="172">
        <v>1175</v>
      </c>
      <c r="AE44" s="137"/>
      <c r="AF44" s="138"/>
      <c r="AG44" s="138"/>
      <c r="AH44" s="138"/>
      <c r="AI44" s="138"/>
      <c r="AJ44" s="138"/>
      <c r="AK44" s="138"/>
      <c r="AL44" s="222"/>
    </row>
    <row r="45" spans="1:38" ht="33.75" customHeight="1" x14ac:dyDescent="0.25">
      <c r="A45" s="14">
        <v>45904</v>
      </c>
      <c r="B45" s="41" t="s">
        <v>9662</v>
      </c>
      <c r="C45" s="41" t="s">
        <v>9663</v>
      </c>
      <c r="D45" s="41"/>
      <c r="E45" s="42" t="s">
        <v>2929</v>
      </c>
      <c r="F45" s="43"/>
      <c r="G45" s="43"/>
      <c r="H45" s="43"/>
      <c r="I45" s="455" t="s">
        <v>9677</v>
      </c>
      <c r="J45" s="45">
        <v>1</v>
      </c>
      <c r="K45" s="46" t="s">
        <v>4334</v>
      </c>
      <c r="L45" s="47" t="s">
        <v>42</v>
      </c>
      <c r="M45" s="42" t="s">
        <v>42</v>
      </c>
      <c r="N45" s="77" t="s">
        <v>9678</v>
      </c>
      <c r="O45" s="49"/>
      <c r="P45" s="49"/>
      <c r="Q45" s="49"/>
      <c r="R45" s="50"/>
      <c r="S45" s="50"/>
      <c r="T45" s="51"/>
      <c r="U45" s="51"/>
      <c r="V45" s="52">
        <f t="shared" si="0"/>
        <v>0</v>
      </c>
      <c r="W45" s="51" t="s">
        <v>350</v>
      </c>
      <c r="X45" s="202" t="s">
        <v>9508</v>
      </c>
      <c r="Y45" s="168"/>
      <c r="Z45" s="169"/>
      <c r="AA45" s="170" t="s">
        <v>9666</v>
      </c>
      <c r="AB45" s="243" t="s">
        <v>4161</v>
      </c>
      <c r="AC45" s="172">
        <v>125</v>
      </c>
      <c r="AE45" s="137"/>
      <c r="AF45" s="138"/>
      <c r="AG45" s="138"/>
      <c r="AH45" s="138"/>
      <c r="AI45" s="138"/>
      <c r="AJ45" s="138"/>
      <c r="AK45" s="138"/>
      <c r="AL45" s="222"/>
    </row>
    <row r="46" spans="1:38" ht="33.75" customHeight="1" x14ac:dyDescent="0.25">
      <c r="A46" s="14">
        <v>45904</v>
      </c>
      <c r="B46" s="41" t="s">
        <v>9662</v>
      </c>
      <c r="C46" s="41" t="s">
        <v>9663</v>
      </c>
      <c r="D46" s="41"/>
      <c r="E46" s="42" t="s">
        <v>2929</v>
      </c>
      <c r="F46" s="43"/>
      <c r="G46" s="43"/>
      <c r="H46" s="43"/>
      <c r="I46" s="455" t="s">
        <v>9679</v>
      </c>
      <c r="J46" s="45">
        <v>1</v>
      </c>
      <c r="K46" s="46" t="s">
        <v>4334</v>
      </c>
      <c r="L46" s="47" t="s">
        <v>42</v>
      </c>
      <c r="M46" s="42" t="s">
        <v>42</v>
      </c>
      <c r="N46" s="77" t="s">
        <v>9680</v>
      </c>
      <c r="O46" s="49"/>
      <c r="P46" s="49"/>
      <c r="Q46" s="49"/>
      <c r="R46" s="50"/>
      <c r="S46" s="50"/>
      <c r="T46" s="51"/>
      <c r="U46" s="51"/>
      <c r="V46" s="52">
        <f t="shared" si="0"/>
        <v>0</v>
      </c>
      <c r="W46" s="51" t="s">
        <v>350</v>
      </c>
      <c r="X46" s="202" t="s">
        <v>9508</v>
      </c>
      <c r="Y46" s="168"/>
      <c r="Z46" s="169"/>
      <c r="AA46" s="170" t="s">
        <v>9666</v>
      </c>
      <c r="AB46" s="243" t="s">
        <v>4161</v>
      </c>
      <c r="AC46" s="172">
        <v>125</v>
      </c>
      <c r="AE46" s="137"/>
      <c r="AF46" s="138"/>
      <c r="AG46" s="138"/>
      <c r="AH46" s="138"/>
      <c r="AI46" s="138"/>
      <c r="AJ46" s="138"/>
      <c r="AK46" s="138"/>
      <c r="AL46" s="222"/>
    </row>
    <row r="47" spans="1:38" ht="33.75" customHeight="1" x14ac:dyDescent="0.25">
      <c r="A47" s="14">
        <v>45904</v>
      </c>
      <c r="B47" s="41" t="s">
        <v>9662</v>
      </c>
      <c r="C47" s="41" t="s">
        <v>9663</v>
      </c>
      <c r="D47" s="41"/>
      <c r="E47" s="42" t="s">
        <v>2929</v>
      </c>
      <c r="F47" s="43"/>
      <c r="G47" s="43"/>
      <c r="H47" s="43"/>
      <c r="I47" s="455" t="s">
        <v>9681</v>
      </c>
      <c r="J47" s="45">
        <v>1</v>
      </c>
      <c r="K47" s="46" t="s">
        <v>4334</v>
      </c>
      <c r="L47" s="47" t="s">
        <v>42</v>
      </c>
      <c r="M47" s="42" t="s">
        <v>42</v>
      </c>
      <c r="N47" s="77" t="s">
        <v>9682</v>
      </c>
      <c r="O47" s="49"/>
      <c r="P47" s="49"/>
      <c r="Q47" s="49"/>
      <c r="R47" s="50"/>
      <c r="S47" s="50"/>
      <c r="T47" s="51"/>
      <c r="U47" s="51"/>
      <c r="V47" s="52">
        <f t="shared" si="0"/>
        <v>0</v>
      </c>
      <c r="W47" s="51" t="s">
        <v>350</v>
      </c>
      <c r="X47" s="202" t="s">
        <v>9508</v>
      </c>
      <c r="Y47" s="168"/>
      <c r="Z47" s="169"/>
      <c r="AA47" s="170" t="s">
        <v>9666</v>
      </c>
      <c r="AB47" s="243" t="s">
        <v>4161</v>
      </c>
      <c r="AC47" s="172">
        <v>125</v>
      </c>
      <c r="AE47" s="137"/>
      <c r="AF47" s="138"/>
      <c r="AG47" s="138"/>
      <c r="AH47" s="138"/>
      <c r="AI47" s="138"/>
      <c r="AJ47" s="138"/>
      <c r="AK47" s="138"/>
      <c r="AL47" s="222"/>
    </row>
    <row r="48" spans="1:38" ht="33.75" customHeight="1" x14ac:dyDescent="0.25">
      <c r="A48" s="14">
        <v>45904</v>
      </c>
      <c r="B48" s="41" t="s">
        <v>9662</v>
      </c>
      <c r="C48" s="41" t="s">
        <v>9663</v>
      </c>
      <c r="D48" s="41"/>
      <c r="E48" s="42" t="s">
        <v>2929</v>
      </c>
      <c r="F48" s="43"/>
      <c r="G48" s="43"/>
      <c r="H48" s="43"/>
      <c r="I48" s="455" t="s">
        <v>9683</v>
      </c>
      <c r="J48" s="45">
        <v>1</v>
      </c>
      <c r="K48" s="46" t="s">
        <v>4334</v>
      </c>
      <c r="L48" s="47" t="s">
        <v>42</v>
      </c>
      <c r="M48" s="42" t="s">
        <v>42</v>
      </c>
      <c r="N48" s="77" t="s">
        <v>9684</v>
      </c>
      <c r="O48" s="49"/>
      <c r="P48" s="49"/>
      <c r="Q48" s="49"/>
      <c r="R48" s="50"/>
      <c r="S48" s="50"/>
      <c r="T48" s="51"/>
      <c r="U48" s="51"/>
      <c r="V48" s="52">
        <f t="shared" si="0"/>
        <v>0</v>
      </c>
      <c r="W48" s="51" t="s">
        <v>350</v>
      </c>
      <c r="X48" s="202" t="s">
        <v>9508</v>
      </c>
      <c r="Y48" s="168"/>
      <c r="Z48" s="169"/>
      <c r="AA48" s="170" t="s">
        <v>9666</v>
      </c>
      <c r="AB48" s="243" t="s">
        <v>4161</v>
      </c>
      <c r="AC48" s="172">
        <v>125</v>
      </c>
      <c r="AE48" s="137"/>
      <c r="AF48" s="138"/>
      <c r="AG48" s="138"/>
      <c r="AH48" s="138"/>
      <c r="AI48" s="138"/>
      <c r="AJ48" s="138"/>
      <c r="AK48" s="138"/>
      <c r="AL48" s="222"/>
    </row>
    <row r="49" spans="1:39" ht="33.75" customHeight="1" x14ac:dyDescent="0.25">
      <c r="A49" s="14">
        <v>45904</v>
      </c>
      <c r="B49" s="41" t="s">
        <v>9662</v>
      </c>
      <c r="C49" s="41" t="s">
        <v>9663</v>
      </c>
      <c r="D49" s="41"/>
      <c r="E49" s="42" t="s">
        <v>2929</v>
      </c>
      <c r="F49" s="43"/>
      <c r="G49" s="43"/>
      <c r="H49" s="43"/>
      <c r="I49" s="455" t="s">
        <v>9685</v>
      </c>
      <c r="J49" s="45">
        <v>1</v>
      </c>
      <c r="K49" s="46" t="s">
        <v>4334</v>
      </c>
      <c r="L49" s="47" t="s">
        <v>42</v>
      </c>
      <c r="M49" s="42" t="s">
        <v>42</v>
      </c>
      <c r="N49" s="77" t="s">
        <v>9686</v>
      </c>
      <c r="O49" s="49"/>
      <c r="P49" s="49"/>
      <c r="Q49" s="49"/>
      <c r="R49" s="50"/>
      <c r="S49" s="50"/>
      <c r="T49" s="51"/>
      <c r="U49" s="51"/>
      <c r="V49" s="52">
        <f t="shared" si="0"/>
        <v>0</v>
      </c>
      <c r="W49" s="51" t="s">
        <v>350</v>
      </c>
      <c r="X49" s="202" t="s">
        <v>9508</v>
      </c>
      <c r="Y49" s="168"/>
      <c r="Z49" s="169"/>
      <c r="AA49" s="170" t="s">
        <v>9666</v>
      </c>
      <c r="AB49" s="243" t="s">
        <v>4161</v>
      </c>
      <c r="AC49" s="172">
        <v>125</v>
      </c>
      <c r="AE49" s="137"/>
      <c r="AF49" s="138"/>
      <c r="AG49" s="138"/>
      <c r="AH49" s="138"/>
      <c r="AI49" s="138"/>
      <c r="AJ49" s="138"/>
      <c r="AK49" s="138"/>
      <c r="AL49" s="222"/>
    </row>
    <row r="50" spans="1:39" ht="33.75" customHeight="1" x14ac:dyDescent="0.25">
      <c r="A50"/>
      <c r="B50" s="41" t="s">
        <v>9662</v>
      </c>
      <c r="C50" s="82" t="s">
        <v>9687</v>
      </c>
      <c r="D50" s="41"/>
      <c r="E50" s="42" t="s">
        <v>2929</v>
      </c>
      <c r="F50" s="43"/>
      <c r="G50" s="43"/>
      <c r="H50" s="43"/>
      <c r="I50" s="455" t="s">
        <v>9688</v>
      </c>
      <c r="J50" s="45">
        <v>1</v>
      </c>
      <c r="K50" s="46" t="s">
        <v>4334</v>
      </c>
      <c r="L50" s="47" t="s">
        <v>42</v>
      </c>
      <c r="M50" s="42" t="s">
        <v>42</v>
      </c>
      <c r="N50" s="77" t="s">
        <v>9689</v>
      </c>
      <c r="O50" s="49"/>
      <c r="P50" s="49"/>
      <c r="Q50" s="49"/>
      <c r="R50" s="50"/>
      <c r="S50" s="50"/>
      <c r="T50" s="51"/>
      <c r="U50" s="51"/>
      <c r="V50" s="52">
        <f t="shared" si="0"/>
        <v>0</v>
      </c>
      <c r="W50" s="51" t="s">
        <v>350</v>
      </c>
      <c r="X50" s="202" t="s">
        <v>9508</v>
      </c>
      <c r="Y50" s="168"/>
      <c r="Z50" s="169"/>
      <c r="AA50" s="170" t="s">
        <v>9666</v>
      </c>
      <c r="AB50" s="243" t="s">
        <v>4161</v>
      </c>
      <c r="AC50" s="172">
        <v>125</v>
      </c>
      <c r="AE50" s="137"/>
      <c r="AF50" s="138"/>
      <c r="AG50" s="138"/>
      <c r="AH50" s="138"/>
      <c r="AI50" s="138"/>
      <c r="AJ50" s="138"/>
      <c r="AK50" s="138"/>
      <c r="AL50" s="222"/>
    </row>
    <row r="51" spans="1:39" ht="68.25" customHeight="1" x14ac:dyDescent="0.25">
      <c r="A51" s="14">
        <v>45902</v>
      </c>
      <c r="B51" s="41" t="s">
        <v>9596</v>
      </c>
      <c r="C51" s="41" t="s">
        <v>9597</v>
      </c>
      <c r="D51" s="41" t="s">
        <v>9690</v>
      </c>
      <c r="E51" s="42" t="s">
        <v>39</v>
      </c>
      <c r="F51" s="43"/>
      <c r="G51" s="43"/>
      <c r="H51" s="19">
        <v>1</v>
      </c>
      <c r="I51" s="455" t="s">
        <v>9691</v>
      </c>
      <c r="J51" s="45">
        <v>30</v>
      </c>
      <c r="K51" s="46" t="s">
        <v>9692</v>
      </c>
      <c r="L51" s="47" t="s">
        <v>63</v>
      </c>
      <c r="M51" s="73" t="s">
        <v>42</v>
      </c>
      <c r="N51" s="77" t="s">
        <v>9602</v>
      </c>
      <c r="O51" s="49"/>
      <c r="P51" s="49" t="s">
        <v>4373</v>
      </c>
      <c r="Q51" s="49" t="s">
        <v>4322</v>
      </c>
      <c r="R51" s="50">
        <v>82</v>
      </c>
      <c r="S51" s="50">
        <v>412</v>
      </c>
      <c r="T51" s="51" t="s">
        <v>67</v>
      </c>
      <c r="U51" s="51">
        <v>21</v>
      </c>
      <c r="V51" s="75">
        <f>630+630+420</f>
        <v>1680</v>
      </c>
      <c r="W51" s="51" t="s">
        <v>2982</v>
      </c>
      <c r="X51" s="198" t="s">
        <v>9603</v>
      </c>
      <c r="Y51" s="168"/>
      <c r="Z51" s="269"/>
      <c r="AA51" s="170" t="s">
        <v>4812</v>
      </c>
      <c r="AB51" s="243" t="s">
        <v>3705</v>
      </c>
      <c r="AC51" s="35">
        <f>3360+19766.6</f>
        <v>23126.6</v>
      </c>
      <c r="AE51" s="137" t="s">
        <v>3829</v>
      </c>
      <c r="AF51" s="138"/>
      <c r="AG51" s="138" t="s">
        <v>56</v>
      </c>
      <c r="AH51" s="138" t="s">
        <v>56</v>
      </c>
      <c r="AI51" s="138"/>
      <c r="AJ51" s="138" t="s">
        <v>56</v>
      </c>
      <c r="AK51" s="138" t="s">
        <v>9604</v>
      </c>
      <c r="AL51" s="222"/>
    </row>
    <row r="52" spans="1:39" ht="63.75" customHeight="1" x14ac:dyDescent="0.25">
      <c r="A52" s="14">
        <v>45883</v>
      </c>
      <c r="B52" s="41" t="s">
        <v>9693</v>
      </c>
      <c r="C52" s="41" t="s">
        <v>9693</v>
      </c>
      <c r="D52" s="41" t="s">
        <v>9694</v>
      </c>
      <c r="E52" s="42" t="s">
        <v>39</v>
      </c>
      <c r="F52" s="43"/>
      <c r="G52" s="43"/>
      <c r="H52" s="19">
        <v>2</v>
      </c>
      <c r="I52" s="1296" t="s">
        <v>9695</v>
      </c>
      <c r="J52" s="45">
        <v>2</v>
      </c>
      <c r="K52" s="46" t="s">
        <v>4769</v>
      </c>
      <c r="L52" s="47" t="s">
        <v>63</v>
      </c>
      <c r="M52" s="73" t="s">
        <v>42</v>
      </c>
      <c r="N52" s="77" t="s">
        <v>9696</v>
      </c>
      <c r="O52" s="49" t="s">
        <v>4838</v>
      </c>
      <c r="P52" s="49"/>
      <c r="Q52" s="49"/>
      <c r="R52" s="50">
        <v>107</v>
      </c>
      <c r="S52" s="50">
        <v>1075</v>
      </c>
      <c r="T52" s="51" t="s">
        <v>180</v>
      </c>
      <c r="U52" s="51">
        <v>13</v>
      </c>
      <c r="V52" s="52">
        <f t="shared" ref="V52:V71" si="1">U52*J52</f>
        <v>26</v>
      </c>
      <c r="W52" s="51" t="s">
        <v>9507</v>
      </c>
      <c r="X52" s="202" t="s">
        <v>9508</v>
      </c>
      <c r="Y52" s="168"/>
      <c r="Z52" s="169" t="s">
        <v>9697</v>
      </c>
      <c r="AA52" s="506" t="s">
        <v>5005</v>
      </c>
      <c r="AB52" s="243" t="s">
        <v>647</v>
      </c>
      <c r="AC52" s="172">
        <v>18850</v>
      </c>
      <c r="AE52" s="138" t="s">
        <v>2776</v>
      </c>
      <c r="AF52" s="138" t="s">
        <v>354</v>
      </c>
      <c r="AG52" s="138" t="s">
        <v>56</v>
      </c>
      <c r="AH52" s="138" t="s">
        <v>56</v>
      </c>
      <c r="AI52" s="138"/>
      <c r="AJ52" s="138"/>
      <c r="AK52" s="138"/>
      <c r="AL52" s="222"/>
    </row>
    <row r="53" spans="1:39" ht="50.25" customHeight="1" x14ac:dyDescent="0.25">
      <c r="A53" s="14">
        <v>45880</v>
      </c>
      <c r="B53" s="41" t="s">
        <v>9698</v>
      </c>
      <c r="C53" s="41" t="s">
        <v>9699</v>
      </c>
      <c r="D53" s="41" t="s">
        <v>9700</v>
      </c>
      <c r="E53" s="51" t="s">
        <v>39</v>
      </c>
      <c r="F53" s="43"/>
      <c r="G53" s="43"/>
      <c r="H53" s="19">
        <v>1</v>
      </c>
      <c r="I53" s="455" t="s">
        <v>9701</v>
      </c>
      <c r="J53" s="45">
        <v>4</v>
      </c>
      <c r="K53" s="248" t="s">
        <v>9702</v>
      </c>
      <c r="L53" s="47" t="s">
        <v>63</v>
      </c>
      <c r="M53" s="73" t="s">
        <v>42</v>
      </c>
      <c r="N53" s="77" t="s">
        <v>9703</v>
      </c>
      <c r="O53" s="49" t="s">
        <v>9704</v>
      </c>
      <c r="P53" s="49"/>
      <c r="Q53" s="49"/>
      <c r="R53" s="50">
        <v>1</v>
      </c>
      <c r="S53" s="50">
        <v>128</v>
      </c>
      <c r="T53" s="51" t="s">
        <v>393</v>
      </c>
      <c r="U53" s="51">
        <v>0</v>
      </c>
      <c r="V53" s="52">
        <f t="shared" si="1"/>
        <v>0</v>
      </c>
      <c r="W53" s="51" t="s">
        <v>350</v>
      </c>
      <c r="X53" s="198" t="s">
        <v>9508</v>
      </c>
      <c r="Y53" s="168"/>
      <c r="Z53" s="169"/>
      <c r="AA53" s="170" t="s">
        <v>4812</v>
      </c>
      <c r="AB53" s="243" t="s">
        <v>4408</v>
      </c>
      <c r="AC53" s="172">
        <v>2806</v>
      </c>
      <c r="AE53" s="381" t="s">
        <v>4867</v>
      </c>
      <c r="AF53" s="138" t="s">
        <v>354</v>
      </c>
      <c r="AG53" s="138" t="s">
        <v>56</v>
      </c>
      <c r="AH53" s="138" t="s">
        <v>56</v>
      </c>
      <c r="AI53" s="138"/>
      <c r="AJ53" s="138"/>
      <c r="AK53" s="222"/>
      <c r="AL53" s="222"/>
    </row>
    <row r="54" spans="1:39" s="200" customFormat="1" ht="69.75" customHeight="1" x14ac:dyDescent="0.25">
      <c r="A54" s="14">
        <v>45877</v>
      </c>
      <c r="B54" s="41" t="s">
        <v>9705</v>
      </c>
      <c r="C54" s="41" t="s">
        <v>9699</v>
      </c>
      <c r="D54" s="41" t="s">
        <v>9706</v>
      </c>
      <c r="E54" s="42" t="s">
        <v>39</v>
      </c>
      <c r="F54" s="19">
        <v>1</v>
      </c>
      <c r="G54" s="43"/>
      <c r="H54" s="43"/>
      <c r="I54" s="455" t="s">
        <v>9707</v>
      </c>
      <c r="J54" s="45">
        <v>6</v>
      </c>
      <c r="K54" s="46" t="s">
        <v>9708</v>
      </c>
      <c r="L54" s="50" t="s">
        <v>63</v>
      </c>
      <c r="M54" s="73" t="s">
        <v>42</v>
      </c>
      <c r="N54" s="77" t="s">
        <v>9709</v>
      </c>
      <c r="O54" s="49"/>
      <c r="P54" s="49" t="s">
        <v>4847</v>
      </c>
      <c r="Q54" s="49" t="s">
        <v>9710</v>
      </c>
      <c r="R54" s="50">
        <v>82</v>
      </c>
      <c r="S54" s="50">
        <v>413</v>
      </c>
      <c r="T54" s="51" t="s">
        <v>67</v>
      </c>
      <c r="U54" s="51">
        <v>21</v>
      </c>
      <c r="V54" s="52">
        <f t="shared" si="1"/>
        <v>126</v>
      </c>
      <c r="W54" s="1297" t="s">
        <v>9711</v>
      </c>
      <c r="X54" s="198" t="s">
        <v>9603</v>
      </c>
      <c r="Y54" s="199"/>
      <c r="Z54" s="269"/>
      <c r="AA54" s="170" t="s">
        <v>4521</v>
      </c>
      <c r="AB54" s="243" t="s">
        <v>4408</v>
      </c>
      <c r="AC54" s="172">
        <v>11697.24</v>
      </c>
      <c r="AE54" s="138" t="s">
        <v>4792</v>
      </c>
      <c r="AF54" s="138"/>
      <c r="AG54" s="138" t="s">
        <v>56</v>
      </c>
      <c r="AH54" s="138" t="s">
        <v>56</v>
      </c>
      <c r="AI54" s="138"/>
      <c r="AJ54" s="138" t="s">
        <v>56</v>
      </c>
      <c r="AK54" s="138" t="s">
        <v>74</v>
      </c>
      <c r="AL54" s="138"/>
    </row>
    <row r="55" spans="1:39" ht="61.5" customHeight="1" x14ac:dyDescent="0.25">
      <c r="A55" s="14">
        <v>45875</v>
      </c>
      <c r="B55" s="483" t="s">
        <v>9712</v>
      </c>
      <c r="C55" s="483" t="s">
        <v>9713</v>
      </c>
      <c r="D55" s="483" t="s">
        <v>9714</v>
      </c>
      <c r="E55" s="484" t="s">
        <v>39</v>
      </c>
      <c r="F55" s="19">
        <v>1</v>
      </c>
      <c r="G55" s="485"/>
      <c r="H55" s="485"/>
      <c r="I55" s="455" t="s">
        <v>9715</v>
      </c>
      <c r="J55" s="486">
        <v>6</v>
      </c>
      <c r="K55" s="1298" t="s">
        <v>9716</v>
      </c>
      <c r="L55" s="491" t="s">
        <v>63</v>
      </c>
      <c r="M55" s="491" t="s">
        <v>55</v>
      </c>
      <c r="N55" s="489" t="s">
        <v>9717</v>
      </c>
      <c r="O55" s="490"/>
      <c r="P55" s="490" t="s">
        <v>4922</v>
      </c>
      <c r="Q55" s="490" t="s">
        <v>4933</v>
      </c>
      <c r="R55" s="491">
        <v>82</v>
      </c>
      <c r="S55" s="491">
        <v>210</v>
      </c>
      <c r="T55" s="484" t="s">
        <v>67</v>
      </c>
      <c r="U55" s="484">
        <v>7</v>
      </c>
      <c r="V55" s="492">
        <f t="shared" si="1"/>
        <v>42</v>
      </c>
      <c r="W55" s="489" t="s">
        <v>9711</v>
      </c>
      <c r="X55" s="198" t="s">
        <v>9603</v>
      </c>
      <c r="Y55" s="168"/>
      <c r="Z55" s="169"/>
      <c r="AA55" s="170" t="s">
        <v>2972</v>
      </c>
      <c r="AB55" s="243" t="s">
        <v>4419</v>
      </c>
      <c r="AC55" s="35">
        <v>14607.04</v>
      </c>
      <c r="AE55" s="138" t="s">
        <v>4867</v>
      </c>
      <c r="AF55" s="138"/>
      <c r="AG55" s="138" t="s">
        <v>56</v>
      </c>
      <c r="AH55" s="138" t="s">
        <v>56</v>
      </c>
      <c r="AI55" s="138"/>
      <c r="AJ55" s="138"/>
      <c r="AK55" s="138"/>
      <c r="AL55" s="138"/>
    </row>
    <row r="56" spans="1:39" ht="87.75" customHeight="1" x14ac:dyDescent="0.25">
      <c r="A56" s="14">
        <v>45875</v>
      </c>
      <c r="B56" s="41" t="s">
        <v>9718</v>
      </c>
      <c r="C56" s="41" t="s">
        <v>9713</v>
      </c>
      <c r="D56" s="41"/>
      <c r="E56" s="42" t="s">
        <v>39</v>
      </c>
      <c r="F56" s="19">
        <v>3</v>
      </c>
      <c r="G56" s="43"/>
      <c r="H56" s="43"/>
      <c r="I56" s="455" t="s">
        <v>9719</v>
      </c>
      <c r="J56" s="45">
        <v>66</v>
      </c>
      <c r="K56" s="369" t="s">
        <v>9720</v>
      </c>
      <c r="L56" s="50" t="s">
        <v>63</v>
      </c>
      <c r="M56" s="73" t="s">
        <v>42</v>
      </c>
      <c r="N56" s="77" t="s">
        <v>9721</v>
      </c>
      <c r="O56" s="49" t="s">
        <v>9722</v>
      </c>
      <c r="P56" s="49" t="s">
        <v>9723</v>
      </c>
      <c r="Q56" s="49"/>
      <c r="R56" s="50">
        <v>22</v>
      </c>
      <c r="S56" s="50">
        <v>52</v>
      </c>
      <c r="T56" s="51" t="s">
        <v>47</v>
      </c>
      <c r="U56" s="51">
        <v>3</v>
      </c>
      <c r="V56" s="52">
        <f t="shared" si="1"/>
        <v>198</v>
      </c>
      <c r="W56" s="1297" t="s">
        <v>9711</v>
      </c>
      <c r="X56" s="198" t="s">
        <v>9603</v>
      </c>
      <c r="Y56" s="168"/>
      <c r="Z56" s="169" t="s">
        <v>4587</v>
      </c>
      <c r="AA56" s="170" t="s">
        <v>2972</v>
      </c>
      <c r="AB56" s="243" t="s">
        <v>4419</v>
      </c>
      <c r="AC56" s="35">
        <v>18478.68</v>
      </c>
      <c r="AE56" s="138" t="s">
        <v>4867</v>
      </c>
      <c r="AF56" s="138"/>
      <c r="AG56" s="138" t="s">
        <v>56</v>
      </c>
      <c r="AH56" s="138" t="s">
        <v>56</v>
      </c>
      <c r="AI56" s="138"/>
      <c r="AJ56" s="138"/>
      <c r="AK56" s="138"/>
      <c r="AL56" s="138"/>
    </row>
    <row r="57" spans="1:39" s="200" customFormat="1" ht="257.25" x14ac:dyDescent="0.25">
      <c r="A57" s="14">
        <v>45861</v>
      </c>
      <c r="B57" s="41" t="s">
        <v>9724</v>
      </c>
      <c r="C57" s="41" t="s">
        <v>9725</v>
      </c>
      <c r="D57" s="41" t="s">
        <v>9726</v>
      </c>
      <c r="E57" s="42" t="s">
        <v>39</v>
      </c>
      <c r="F57" s="43"/>
      <c r="G57" s="43"/>
      <c r="H57" s="19">
        <v>1</v>
      </c>
      <c r="I57" s="245" t="s">
        <v>9727</v>
      </c>
      <c r="J57" s="45">
        <v>2</v>
      </c>
      <c r="K57" s="46" t="s">
        <v>5283</v>
      </c>
      <c r="L57" s="47" t="s">
        <v>63</v>
      </c>
      <c r="M57" s="73" t="s">
        <v>42</v>
      </c>
      <c r="N57" s="77" t="s">
        <v>9728</v>
      </c>
      <c r="O57" s="49" t="s">
        <v>9729</v>
      </c>
      <c r="P57" s="49" t="s">
        <v>9730</v>
      </c>
      <c r="Q57" s="49" t="s">
        <v>9731</v>
      </c>
      <c r="R57" s="92">
        <v>258</v>
      </c>
      <c r="S57" s="92">
        <v>4717</v>
      </c>
      <c r="T57" s="51" t="s">
        <v>933</v>
      </c>
      <c r="U57" s="51">
        <v>11</v>
      </c>
      <c r="V57" s="52">
        <f t="shared" si="1"/>
        <v>22</v>
      </c>
      <c r="W57" s="51" t="s">
        <v>350</v>
      </c>
      <c r="X57" s="202" t="s">
        <v>9508</v>
      </c>
      <c r="Y57" s="199"/>
      <c r="Z57" s="269" t="s">
        <v>9732</v>
      </c>
      <c r="AA57" s="170" t="s">
        <v>6220</v>
      </c>
      <c r="AB57" s="243" t="s">
        <v>5986</v>
      </c>
      <c r="AC57" s="172">
        <v>45810</v>
      </c>
      <c r="AE57" s="138" t="s">
        <v>9733</v>
      </c>
      <c r="AF57" s="138" t="s">
        <v>354</v>
      </c>
      <c r="AG57" s="138" t="s">
        <v>56</v>
      </c>
      <c r="AH57" s="138" t="s">
        <v>56</v>
      </c>
      <c r="AI57" s="138"/>
      <c r="AJ57" s="138"/>
      <c r="AK57" s="138"/>
      <c r="AL57" s="138"/>
    </row>
    <row r="58" spans="1:39" ht="120.75" customHeight="1" x14ac:dyDescent="0.25">
      <c r="A58" s="14">
        <v>45835</v>
      </c>
      <c r="B58" s="41" t="s">
        <v>9734</v>
      </c>
      <c r="C58" s="41" t="s">
        <v>9735</v>
      </c>
      <c r="D58" s="41"/>
      <c r="E58" s="42" t="s">
        <v>39</v>
      </c>
      <c r="F58" s="43"/>
      <c r="G58" s="43"/>
      <c r="H58" s="19">
        <v>1</v>
      </c>
      <c r="I58" s="245" t="s">
        <v>9736</v>
      </c>
      <c r="J58" s="45">
        <v>2</v>
      </c>
      <c r="K58" s="111" t="s">
        <v>9737</v>
      </c>
      <c r="L58" s="47" t="s">
        <v>63</v>
      </c>
      <c r="M58" s="73" t="s">
        <v>42</v>
      </c>
      <c r="N58" s="77" t="s">
        <v>9738</v>
      </c>
      <c r="O58" s="49" t="s">
        <v>9739</v>
      </c>
      <c r="P58" s="49" t="s">
        <v>9740</v>
      </c>
      <c r="Q58" s="49" t="s">
        <v>9741</v>
      </c>
      <c r="R58" s="92">
        <v>158</v>
      </c>
      <c r="S58" s="92">
        <v>1454</v>
      </c>
      <c r="T58" s="51" t="s">
        <v>141</v>
      </c>
      <c r="U58" s="51">
        <v>23</v>
      </c>
      <c r="V58" s="52">
        <f t="shared" si="1"/>
        <v>46</v>
      </c>
      <c r="W58" s="51"/>
      <c r="X58" s="202" t="s">
        <v>9508</v>
      </c>
      <c r="Y58" s="168"/>
      <c r="Z58" s="169" t="s">
        <v>9742</v>
      </c>
      <c r="AA58" s="170" t="s">
        <v>9743</v>
      </c>
      <c r="AB58" s="243" t="s">
        <v>5908</v>
      </c>
      <c r="AC58" s="35">
        <v>22576.400000000001</v>
      </c>
      <c r="AE58" s="138" t="s">
        <v>9744</v>
      </c>
      <c r="AF58" s="138" t="s">
        <v>354</v>
      </c>
      <c r="AG58" s="138" t="s">
        <v>56</v>
      </c>
      <c r="AH58" s="138"/>
      <c r="AI58" s="138"/>
      <c r="AJ58" s="138"/>
      <c r="AK58" s="138"/>
      <c r="AL58" s="222"/>
    </row>
    <row r="59" spans="1:39" s="384" customFormat="1" ht="71.25" customHeight="1" x14ac:dyDescent="0.25">
      <c r="A59" s="14">
        <v>45831</v>
      </c>
      <c r="B59" s="336" t="s">
        <v>9745</v>
      </c>
      <c r="C59" s="336" t="s">
        <v>9746</v>
      </c>
      <c r="D59" s="336" t="s">
        <v>9747</v>
      </c>
      <c r="E59" s="337" t="s">
        <v>39</v>
      </c>
      <c r="F59" s="1299">
        <v>1</v>
      </c>
      <c r="G59" s="1300"/>
      <c r="H59" s="1300"/>
      <c r="I59" s="245" t="s">
        <v>9748</v>
      </c>
      <c r="J59" s="339">
        <v>30</v>
      </c>
      <c r="K59" s="46" t="s">
        <v>9749</v>
      </c>
      <c r="L59" s="47" t="s">
        <v>63</v>
      </c>
      <c r="M59" s="430" t="s">
        <v>42</v>
      </c>
      <c r="N59" s="1301" t="s">
        <v>9750</v>
      </c>
      <c r="O59" s="1302" t="s">
        <v>5822</v>
      </c>
      <c r="P59" s="1302" t="s">
        <v>9751</v>
      </c>
      <c r="Q59" s="1302" t="s">
        <v>5621</v>
      </c>
      <c r="R59" s="235">
        <v>22</v>
      </c>
      <c r="S59" s="235">
        <v>52</v>
      </c>
      <c r="T59" s="337" t="s">
        <v>47</v>
      </c>
      <c r="U59" s="337">
        <v>2</v>
      </c>
      <c r="V59" s="1303">
        <f t="shared" si="1"/>
        <v>60</v>
      </c>
      <c r="W59" s="337" t="s">
        <v>2982</v>
      </c>
      <c r="X59" s="343" t="s">
        <v>9603</v>
      </c>
      <c r="Y59" s="1304"/>
      <c r="Z59" s="169" t="s">
        <v>9752</v>
      </c>
      <c r="AA59" s="345" t="s">
        <v>9753</v>
      </c>
      <c r="AB59" s="346" t="s">
        <v>9754</v>
      </c>
      <c r="AC59" s="1305">
        <v>10274.200000000001</v>
      </c>
      <c r="AD59" s="694"/>
      <c r="AE59" s="138" t="s">
        <v>9755</v>
      </c>
      <c r="AF59" s="200"/>
      <c r="AG59" s="138" t="s">
        <v>56</v>
      </c>
      <c r="AH59" s="138" t="s">
        <v>56</v>
      </c>
      <c r="AI59" s="200"/>
      <c r="AJ59" s="200"/>
      <c r="AK59" s="200"/>
      <c r="AL59" s="200"/>
      <c r="AM59"/>
    </row>
    <row r="60" spans="1:39" s="200" customFormat="1" ht="210" x14ac:dyDescent="0.25">
      <c r="A60" s="14">
        <v>45827</v>
      </c>
      <c r="B60" s="41" t="s">
        <v>9756</v>
      </c>
      <c r="C60" s="41" t="s">
        <v>9757</v>
      </c>
      <c r="D60" s="41" t="s">
        <v>9758</v>
      </c>
      <c r="E60" s="42" t="s">
        <v>39</v>
      </c>
      <c r="F60" s="43"/>
      <c r="G60" s="43"/>
      <c r="H60" s="19">
        <v>1</v>
      </c>
      <c r="I60" s="245" t="s">
        <v>9759</v>
      </c>
      <c r="J60" s="45">
        <v>4</v>
      </c>
      <c r="K60" s="46" t="s">
        <v>9760</v>
      </c>
      <c r="L60" s="47" t="s">
        <v>63</v>
      </c>
      <c r="M60" s="42" t="s">
        <v>42</v>
      </c>
      <c r="N60" s="232" t="s">
        <v>9761</v>
      </c>
      <c r="O60" s="49"/>
      <c r="P60" s="49" t="s">
        <v>9762</v>
      </c>
      <c r="Q60" s="49" t="s">
        <v>9763</v>
      </c>
      <c r="R60" s="50">
        <v>82</v>
      </c>
      <c r="S60" s="50">
        <v>413</v>
      </c>
      <c r="T60" s="51" t="s">
        <v>67</v>
      </c>
      <c r="U60" s="51">
        <v>21</v>
      </c>
      <c r="V60" s="52">
        <f t="shared" si="1"/>
        <v>84</v>
      </c>
      <c r="W60" s="51" t="s">
        <v>2982</v>
      </c>
      <c r="X60" s="198" t="s">
        <v>9764</v>
      </c>
      <c r="Y60" s="199" t="s">
        <v>9765</v>
      </c>
      <c r="Z60" s="169"/>
      <c r="AA60" s="170" t="s">
        <v>5726</v>
      </c>
      <c r="AB60" s="243" t="s">
        <v>5492</v>
      </c>
      <c r="AC60" s="172">
        <f>6040.56+580</f>
        <v>6620.56</v>
      </c>
      <c r="AE60" s="138" t="s">
        <v>9766</v>
      </c>
      <c r="AF60" s="138"/>
      <c r="AG60" s="138" t="s">
        <v>56</v>
      </c>
      <c r="AH60" s="138" t="s">
        <v>56</v>
      </c>
      <c r="AI60" s="138"/>
      <c r="AJ60" s="138" t="s">
        <v>56</v>
      </c>
      <c r="AK60" s="138"/>
      <c r="AL60" s="222"/>
    </row>
    <row r="61" spans="1:39" s="200" customFormat="1" ht="210" x14ac:dyDescent="0.25">
      <c r="A61" s="14">
        <v>45827</v>
      </c>
      <c r="B61" s="41" t="s">
        <v>9756</v>
      </c>
      <c r="C61" s="41" t="s">
        <v>9757</v>
      </c>
      <c r="D61" s="41" t="s">
        <v>9758</v>
      </c>
      <c r="E61" s="42" t="s">
        <v>39</v>
      </c>
      <c r="F61" s="43"/>
      <c r="G61" s="43"/>
      <c r="H61" s="19">
        <v>1</v>
      </c>
      <c r="I61" s="245" t="s">
        <v>9759</v>
      </c>
      <c r="J61" s="45">
        <v>4</v>
      </c>
      <c r="K61" s="46" t="s">
        <v>9760</v>
      </c>
      <c r="L61" s="47" t="s">
        <v>63</v>
      </c>
      <c r="M61" s="42" t="s">
        <v>42</v>
      </c>
      <c r="N61" s="232" t="s">
        <v>9761</v>
      </c>
      <c r="O61" s="49"/>
      <c r="P61" s="49" t="s">
        <v>9762</v>
      </c>
      <c r="Q61" s="49" t="s">
        <v>9763</v>
      </c>
      <c r="R61" s="50">
        <v>82</v>
      </c>
      <c r="S61" s="50">
        <v>413</v>
      </c>
      <c r="T61" s="51" t="s">
        <v>67</v>
      </c>
      <c r="U61" s="51">
        <v>21</v>
      </c>
      <c r="V61" s="52">
        <f t="shared" si="1"/>
        <v>84</v>
      </c>
      <c r="W61" s="51" t="s">
        <v>2982</v>
      </c>
      <c r="X61" s="198" t="s">
        <v>9764</v>
      </c>
      <c r="Y61" s="199" t="s">
        <v>9765</v>
      </c>
      <c r="Z61" s="169"/>
      <c r="AA61" s="170" t="s">
        <v>5726</v>
      </c>
      <c r="AB61" s="243" t="s">
        <v>5492</v>
      </c>
      <c r="AC61" s="172">
        <f>6040.56+580</f>
        <v>6620.56</v>
      </c>
      <c r="AE61" s="138" t="s">
        <v>9766</v>
      </c>
      <c r="AF61" s="138"/>
      <c r="AG61" s="138" t="s">
        <v>56</v>
      </c>
      <c r="AH61" s="138" t="s">
        <v>56</v>
      </c>
      <c r="AI61" s="138"/>
      <c r="AJ61" s="138" t="s">
        <v>56</v>
      </c>
      <c r="AK61" s="138"/>
      <c r="AL61" s="222"/>
    </row>
    <row r="62" spans="1:39" s="200" customFormat="1" ht="119.25" customHeight="1" x14ac:dyDescent="0.25">
      <c r="A62" s="14">
        <v>45826</v>
      </c>
      <c r="B62" s="844" t="s">
        <v>9767</v>
      </c>
      <c r="C62" s="233" t="s">
        <v>9768</v>
      </c>
      <c r="D62" s="233" t="s">
        <v>9769</v>
      </c>
      <c r="E62" s="235" t="s">
        <v>39</v>
      </c>
      <c r="F62" s="19">
        <v>1</v>
      </c>
      <c r="G62" s="1306"/>
      <c r="H62" s="1306"/>
      <c r="I62" s="245" t="s">
        <v>9770</v>
      </c>
      <c r="J62" s="46">
        <v>20</v>
      </c>
      <c r="K62" s="46" t="s">
        <v>5760</v>
      </c>
      <c r="L62" s="50" t="s">
        <v>63</v>
      </c>
      <c r="M62" s="430" t="s">
        <v>42</v>
      </c>
      <c r="N62" s="232" t="s">
        <v>9771</v>
      </c>
      <c r="O62" s="1307"/>
      <c r="P62" s="1307" t="s">
        <v>6114</v>
      </c>
      <c r="Q62" s="1307" t="s">
        <v>9772</v>
      </c>
      <c r="R62" s="50">
        <v>82</v>
      </c>
      <c r="S62" s="50">
        <v>412</v>
      </c>
      <c r="T62" s="50" t="s">
        <v>67</v>
      </c>
      <c r="U62" s="50">
        <v>21</v>
      </c>
      <c r="V62" s="50">
        <f t="shared" si="1"/>
        <v>420</v>
      </c>
      <c r="W62" s="50" t="s">
        <v>9773</v>
      </c>
      <c r="X62" s="1308" t="s">
        <v>9603</v>
      </c>
      <c r="Y62" s="765"/>
      <c r="Z62" s="169"/>
      <c r="AA62" s="1309" t="s">
        <v>6680</v>
      </c>
      <c r="AB62" s="601" t="s">
        <v>6599</v>
      </c>
      <c r="AC62" s="1310">
        <v>19766.599999999999</v>
      </c>
      <c r="AE62" s="138" t="s">
        <v>9766</v>
      </c>
      <c r="AF62" s="138"/>
      <c r="AG62" s="138" t="s">
        <v>9774</v>
      </c>
      <c r="AH62" s="138" t="s">
        <v>56</v>
      </c>
      <c r="AI62" s="138"/>
      <c r="AJ62" s="138" t="s">
        <v>56</v>
      </c>
      <c r="AK62" s="138" t="s">
        <v>1076</v>
      </c>
      <c r="AL62" s="138"/>
    </row>
    <row r="63" spans="1:39" ht="89.25" customHeight="1" x14ac:dyDescent="0.25">
      <c r="A63" s="14">
        <v>45824</v>
      </c>
      <c r="B63" s="1311" t="s">
        <v>9775</v>
      </c>
      <c r="C63" s="1311" t="s">
        <v>9776</v>
      </c>
      <c r="D63" s="1311"/>
      <c r="E63" s="1312"/>
      <c r="F63" s="1313"/>
      <c r="G63" s="1314"/>
      <c r="H63" s="1314"/>
      <c r="I63" s="1315" t="s">
        <v>9777</v>
      </c>
      <c r="J63" s="1316">
        <v>2</v>
      </c>
      <c r="K63" s="1317" t="s">
        <v>5641</v>
      </c>
      <c r="L63" s="208"/>
      <c r="M63" s="1318"/>
      <c r="N63" s="1319" t="s">
        <v>9778</v>
      </c>
      <c r="O63" s="1320"/>
      <c r="P63" s="1320"/>
      <c r="Q63" s="1320"/>
      <c r="R63" s="1321"/>
      <c r="S63" s="1321"/>
      <c r="T63" s="1312"/>
      <c r="U63" s="1312">
        <v>2</v>
      </c>
      <c r="V63" s="52">
        <f t="shared" si="1"/>
        <v>4</v>
      </c>
      <c r="W63" s="212" t="s">
        <v>9507</v>
      </c>
      <c r="X63" s="1322" t="s">
        <v>9508</v>
      </c>
      <c r="Y63" s="1323"/>
      <c r="Z63" s="169" t="s">
        <v>9779</v>
      </c>
      <c r="AA63" s="1324" t="s">
        <v>9780</v>
      </c>
      <c r="AB63" s="530" t="s">
        <v>5501</v>
      </c>
      <c r="AC63" s="531"/>
      <c r="AE63" s="138"/>
      <c r="AF63" s="138"/>
      <c r="AG63" s="138"/>
      <c r="AH63" s="138"/>
      <c r="AI63" s="138"/>
      <c r="AJ63" s="138"/>
      <c r="AK63" s="138"/>
      <c r="AL63" s="222"/>
    </row>
    <row r="64" spans="1:39" s="200" customFormat="1" ht="58.5" customHeight="1" x14ac:dyDescent="0.25">
      <c r="A64" s="14">
        <v>45799</v>
      </c>
      <c r="B64" s="41" t="s">
        <v>9781</v>
      </c>
      <c r="C64" s="41" t="s">
        <v>9782</v>
      </c>
      <c r="D64" s="41" t="s">
        <v>9783</v>
      </c>
      <c r="E64" s="42" t="s">
        <v>39</v>
      </c>
      <c r="F64" s="19">
        <v>1</v>
      </c>
      <c r="G64" s="43"/>
      <c r="H64" s="467"/>
      <c r="I64" s="245" t="s">
        <v>9784</v>
      </c>
      <c r="J64" s="45">
        <v>6</v>
      </c>
      <c r="K64" s="150" t="s">
        <v>6159</v>
      </c>
      <c r="L64" s="47" t="s">
        <v>63</v>
      </c>
      <c r="M64" s="73" t="s">
        <v>42</v>
      </c>
      <c r="N64" s="77" t="s">
        <v>9785</v>
      </c>
      <c r="O64" s="278"/>
      <c r="P64" s="278" t="s">
        <v>6185</v>
      </c>
      <c r="Q64" s="278" t="s">
        <v>9786</v>
      </c>
      <c r="R64" s="235">
        <v>63</v>
      </c>
      <c r="S64" s="235">
        <v>171</v>
      </c>
      <c r="T64" s="42" t="s">
        <v>96</v>
      </c>
      <c r="U64" s="42">
        <v>10</v>
      </c>
      <c r="V64" s="52">
        <f t="shared" si="1"/>
        <v>60</v>
      </c>
      <c r="W64" s="42" t="s">
        <v>9773</v>
      </c>
      <c r="X64" s="198" t="s">
        <v>9603</v>
      </c>
      <c r="Y64" s="416"/>
      <c r="Z64" s="1325"/>
      <c r="AA64" s="170" t="s">
        <v>275</v>
      </c>
      <c r="AB64" s="243" t="s">
        <v>6357</v>
      </c>
      <c r="AC64" s="35">
        <v>9592.48</v>
      </c>
      <c r="AE64" s="138" t="s">
        <v>4867</v>
      </c>
      <c r="AG64" s="138" t="s">
        <v>56</v>
      </c>
      <c r="AH64" s="138" t="s">
        <v>56</v>
      </c>
    </row>
    <row r="65" spans="1:38" ht="90" customHeight="1" x14ac:dyDescent="0.25">
      <c r="A65" s="14">
        <v>45817</v>
      </c>
      <c r="B65" s="1326" t="s">
        <v>9787</v>
      </c>
      <c r="C65" s="1326" t="s">
        <v>9788</v>
      </c>
      <c r="D65" s="1326" t="s">
        <v>9789</v>
      </c>
      <c r="E65" s="1327" t="s">
        <v>39</v>
      </c>
      <c r="F65" s="19">
        <v>1</v>
      </c>
      <c r="G65" s="1328"/>
      <c r="H65" s="1328"/>
      <c r="I65" s="523" t="s">
        <v>9790</v>
      </c>
      <c r="J65" s="1329">
        <v>48</v>
      </c>
      <c r="K65" s="1330" t="s">
        <v>9791</v>
      </c>
      <c r="L65" s="79" t="s">
        <v>63</v>
      </c>
      <c r="M65" s="1331" t="s">
        <v>42</v>
      </c>
      <c r="N65" s="1332" t="s">
        <v>9792</v>
      </c>
      <c r="O65" s="1333"/>
      <c r="P65" s="1333" t="s">
        <v>9793</v>
      </c>
      <c r="Q65" s="1333" t="s">
        <v>9794</v>
      </c>
      <c r="R65" s="1334">
        <v>2</v>
      </c>
      <c r="S65" s="1334">
        <v>96</v>
      </c>
      <c r="T65" s="1327" t="s">
        <v>96</v>
      </c>
      <c r="U65" s="1327">
        <v>0</v>
      </c>
      <c r="V65" s="1335">
        <f t="shared" si="1"/>
        <v>0</v>
      </c>
      <c r="W65" s="1327" t="s">
        <v>350</v>
      </c>
      <c r="X65" s="1322" t="s">
        <v>9508</v>
      </c>
      <c r="Y65" s="1323"/>
      <c r="Z65" s="169" t="s">
        <v>9779</v>
      </c>
      <c r="AA65" s="529" t="s">
        <v>5746</v>
      </c>
      <c r="AB65" s="530" t="s">
        <v>5986</v>
      </c>
      <c r="AC65" s="531">
        <v>10960</v>
      </c>
      <c r="AE65" s="138" t="s">
        <v>4867</v>
      </c>
      <c r="AF65" s="138" t="s">
        <v>5394</v>
      </c>
      <c r="AG65" s="138" t="s">
        <v>56</v>
      </c>
      <c r="AH65" s="138" t="s">
        <v>56</v>
      </c>
      <c r="AI65" s="138"/>
      <c r="AJ65" s="138"/>
      <c r="AK65" s="138"/>
      <c r="AL65" s="222"/>
    </row>
    <row r="66" spans="1:38" s="200" customFormat="1" ht="65.25" customHeight="1" x14ac:dyDescent="0.25">
      <c r="A66" s="14">
        <v>45778</v>
      </c>
      <c r="B66" s="1336" t="s">
        <v>9795</v>
      </c>
      <c r="C66" s="54" t="s">
        <v>9796</v>
      </c>
      <c r="D66" s="54" t="s">
        <v>9797</v>
      </c>
      <c r="E66" s="56" t="s">
        <v>39</v>
      </c>
      <c r="F66" s="57"/>
      <c r="G66" s="57"/>
      <c r="H66" s="19">
        <v>2</v>
      </c>
      <c r="I66" s="245" t="s">
        <v>9798</v>
      </c>
      <c r="J66" s="59">
        <v>6</v>
      </c>
      <c r="K66" s="117" t="s">
        <v>9799</v>
      </c>
      <c r="L66" s="79" t="s">
        <v>63</v>
      </c>
      <c r="M66" s="1337" t="s">
        <v>42</v>
      </c>
      <c r="N66" s="80" t="s">
        <v>9800</v>
      </c>
      <c r="O66" s="62" t="s">
        <v>9801</v>
      </c>
      <c r="P66" s="62" t="s">
        <v>9802</v>
      </c>
      <c r="Q66" s="62" t="s">
        <v>9803</v>
      </c>
      <c r="R66" s="61">
        <v>49</v>
      </c>
      <c r="S66" s="61">
        <v>154</v>
      </c>
      <c r="T66" s="56" t="s">
        <v>96</v>
      </c>
      <c r="U66" s="56">
        <v>6</v>
      </c>
      <c r="V66" s="63">
        <f t="shared" si="1"/>
        <v>36</v>
      </c>
      <c r="W66" s="56" t="s">
        <v>9773</v>
      </c>
      <c r="X66" s="198" t="s">
        <v>9603</v>
      </c>
      <c r="Y66" s="416"/>
      <c r="Z66" s="269"/>
      <c r="AA66" s="170" t="s">
        <v>275</v>
      </c>
      <c r="AB66" s="243" t="s">
        <v>6357</v>
      </c>
      <c r="AC66" s="35">
        <v>7531.3</v>
      </c>
      <c r="AE66" s="138" t="s">
        <v>4867</v>
      </c>
      <c r="AG66" s="138" t="s">
        <v>56</v>
      </c>
      <c r="AH66" s="138" t="s">
        <v>56</v>
      </c>
    </row>
    <row r="67" spans="1:38" ht="47.25" customHeight="1" x14ac:dyDescent="0.25">
      <c r="A67" s="566">
        <v>45721</v>
      </c>
      <c r="B67" s="41" t="s">
        <v>7603</v>
      </c>
      <c r="C67" s="41" t="s">
        <v>9804</v>
      </c>
      <c r="D67" s="41"/>
      <c r="E67" s="42" t="s">
        <v>39</v>
      </c>
      <c r="F67" s="43"/>
      <c r="G67" s="43"/>
      <c r="H67" s="19">
        <v>1</v>
      </c>
      <c r="I67" s="245" t="s">
        <v>9805</v>
      </c>
      <c r="J67" s="45">
        <v>10</v>
      </c>
      <c r="K67" s="46" t="s">
        <v>7459</v>
      </c>
      <c r="L67" s="47" t="s">
        <v>63</v>
      </c>
      <c r="M67" s="42" t="s">
        <v>42</v>
      </c>
      <c r="N67" s="77" t="s">
        <v>9806</v>
      </c>
      <c r="O67" s="49" t="s">
        <v>9807</v>
      </c>
      <c r="P67" s="49" t="s">
        <v>9808</v>
      </c>
      <c r="Q67" s="49" t="s">
        <v>9809</v>
      </c>
      <c r="R67" s="50">
        <v>91</v>
      </c>
      <c r="S67" s="50">
        <v>829</v>
      </c>
      <c r="T67" s="51" t="s">
        <v>180</v>
      </c>
      <c r="U67" s="51">
        <v>12</v>
      </c>
      <c r="V67" s="52">
        <f t="shared" si="1"/>
        <v>120</v>
      </c>
      <c r="W67" s="51"/>
      <c r="X67" s="198" t="s">
        <v>9810</v>
      </c>
      <c r="Y67" s="168"/>
      <c r="Z67" s="169" t="s">
        <v>9811</v>
      </c>
      <c r="AA67" s="506">
        <v>45688</v>
      </c>
      <c r="AB67" s="243" t="s">
        <v>924</v>
      </c>
      <c r="AC67" s="1338">
        <v>14564</v>
      </c>
    </row>
    <row r="68" spans="1:38" s="200" customFormat="1" ht="150" x14ac:dyDescent="0.25">
      <c r="A68" s="566">
        <v>45709</v>
      </c>
      <c r="B68" s="41" t="s">
        <v>9812</v>
      </c>
      <c r="C68" s="41" t="s">
        <v>9813</v>
      </c>
      <c r="D68" s="41" t="s">
        <v>9814</v>
      </c>
      <c r="E68" s="42" t="s">
        <v>39</v>
      </c>
      <c r="F68" s="43"/>
      <c r="G68" s="43"/>
      <c r="H68" s="19">
        <v>1</v>
      </c>
      <c r="I68" s="245" t="s">
        <v>9815</v>
      </c>
      <c r="J68" s="45">
        <v>20</v>
      </c>
      <c r="K68" s="46" t="s">
        <v>9816</v>
      </c>
      <c r="L68" s="47" t="s">
        <v>63</v>
      </c>
      <c r="M68" s="42" t="s">
        <v>42</v>
      </c>
      <c r="N68" s="77" t="s">
        <v>9817</v>
      </c>
      <c r="O68" s="49" t="s">
        <v>9818</v>
      </c>
      <c r="P68" s="49"/>
      <c r="Q68" s="49" t="s">
        <v>9819</v>
      </c>
      <c r="R68" s="50">
        <v>82</v>
      </c>
      <c r="S68" s="50">
        <v>412</v>
      </c>
      <c r="T68" s="51" t="s">
        <v>67</v>
      </c>
      <c r="U68" s="51">
        <v>21</v>
      </c>
      <c r="V68" s="52">
        <f t="shared" si="1"/>
        <v>420</v>
      </c>
      <c r="W68" s="51" t="s">
        <v>9820</v>
      </c>
      <c r="X68" s="198" t="s">
        <v>9603</v>
      </c>
      <c r="Y68" s="199"/>
      <c r="Z68" s="169" t="s">
        <v>9821</v>
      </c>
      <c r="AA68" s="170" t="s">
        <v>1439</v>
      </c>
      <c r="AB68" s="243" t="s">
        <v>1579</v>
      </c>
      <c r="AC68" s="35">
        <v>19766.599999999999</v>
      </c>
    </row>
    <row r="69" spans="1:38" s="200" customFormat="1" ht="98.25" customHeight="1" x14ac:dyDescent="0.25">
      <c r="A69" s="566">
        <v>45687</v>
      </c>
      <c r="B69" s="281" t="s">
        <v>9822</v>
      </c>
      <c r="C69" s="41" t="s">
        <v>9823</v>
      </c>
      <c r="D69" s="552" t="s">
        <v>9824</v>
      </c>
      <c r="E69" s="42" t="s">
        <v>39</v>
      </c>
      <c r="F69" s="467"/>
      <c r="G69" s="467"/>
      <c r="H69" s="563" t="s">
        <v>1586</v>
      </c>
      <c r="I69" s="245" t="s">
        <v>9825</v>
      </c>
      <c r="J69" s="45">
        <v>42</v>
      </c>
      <c r="K69" s="610" t="s">
        <v>9826</v>
      </c>
      <c r="L69" s="47" t="s">
        <v>63</v>
      </c>
      <c r="M69" s="42" t="s">
        <v>42</v>
      </c>
      <c r="N69" s="401" t="s">
        <v>9827</v>
      </c>
      <c r="O69" s="49" t="s">
        <v>9828</v>
      </c>
      <c r="P69" s="49" t="s">
        <v>9829</v>
      </c>
      <c r="Q69" s="49" t="s">
        <v>8075</v>
      </c>
      <c r="R69" s="50">
        <v>209</v>
      </c>
      <c r="S69" s="50">
        <v>2868</v>
      </c>
      <c r="T69" s="51" t="s">
        <v>141</v>
      </c>
      <c r="U69" s="51">
        <v>4</v>
      </c>
      <c r="V69" s="52">
        <f t="shared" si="1"/>
        <v>168</v>
      </c>
      <c r="W69" s="51" t="s">
        <v>9830</v>
      </c>
      <c r="X69" s="51"/>
      <c r="Y69" s="198" t="s">
        <v>9810</v>
      </c>
      <c r="Z69" s="691"/>
      <c r="AA69" s="1339"/>
      <c r="AB69" s="420" t="s">
        <v>7651</v>
      </c>
      <c r="AC69" s="243" t="s">
        <v>8312</v>
      </c>
      <c r="AD69" s="172">
        <v>100239.3</v>
      </c>
      <c r="AE69" s="738">
        <v>45674</v>
      </c>
    </row>
    <row r="70" spans="1:38" ht="53.25" customHeight="1" x14ac:dyDescent="0.25">
      <c r="A70" s="566">
        <v>45666</v>
      </c>
      <c r="B70" s="164" t="s">
        <v>9831</v>
      </c>
      <c r="C70" s="41" t="s">
        <v>9832</v>
      </c>
      <c r="D70" s="41"/>
      <c r="E70" s="42" t="s">
        <v>39</v>
      </c>
      <c r="F70" s="43"/>
      <c r="G70" s="43"/>
      <c r="H70" s="19">
        <v>2</v>
      </c>
      <c r="I70" s="1340" t="s">
        <v>9833</v>
      </c>
      <c r="J70" s="45">
        <v>20</v>
      </c>
      <c r="K70" s="46" t="s">
        <v>8345</v>
      </c>
      <c r="L70" s="47" t="s">
        <v>63</v>
      </c>
      <c r="M70" s="42" t="s">
        <v>55</v>
      </c>
      <c r="N70" s="77" t="s">
        <v>9834</v>
      </c>
      <c r="O70" s="49" t="s">
        <v>9835</v>
      </c>
      <c r="P70" s="49"/>
      <c r="Q70" s="49" t="s">
        <v>8364</v>
      </c>
      <c r="R70" s="1341">
        <v>82</v>
      </c>
      <c r="S70" s="1341">
        <v>412</v>
      </c>
      <c r="T70" s="1342" t="s">
        <v>67</v>
      </c>
      <c r="U70" s="42">
        <v>19</v>
      </c>
      <c r="V70" s="426">
        <f t="shared" si="1"/>
        <v>380</v>
      </c>
      <c r="W70" s="51" t="s">
        <v>9836</v>
      </c>
      <c r="X70" s="51"/>
      <c r="Y70" s="325" t="s">
        <v>9837</v>
      </c>
      <c r="Z70" s="168"/>
      <c r="AA70" s="643" t="s">
        <v>9838</v>
      </c>
      <c r="AB70" s="170" t="s">
        <v>83</v>
      </c>
      <c r="AC70" s="243" t="s">
        <v>8321</v>
      </c>
      <c r="AD70" s="309">
        <v>19766.599999999999</v>
      </c>
    </row>
    <row r="71" spans="1:38" s="200" customFormat="1" ht="68.25" customHeight="1" x14ac:dyDescent="0.25">
      <c r="A71" s="566">
        <v>45664</v>
      </c>
      <c r="B71" s="41"/>
      <c r="C71" s="596" t="s">
        <v>9839</v>
      </c>
      <c r="D71" s="41" t="s">
        <v>9840</v>
      </c>
      <c r="E71" s="42" t="s">
        <v>39</v>
      </c>
      <c r="F71" s="467"/>
      <c r="G71" s="467"/>
      <c r="H71" s="19">
        <v>1</v>
      </c>
      <c r="I71" s="1343" t="s">
        <v>9841</v>
      </c>
      <c r="J71" s="46">
        <v>28</v>
      </c>
      <c r="K71" s="809" t="s">
        <v>8444</v>
      </c>
      <c r="L71" s="47" t="s">
        <v>63</v>
      </c>
      <c r="M71" s="42" t="s">
        <v>42</v>
      </c>
      <c r="N71" s="401" t="s">
        <v>9842</v>
      </c>
      <c r="O71" s="49" t="s">
        <v>9843</v>
      </c>
      <c r="P71" s="49" t="s">
        <v>9844</v>
      </c>
      <c r="Q71" s="49" t="s">
        <v>9845</v>
      </c>
      <c r="R71" s="50">
        <v>240</v>
      </c>
      <c r="S71" s="50">
        <v>3851</v>
      </c>
      <c r="T71" s="51" t="s">
        <v>933</v>
      </c>
      <c r="U71" s="51">
        <v>19</v>
      </c>
      <c r="V71" s="52">
        <f t="shared" si="1"/>
        <v>532</v>
      </c>
      <c r="W71" s="51" t="s">
        <v>9830</v>
      </c>
      <c r="X71" s="51"/>
      <c r="Y71" s="198" t="s">
        <v>9810</v>
      </c>
      <c r="Z71" s="691"/>
      <c r="AA71" s="810" t="s">
        <v>9846</v>
      </c>
      <c r="AB71" s="420" t="s">
        <v>2064</v>
      </c>
      <c r="AC71" s="243" t="s">
        <v>7745</v>
      </c>
      <c r="AD71" s="172">
        <v>96841.919999999998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SHIPPED (AA)</vt:lpstr>
      <vt:lpstr>SHIPPED (OTH)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Thomas Vu</cp:lastModifiedBy>
  <cp:revision/>
  <dcterms:created xsi:type="dcterms:W3CDTF">2026-02-11T16:59:04Z</dcterms:created>
  <dcterms:modified xsi:type="dcterms:W3CDTF">2026-04-21T12:30:15Z</dcterms:modified>
  <cp:category/>
  <cp:contentStatus/>
</cp:coreProperties>
</file>